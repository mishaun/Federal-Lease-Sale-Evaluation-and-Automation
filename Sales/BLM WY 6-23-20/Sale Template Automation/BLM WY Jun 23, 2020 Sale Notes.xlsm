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codeName="{D272C609-87CA-5A14-B04D-65DF03BDDAF1}"/>
  <workbookPr codeName="ThisWorkbook" hidePivotFieldList="1" autoCompressPictures="0" defaultThemeVersion="124226"/>
  <mc:AlternateContent xmlns:mc="http://schemas.openxmlformats.org/markup-compatibility/2006">
    <mc:Choice Requires="x15">
      <x15ac:absPath xmlns:x15ac="http://schemas.microsoft.com/office/spreadsheetml/2010/11/ac" url="/Users/Mishaun_Bhakta/Documents/Python &amp; Projects/Projects/BLM Lease Evaluation and Automation/Sales/BLM WY 6-23-20/Sale Template Automation/"/>
    </mc:Choice>
  </mc:AlternateContent>
  <xr:revisionPtr revIDLastSave="0" documentId="13_ncr:1_{F93A6818-A8DB-B04F-854C-C9D0A5E3F06A}" xr6:coauthVersionLast="47" xr6:coauthVersionMax="47" xr10:uidLastSave="{00000000-0000-0000-0000-000000000000}"/>
  <bookViews>
    <workbookView xWindow="3860" yWindow="3240" windowWidth="37280" windowHeight="19860" tabRatio="661" xr2:uid="{00000000-000D-0000-FFFF-FFFF00000000}"/>
  </bookViews>
  <sheets>
    <sheet name="Sale Notes" sheetId="1" r:id="rId1"/>
    <sheet name="Summary Tables" sheetId="3" r:id="rId2"/>
    <sheet name="DataCleaning1" sheetId="2" r:id="rId3"/>
    <sheet name="Downloadable Tract List" sheetId="4" r:id="rId4"/>
    <sheet name="R&amp;R &amp; Magnum Master BLM" sheetId="5" r:id="rId5"/>
    <sheet name="Dropdown Controller" sheetId="6" r:id="rId6"/>
    <sheet name="Shapefile Export" sheetId="7" r:id="rId7"/>
  </sheets>
  <externalReferences>
    <externalReference r:id="rId8"/>
  </externalReferences>
  <definedNames>
    <definedName name="_xlnm._FilterDatabase" localSheetId="4" hidden="1">'R&amp;R &amp; Magnum Master BLM'!$A$7:$AC$2313</definedName>
    <definedName name="_xlnm.Criteria" localSheetId="0">'Sale Notes'!#REF!</definedName>
    <definedName name="FilterList">#REF!</definedName>
    <definedName name="GIS">[1]GIS!$C:$C</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_xlnm.Print_Titles" localSheetId="3">'Downloadable Tract List'!$1:$1</definedName>
    <definedName name="_xlnm.Print_Titles" localSheetId="4">'R&amp;R &amp; Magnum Master BLM'!$1:$7</definedName>
    <definedName name="_xlnm.Print_Titles" localSheetId="0">'Sale Notes'!$7:$7</definedName>
  </definedNames>
  <calcPr calcId="191029"/>
  <pivotCaches>
    <pivotCache cacheId="195" r:id="rId9"/>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F2265" i="5" l="1"/>
  <c r="K2265" i="5" s="1"/>
  <c r="B2265" i="5"/>
  <c r="F2264" i="5"/>
  <c r="K2264" i="5" s="1"/>
  <c r="B2264" i="5"/>
  <c r="F2263" i="5"/>
  <c r="K2263" i="5"/>
  <c r="B2263" i="5"/>
  <c r="F2262" i="5"/>
  <c r="K2262" i="5" s="1"/>
  <c r="B2262" i="5"/>
  <c r="F2261" i="5"/>
  <c r="K2261" i="5"/>
  <c r="B2261" i="5"/>
  <c r="F2260" i="5"/>
  <c r="K2260" i="5" s="1"/>
  <c r="B2260" i="5"/>
  <c r="F2259" i="5"/>
  <c r="K2259" i="5" s="1"/>
  <c r="B2259" i="5"/>
  <c r="F2256" i="5"/>
  <c r="K2256" i="5" s="1"/>
  <c r="B2256" i="5"/>
  <c r="F2255" i="5"/>
  <c r="K2255" i="5" s="1"/>
  <c r="B2255" i="5"/>
  <c r="F2254" i="5"/>
  <c r="K2254" i="5" s="1"/>
  <c r="B2254" i="5"/>
  <c r="F2253" i="5"/>
  <c r="K2253" i="5" s="1"/>
  <c r="B2253" i="5"/>
  <c r="F2252" i="5"/>
  <c r="K2252" i="5" s="1"/>
  <c r="B2252" i="5"/>
  <c r="F2251" i="5"/>
  <c r="K2251" i="5"/>
  <c r="B2251" i="5"/>
  <c r="F2250" i="5"/>
  <c r="K2250" i="5" s="1"/>
  <c r="B2250" i="5"/>
  <c r="F2249" i="5"/>
  <c r="K2249" i="5" s="1"/>
  <c r="B2249" i="5"/>
  <c r="F2248" i="5"/>
  <c r="K2248" i="5" s="1"/>
  <c r="B2248" i="5"/>
  <c r="F2247" i="5"/>
  <c r="K2247" i="5" s="1"/>
  <c r="B2247" i="5"/>
  <c r="F2246" i="5"/>
  <c r="K2246" i="5" s="1"/>
  <c r="B2246" i="5"/>
  <c r="F2245" i="5"/>
  <c r="K2245" i="5" s="1"/>
  <c r="B2245" i="5"/>
  <c r="F2244" i="5"/>
  <c r="K2244" i="5"/>
  <c r="B2244" i="5"/>
  <c r="F2243" i="5"/>
  <c r="K2243" i="5" s="1"/>
  <c r="B2243" i="5"/>
  <c r="F2242" i="5"/>
  <c r="K2242" i="5" s="1"/>
  <c r="B2242" i="5"/>
  <c r="F2241" i="5"/>
  <c r="K2241" i="5"/>
  <c r="B2241" i="5"/>
  <c r="F2240" i="5"/>
  <c r="K2240" i="5" s="1"/>
  <c r="B2240" i="5"/>
  <c r="F2239" i="5"/>
  <c r="K2239" i="5"/>
  <c r="B2239" i="5"/>
  <c r="F2236" i="5"/>
  <c r="K2236" i="5" s="1"/>
  <c r="B2236" i="5"/>
  <c r="F2235" i="5"/>
  <c r="K2235" i="5" s="1"/>
  <c r="B2235" i="5"/>
  <c r="F2234" i="5"/>
  <c r="K2234" i="5"/>
  <c r="B2234" i="5"/>
  <c r="F2233" i="5"/>
  <c r="K2233" i="5" s="1"/>
  <c r="B2233" i="5"/>
  <c r="F2232" i="5"/>
  <c r="K2232" i="5" s="1"/>
  <c r="B2232" i="5"/>
  <c r="F2231" i="5"/>
  <c r="K2231" i="5"/>
  <c r="B2231" i="5"/>
  <c r="F2230" i="5"/>
  <c r="K2230" i="5" s="1"/>
  <c r="B2230" i="5"/>
  <c r="F2229" i="5"/>
  <c r="K2229" i="5"/>
  <c r="B2229" i="5"/>
  <c r="F2228" i="5"/>
  <c r="K2228" i="5" s="1"/>
  <c r="B2228" i="5"/>
  <c r="F2227" i="5"/>
  <c r="K2227" i="5" s="1"/>
  <c r="B2227" i="5"/>
  <c r="F2226" i="5"/>
  <c r="K2226" i="5"/>
  <c r="B2226" i="5"/>
  <c r="F2223" i="5"/>
  <c r="K2223" i="5" s="1"/>
  <c r="B2223" i="5"/>
  <c r="F2222" i="5"/>
  <c r="K2222" i="5" s="1"/>
  <c r="B2222" i="5"/>
  <c r="F2221" i="5"/>
  <c r="K2221" i="5"/>
  <c r="B2221" i="5"/>
  <c r="F2220" i="5"/>
  <c r="K2220" i="5" s="1"/>
  <c r="B2220" i="5"/>
  <c r="F2219" i="5"/>
  <c r="K2219" i="5"/>
  <c r="B2219" i="5"/>
  <c r="F2218" i="5"/>
  <c r="K2218" i="5" s="1"/>
  <c r="B2218" i="5"/>
  <c r="F2217" i="5"/>
  <c r="K2217" i="5" s="1"/>
  <c r="B2217" i="5"/>
  <c r="F2216" i="5"/>
  <c r="K2216" i="5"/>
  <c r="B2216" i="5"/>
  <c r="F2215" i="5"/>
  <c r="K2215" i="5" s="1"/>
  <c r="B2215" i="5"/>
  <c r="F2214" i="5"/>
  <c r="K2214" i="5" s="1"/>
  <c r="B2214" i="5"/>
  <c r="F2211" i="5"/>
  <c r="K2211" i="5"/>
  <c r="B2211" i="5"/>
  <c r="F2210" i="5"/>
  <c r="K2210" i="5" s="1"/>
  <c r="B2210" i="5"/>
  <c r="F2209" i="5"/>
  <c r="K2209" i="5"/>
  <c r="B2209" i="5"/>
  <c r="F2208" i="5"/>
  <c r="K2208" i="5" s="1"/>
  <c r="B2208" i="5"/>
  <c r="F2207" i="5"/>
  <c r="K2207" i="5" s="1"/>
  <c r="B2207" i="5"/>
  <c r="F2206" i="5"/>
  <c r="K2206" i="5"/>
  <c r="B2206" i="5"/>
  <c r="F2205" i="5"/>
  <c r="K2205" i="5" s="1"/>
  <c r="B2205" i="5"/>
  <c r="F2204" i="5"/>
  <c r="K2204" i="5" s="1"/>
  <c r="B2204" i="5"/>
  <c r="F2203" i="5"/>
  <c r="K2203" i="5"/>
  <c r="B2203" i="5"/>
  <c r="F2202" i="5"/>
  <c r="K2202" i="5" s="1"/>
  <c r="B2202" i="5"/>
  <c r="F2201" i="5"/>
  <c r="K2201" i="5"/>
  <c r="B2201" i="5"/>
  <c r="F2198" i="5"/>
  <c r="K2198" i="5" s="1"/>
  <c r="B2198" i="5"/>
  <c r="F2197" i="5"/>
  <c r="K2197" i="5" s="1"/>
  <c r="B2197" i="5"/>
  <c r="F2196" i="5"/>
  <c r="K2196" i="5"/>
  <c r="B2196" i="5"/>
  <c r="F2195" i="5"/>
  <c r="K2195" i="5" s="1"/>
  <c r="B2195" i="5"/>
  <c r="F2194" i="5"/>
  <c r="K2194" i="5" s="1"/>
  <c r="B2194" i="5"/>
  <c r="F2193" i="5"/>
  <c r="K2193" i="5"/>
  <c r="B2193" i="5"/>
  <c r="F2192" i="5"/>
  <c r="K2192" i="5" s="1"/>
  <c r="B2192" i="5"/>
  <c r="F2191" i="5"/>
  <c r="K2191" i="5"/>
  <c r="B2191" i="5"/>
  <c r="F2190" i="5"/>
  <c r="K2190" i="5" s="1"/>
  <c r="B2190" i="5"/>
  <c r="F2189" i="5"/>
  <c r="K2189" i="5" s="1"/>
  <c r="B2189" i="5"/>
  <c r="F2186" i="5"/>
  <c r="K2186" i="5"/>
  <c r="B2186" i="5"/>
  <c r="F2185" i="5"/>
  <c r="K2185" i="5" s="1"/>
  <c r="B2185" i="5"/>
  <c r="F2182" i="5"/>
  <c r="K2182" i="5" s="1"/>
  <c r="B2182" i="5"/>
  <c r="F2181" i="5"/>
  <c r="K2181" i="5"/>
  <c r="B2181" i="5"/>
  <c r="F2180" i="5"/>
  <c r="K2180" i="5" s="1"/>
  <c r="B2180" i="5"/>
  <c r="F2179" i="5"/>
  <c r="K2179" i="5"/>
  <c r="B2179" i="5"/>
  <c r="F2177" i="5"/>
  <c r="K2177" i="5" s="1"/>
  <c r="B2177" i="5"/>
  <c r="F2174" i="5"/>
  <c r="K2174" i="5" s="1"/>
  <c r="B2174" i="5"/>
  <c r="F2173" i="5"/>
  <c r="K2173" i="5"/>
  <c r="B2173" i="5"/>
  <c r="F2170" i="5"/>
  <c r="K2170" i="5" s="1"/>
  <c r="B2170" i="5"/>
  <c r="F2169" i="5"/>
  <c r="K2169" i="5" s="1"/>
  <c r="B2169" i="5"/>
  <c r="F2168" i="5"/>
  <c r="K2168" i="5"/>
  <c r="B2168" i="5"/>
  <c r="F2167" i="5"/>
  <c r="K2167" i="5" s="1"/>
  <c r="B2167" i="5"/>
  <c r="F2166" i="5"/>
  <c r="K2166" i="5"/>
  <c r="B2166" i="5"/>
  <c r="F2165" i="5"/>
  <c r="K2165" i="5" s="1"/>
  <c r="B2165" i="5"/>
  <c r="F2164" i="5"/>
  <c r="K2164" i="5" s="1"/>
  <c r="B2164" i="5"/>
  <c r="F2163" i="5"/>
  <c r="K2163" i="5"/>
  <c r="B2163" i="5"/>
  <c r="F2160" i="5"/>
  <c r="K2160" i="5" s="1"/>
  <c r="B2160" i="5"/>
  <c r="F2159" i="5"/>
  <c r="K2159" i="5" s="1"/>
  <c r="B2159" i="5"/>
  <c r="F2158" i="5"/>
  <c r="K2158" i="5" s="1"/>
  <c r="B2158" i="5"/>
  <c r="F2157" i="5"/>
  <c r="K2157" i="5"/>
  <c r="B2157" i="5"/>
  <c r="F2156" i="5"/>
  <c r="K2156" i="5" s="1"/>
  <c r="B2156" i="5"/>
  <c r="F2155" i="5"/>
  <c r="K2155" i="5" s="1"/>
  <c r="B2155" i="5"/>
  <c r="F2154" i="5"/>
  <c r="K2154" i="5" s="1"/>
  <c r="B2154" i="5"/>
  <c r="F2153" i="5"/>
  <c r="K2153" i="5"/>
  <c r="B2153" i="5"/>
  <c r="F2152" i="5"/>
  <c r="K2152" i="5" s="1"/>
  <c r="B2152" i="5"/>
  <c r="F2151" i="5"/>
  <c r="K2151" i="5" s="1"/>
  <c r="B2151" i="5"/>
  <c r="F2150" i="5"/>
  <c r="K2150" i="5" s="1"/>
  <c r="B2150" i="5"/>
  <c r="F2149" i="5"/>
  <c r="K2149" i="5"/>
  <c r="B2149" i="5"/>
  <c r="F2146" i="5"/>
  <c r="K2146" i="5" s="1"/>
  <c r="B2146" i="5"/>
  <c r="F2145" i="5"/>
  <c r="K2145" i="5" s="1"/>
  <c r="B2145" i="5"/>
  <c r="F2144" i="5"/>
  <c r="K2144" i="5" s="1"/>
  <c r="B2144" i="5"/>
  <c r="F2143" i="5"/>
  <c r="K2143" i="5"/>
  <c r="B2143" i="5"/>
  <c r="F2142" i="5"/>
  <c r="K2142" i="5" s="1"/>
  <c r="B2142" i="5"/>
  <c r="F2141" i="5"/>
  <c r="K2141" i="5" s="1"/>
  <c r="B2141" i="5"/>
  <c r="F2140" i="5"/>
  <c r="K2140" i="5" s="1"/>
  <c r="B2140" i="5"/>
  <c r="F2137" i="5"/>
  <c r="K2137" i="5"/>
  <c r="B2137" i="5"/>
  <c r="F2136" i="5"/>
  <c r="K2136" i="5" s="1"/>
  <c r="B2136" i="5"/>
  <c r="F2135" i="5"/>
  <c r="K2135" i="5" s="1"/>
  <c r="B2135" i="5"/>
  <c r="F2134" i="5"/>
  <c r="K2134" i="5" s="1"/>
  <c r="B2134" i="5"/>
  <c r="F2133" i="5"/>
  <c r="K2133" i="5"/>
  <c r="B2133" i="5"/>
  <c r="F2132" i="5"/>
  <c r="K2132" i="5" s="1"/>
  <c r="B2132" i="5"/>
  <c r="F2129" i="5"/>
  <c r="K2129" i="5" s="1"/>
  <c r="B2129" i="5"/>
  <c r="F2128" i="5"/>
  <c r="K2128" i="5" s="1"/>
  <c r="B2128" i="5"/>
  <c r="F2127" i="5"/>
  <c r="K2127" i="5"/>
  <c r="B2127" i="5"/>
  <c r="F2126" i="5"/>
  <c r="K2126" i="5" s="1"/>
  <c r="B2126" i="5"/>
  <c r="F2125" i="5"/>
  <c r="K2125" i="5" s="1"/>
  <c r="B2125" i="5"/>
  <c r="F2124" i="5"/>
  <c r="K2124" i="5" s="1"/>
  <c r="B2124" i="5"/>
  <c r="F2123" i="5"/>
  <c r="K2123" i="5"/>
  <c r="B2123" i="5"/>
  <c r="F2122" i="5"/>
  <c r="K2122" i="5" s="1"/>
  <c r="B2122" i="5"/>
  <c r="F2121" i="5"/>
  <c r="K2121" i="5" s="1"/>
  <c r="B2121" i="5"/>
  <c r="F2120" i="5"/>
  <c r="K2120" i="5"/>
  <c r="B2120" i="5"/>
  <c r="F2119" i="5"/>
  <c r="K2119" i="5" s="1"/>
  <c r="B2119" i="5"/>
  <c r="F2118" i="5"/>
  <c r="K2118" i="5"/>
  <c r="B2118" i="5"/>
  <c r="F2117" i="5"/>
  <c r="K2117" i="5" s="1"/>
  <c r="B2117" i="5"/>
  <c r="F2116" i="5"/>
  <c r="K2116" i="5" s="1"/>
  <c r="B2116" i="5"/>
  <c r="F2115" i="5"/>
  <c r="K2115" i="5"/>
  <c r="B2115" i="5"/>
  <c r="F2114" i="5"/>
  <c r="K2114" i="5" s="1"/>
  <c r="B2114" i="5"/>
  <c r="F2113" i="5"/>
  <c r="K2113" i="5" s="1"/>
  <c r="B2113" i="5"/>
  <c r="F2112" i="5"/>
  <c r="K2112" i="5"/>
  <c r="B2112" i="5"/>
  <c r="F2111" i="5"/>
  <c r="K2111" i="5" s="1"/>
  <c r="B2111" i="5"/>
  <c r="F2110" i="5"/>
  <c r="K2110" i="5"/>
  <c r="B2110" i="5"/>
  <c r="F2109" i="5"/>
  <c r="K2109" i="5" s="1"/>
  <c r="B2109" i="5"/>
  <c r="F2108" i="5"/>
  <c r="K2108" i="5" s="1"/>
  <c r="B2108" i="5"/>
  <c r="F2107" i="5"/>
  <c r="K2107" i="5"/>
  <c r="B2107" i="5"/>
  <c r="F2106" i="5"/>
  <c r="K2106" i="5" s="1"/>
  <c r="B2106" i="5"/>
  <c r="F2103" i="5"/>
  <c r="K2103" i="5" s="1"/>
  <c r="B2103" i="5"/>
  <c r="F2102" i="5"/>
  <c r="K2102" i="5"/>
  <c r="B2102" i="5"/>
  <c r="F2101" i="5"/>
  <c r="K2101" i="5" s="1"/>
  <c r="B2101" i="5"/>
  <c r="F2100" i="5"/>
  <c r="K2100" i="5"/>
  <c r="B2100" i="5"/>
  <c r="F2099" i="5"/>
  <c r="K2099" i="5" s="1"/>
  <c r="B2099" i="5"/>
  <c r="F2098" i="5"/>
  <c r="K2098" i="5" s="1"/>
  <c r="B2098" i="5"/>
  <c r="F2097" i="5"/>
  <c r="K2097" i="5"/>
  <c r="B2097" i="5"/>
  <c r="F2096" i="5"/>
  <c r="K2096" i="5" s="1"/>
  <c r="B2096" i="5"/>
  <c r="F2095" i="5"/>
  <c r="K2095" i="5" s="1"/>
  <c r="B2095" i="5"/>
  <c r="F2094" i="5"/>
  <c r="K2094" i="5"/>
  <c r="B2094" i="5"/>
  <c r="F2093" i="5"/>
  <c r="K2093" i="5" s="1"/>
  <c r="B2093" i="5"/>
  <c r="F2092" i="5"/>
  <c r="K2092" i="5"/>
  <c r="B2092" i="5"/>
  <c r="F2090" i="5"/>
  <c r="K2090" i="5" s="1"/>
  <c r="B2090" i="5"/>
  <c r="F2089" i="5"/>
  <c r="K2089" i="5" s="1"/>
  <c r="B2089" i="5"/>
  <c r="F2087" i="5"/>
  <c r="K2087" i="5"/>
  <c r="B2087" i="5"/>
  <c r="F2083" i="5"/>
  <c r="K2083" i="5" s="1"/>
  <c r="B2083" i="5"/>
  <c r="F2082" i="5"/>
  <c r="K2082" i="5" s="1"/>
  <c r="B2082" i="5"/>
  <c r="F2081" i="5"/>
  <c r="K2081" i="5"/>
  <c r="B2081" i="5"/>
  <c r="F2080" i="5"/>
  <c r="K2080" i="5" s="1"/>
  <c r="B2080" i="5"/>
  <c r="F2079" i="5"/>
  <c r="K2079" i="5"/>
  <c r="B2079" i="5"/>
  <c r="F2078" i="5"/>
  <c r="K2078" i="5" s="1"/>
  <c r="B2078" i="5"/>
  <c r="F2077" i="5"/>
  <c r="K2077" i="5" s="1"/>
  <c r="B2077" i="5"/>
  <c r="F2076" i="5"/>
  <c r="K2076" i="5"/>
  <c r="B2076" i="5"/>
  <c r="F2075" i="5"/>
  <c r="K2075" i="5" s="1"/>
  <c r="B2075" i="5"/>
  <c r="F2074" i="5"/>
  <c r="K2074" i="5" s="1"/>
  <c r="B2074" i="5"/>
  <c r="F2073" i="5"/>
  <c r="K2073" i="5"/>
  <c r="B2073" i="5"/>
  <c r="F2072" i="5"/>
  <c r="K2072" i="5" s="1"/>
  <c r="B2072" i="5"/>
  <c r="F2071" i="5"/>
  <c r="K2071" i="5"/>
  <c r="B2071" i="5"/>
  <c r="F2070" i="5"/>
  <c r="K2070" i="5" s="1"/>
  <c r="B2070" i="5"/>
  <c r="F2066" i="5"/>
  <c r="K2066" i="5" s="1"/>
  <c r="B2066" i="5"/>
  <c r="F2065" i="5"/>
  <c r="K2065" i="5"/>
  <c r="B2065" i="5"/>
  <c r="F2064" i="5"/>
  <c r="K2064" i="5" s="1"/>
  <c r="B2064" i="5"/>
  <c r="F2063" i="5"/>
  <c r="K2063" i="5" s="1"/>
  <c r="B2063" i="5"/>
  <c r="F2062" i="5"/>
  <c r="K2062" i="5" s="1"/>
  <c r="B2062" i="5"/>
  <c r="F2061" i="5"/>
  <c r="K2061" i="5"/>
  <c r="B2061" i="5"/>
  <c r="F2059" i="5"/>
  <c r="K2059" i="5" s="1"/>
  <c r="B2059" i="5"/>
  <c r="F2057" i="5"/>
  <c r="K2057" i="5" s="1"/>
  <c r="B2057" i="5"/>
  <c r="F2053" i="5"/>
  <c r="K2053" i="5" s="1"/>
  <c r="B2053" i="5"/>
  <c r="F2052" i="5"/>
  <c r="K2052" i="5"/>
  <c r="B2052" i="5"/>
  <c r="F2051" i="5"/>
  <c r="K2051" i="5" s="1"/>
  <c r="B2051" i="5"/>
  <c r="F2050" i="5"/>
  <c r="K2050" i="5" s="1"/>
  <c r="B2050" i="5"/>
  <c r="F2049" i="5"/>
  <c r="K2049" i="5"/>
  <c r="B2049" i="5"/>
  <c r="F2048" i="5"/>
  <c r="K2048" i="5" s="1"/>
  <c r="B2048" i="5"/>
  <c r="F2047" i="5"/>
  <c r="K2047" i="5"/>
  <c r="B2047" i="5"/>
  <c r="F2046" i="5"/>
  <c r="K2046" i="5" s="1"/>
  <c r="B2046" i="5"/>
  <c r="F2045" i="5"/>
  <c r="K2045" i="5" s="1"/>
  <c r="B2045" i="5"/>
  <c r="F2044" i="5"/>
  <c r="K2044" i="5"/>
  <c r="B2044" i="5"/>
  <c r="F2043" i="5"/>
  <c r="K2043" i="5" s="1"/>
  <c r="B2043" i="5"/>
  <c r="F2039" i="5"/>
  <c r="K2039" i="5" s="1"/>
  <c r="B2039" i="5"/>
  <c r="F2038" i="5"/>
  <c r="K2038" i="5"/>
  <c r="B2038" i="5"/>
  <c r="F2037" i="5"/>
  <c r="K2037" i="5" s="1"/>
  <c r="B2037" i="5"/>
  <c r="F2036" i="5"/>
  <c r="K2036" i="5"/>
  <c r="B2036" i="5"/>
  <c r="F2035" i="5"/>
  <c r="K2035" i="5" s="1"/>
  <c r="B2035" i="5"/>
  <c r="F2034" i="5"/>
  <c r="K2034" i="5" s="1"/>
  <c r="B2034" i="5"/>
  <c r="F2033" i="5"/>
  <c r="K2033" i="5"/>
  <c r="B2033" i="5"/>
  <c r="F2029" i="5"/>
  <c r="K2029" i="5" s="1"/>
  <c r="B2029" i="5"/>
  <c r="F2025" i="5"/>
  <c r="K2025" i="5" s="1"/>
  <c r="B2025" i="5"/>
  <c r="F2024" i="5"/>
  <c r="K2024" i="5"/>
  <c r="B2024" i="5"/>
  <c r="F2023" i="5"/>
  <c r="K2023" i="5" s="1"/>
  <c r="B2023" i="5"/>
  <c r="F2022" i="5"/>
  <c r="K2022" i="5"/>
  <c r="B2022" i="5"/>
  <c r="F2021" i="5"/>
  <c r="K2021" i="5" s="1"/>
  <c r="B2021" i="5"/>
  <c r="F2020" i="5"/>
  <c r="K2020" i="5" s="1"/>
  <c r="B2020" i="5"/>
  <c r="F2019" i="5"/>
  <c r="K2019" i="5"/>
  <c r="B2019" i="5"/>
  <c r="F2018" i="5"/>
  <c r="K2018" i="5" s="1"/>
  <c r="B2018" i="5"/>
  <c r="F2017" i="5"/>
  <c r="K2017" i="5" s="1"/>
  <c r="B2017" i="5"/>
  <c r="F2016" i="5"/>
  <c r="K2016" i="5"/>
  <c r="B2016" i="5"/>
  <c r="F2015" i="5"/>
  <c r="K2015" i="5" s="1"/>
  <c r="B2015" i="5"/>
  <c r="F2014" i="5"/>
  <c r="K2014" i="5" s="1"/>
  <c r="B2014" i="5"/>
  <c r="F2013" i="5"/>
  <c r="K2013" i="5" s="1"/>
  <c r="B2013" i="5"/>
  <c r="F2012" i="5"/>
  <c r="K2012" i="5"/>
  <c r="B2012" i="5"/>
  <c r="F2008" i="5"/>
  <c r="K2008" i="5" s="1"/>
  <c r="B2008" i="5"/>
  <c r="F2007" i="5"/>
  <c r="K2007" i="5"/>
  <c r="B2007" i="5"/>
  <c r="F2006" i="5"/>
  <c r="K2006" i="5" s="1"/>
  <c r="B2006" i="5"/>
  <c r="F2005" i="5"/>
  <c r="K2005" i="5" s="1"/>
  <c r="B2005" i="5"/>
  <c r="F2004" i="5"/>
  <c r="K2004" i="5"/>
  <c r="B2004" i="5"/>
  <c r="F2003" i="5"/>
  <c r="K2003" i="5" s="1"/>
  <c r="B2003" i="5"/>
  <c r="F2002" i="5"/>
  <c r="K2002" i="5" s="1"/>
  <c r="B2002" i="5"/>
  <c r="F2001" i="5"/>
  <c r="K2001" i="5"/>
  <c r="B2001" i="5"/>
  <c r="F2000" i="5"/>
  <c r="K2000" i="5" s="1"/>
  <c r="B2000" i="5"/>
  <c r="F1999" i="5"/>
  <c r="K1999" i="5"/>
  <c r="B1999" i="5"/>
  <c r="F1998" i="5"/>
  <c r="K1998" i="5" s="1"/>
  <c r="B1998" i="5"/>
  <c r="F1997" i="5"/>
  <c r="K1997" i="5" s="1"/>
  <c r="B1997" i="5"/>
  <c r="F1992" i="5"/>
  <c r="K1992" i="5"/>
  <c r="B1992" i="5"/>
  <c r="F1991" i="5"/>
  <c r="K1991" i="5" s="1"/>
  <c r="B1991" i="5"/>
  <c r="F1990" i="5"/>
  <c r="K1990" i="5" s="1"/>
  <c r="B1990" i="5"/>
  <c r="F1989" i="5"/>
  <c r="K1989" i="5"/>
  <c r="B1989" i="5"/>
  <c r="F1988" i="5"/>
  <c r="K1988" i="5" s="1"/>
  <c r="B1988" i="5"/>
  <c r="F1987" i="5"/>
  <c r="K1987" i="5"/>
  <c r="B1987" i="5"/>
  <c r="F1986" i="5"/>
  <c r="K1986" i="5" s="1"/>
  <c r="B1986" i="5"/>
  <c r="F1985" i="5"/>
  <c r="K1985" i="5" s="1"/>
  <c r="B1985" i="5"/>
  <c r="F1984" i="5"/>
  <c r="K1984" i="5"/>
  <c r="B1984" i="5"/>
  <c r="F1983" i="5"/>
  <c r="K1983" i="5" s="1"/>
  <c r="B1983" i="5"/>
  <c r="F1982" i="5"/>
  <c r="K1982" i="5" s="1"/>
  <c r="B1982" i="5"/>
  <c r="F1981" i="5"/>
  <c r="K1981" i="5"/>
  <c r="B1981" i="5"/>
  <c r="F1980" i="5"/>
  <c r="K1980" i="5" s="1"/>
  <c r="B1980" i="5"/>
  <c r="F1979" i="5"/>
  <c r="K1979" i="5"/>
  <c r="B1979" i="5"/>
  <c r="F1978" i="5"/>
  <c r="K1978" i="5" s="1"/>
  <c r="B1978" i="5"/>
  <c r="F1974" i="5"/>
  <c r="K1974" i="5" s="1"/>
  <c r="B1974" i="5"/>
  <c r="F1973" i="5"/>
  <c r="K1973" i="5"/>
  <c r="B1973" i="5"/>
  <c r="F1972" i="5"/>
  <c r="K1972" i="5" s="1"/>
  <c r="B1972" i="5"/>
  <c r="F1971" i="5"/>
  <c r="K1971" i="5" s="1"/>
  <c r="B1971" i="5"/>
  <c r="F1970" i="5"/>
  <c r="K1970" i="5"/>
  <c r="B1970" i="5"/>
  <c r="F1969" i="5"/>
  <c r="K1969" i="5" s="1"/>
  <c r="B1969" i="5"/>
  <c r="F1968" i="5"/>
  <c r="K1968" i="5" s="1"/>
  <c r="B1968" i="5"/>
  <c r="F1967" i="5"/>
  <c r="K1967" i="5" s="1"/>
  <c r="B1967" i="5"/>
  <c r="F1966" i="5"/>
  <c r="K1966" i="5"/>
  <c r="B1966" i="5"/>
  <c r="F1965" i="5"/>
  <c r="K1965" i="5" s="1"/>
  <c r="B1965" i="5"/>
  <c r="F1964" i="5"/>
  <c r="K1964" i="5" s="1"/>
  <c r="B1964" i="5"/>
  <c r="F1963" i="5"/>
  <c r="K1963" i="5" s="1"/>
  <c r="B1963" i="5"/>
  <c r="F1962" i="5"/>
  <c r="K1962" i="5"/>
  <c r="B1962" i="5"/>
  <c r="F1961" i="5"/>
  <c r="K1961" i="5" s="1"/>
  <c r="B1961" i="5"/>
  <c r="F1957" i="5"/>
  <c r="K1957" i="5" s="1"/>
  <c r="B1957" i="5"/>
  <c r="F1956" i="5"/>
  <c r="K1956" i="5" s="1"/>
  <c r="B1956" i="5"/>
  <c r="F1952" i="5"/>
  <c r="K1952" i="5"/>
  <c r="B1952" i="5"/>
  <c r="F1951" i="5"/>
  <c r="K1951" i="5" s="1"/>
  <c r="B1951" i="5"/>
  <c r="F1950" i="5"/>
  <c r="K1950" i="5"/>
  <c r="B1950" i="5"/>
  <c r="F1949" i="5"/>
  <c r="K1949" i="5" s="1"/>
  <c r="B1949" i="5"/>
  <c r="F1948" i="5"/>
  <c r="K1948" i="5" s="1"/>
  <c r="B1948" i="5"/>
  <c r="F1947" i="5"/>
  <c r="K1947" i="5"/>
  <c r="B1947" i="5"/>
  <c r="F1945" i="5"/>
  <c r="K1945" i="5" s="1"/>
  <c r="B1945" i="5"/>
  <c r="F1944" i="5"/>
  <c r="K1944" i="5" s="1"/>
  <c r="B1944" i="5"/>
  <c r="F1942" i="5"/>
  <c r="K1942" i="5"/>
  <c r="B1942" i="5"/>
  <c r="F1941" i="5"/>
  <c r="K1941" i="5" s="1"/>
  <c r="B1941" i="5"/>
  <c r="F1940" i="5"/>
  <c r="K1940" i="5"/>
  <c r="B1940" i="5"/>
  <c r="F1939" i="5"/>
  <c r="K1939" i="5" s="1"/>
  <c r="B1939" i="5"/>
  <c r="F1938" i="5"/>
  <c r="K1938" i="5" s="1"/>
  <c r="B1938" i="5"/>
  <c r="F1937" i="5"/>
  <c r="K1937" i="5"/>
  <c r="B1937" i="5"/>
  <c r="F1936" i="5"/>
  <c r="K1936" i="5" s="1"/>
  <c r="B1936" i="5"/>
  <c r="F1935" i="5"/>
  <c r="K1935" i="5" s="1"/>
  <c r="B1935" i="5"/>
  <c r="F1934" i="5"/>
  <c r="K1934" i="5" s="1"/>
  <c r="B1934" i="5"/>
  <c r="F1933" i="5"/>
  <c r="K1933" i="5"/>
  <c r="B1933" i="5"/>
  <c r="F1932" i="5"/>
  <c r="K1932" i="5" s="1"/>
  <c r="B1932" i="5"/>
  <c r="F1931" i="5"/>
  <c r="K1931" i="5" s="1"/>
  <c r="B1931" i="5"/>
  <c r="F1930" i="5"/>
  <c r="K1930" i="5"/>
  <c r="B1930" i="5"/>
  <c r="F1929" i="5"/>
  <c r="K1929" i="5" s="1"/>
  <c r="B1929" i="5"/>
  <c r="F1927" i="5"/>
  <c r="K1927" i="5"/>
  <c r="B1927" i="5"/>
  <c r="F1925" i="5"/>
  <c r="K1925" i="5" s="1"/>
  <c r="B1925" i="5"/>
  <c r="T1924" i="5"/>
  <c r="S1916" i="5"/>
  <c r="S1917" i="5"/>
  <c r="S1924" i="5" s="1"/>
  <c r="S1918" i="5"/>
  <c r="S1919" i="5"/>
  <c r="S1920" i="5"/>
  <c r="S1921" i="5"/>
  <c r="S1922" i="5"/>
  <c r="S1923" i="5"/>
  <c r="R1924" i="5"/>
  <c r="F1923" i="5"/>
  <c r="K1923" i="5"/>
  <c r="B1923" i="5"/>
  <c r="F1922" i="5"/>
  <c r="K1922" i="5" s="1"/>
  <c r="B1922" i="5"/>
  <c r="F1921" i="5"/>
  <c r="K1921" i="5" s="1"/>
  <c r="B1921" i="5"/>
  <c r="F1920" i="5"/>
  <c r="K1920" i="5" s="1"/>
  <c r="B1920" i="5"/>
  <c r="F1919" i="5"/>
  <c r="K1919" i="5"/>
  <c r="B1919" i="5"/>
  <c r="F1918" i="5"/>
  <c r="K1918" i="5" s="1"/>
  <c r="B1918" i="5"/>
  <c r="F1917" i="5"/>
  <c r="K1917" i="5" s="1"/>
  <c r="B1917" i="5"/>
  <c r="F1916" i="5"/>
  <c r="K1916" i="5" s="1"/>
  <c r="B1916" i="5"/>
  <c r="T1914" i="5"/>
  <c r="R1912" i="5"/>
  <c r="R1914" i="5" s="1"/>
  <c r="F1912" i="5"/>
  <c r="K1912" i="5" s="1"/>
  <c r="B1912" i="5"/>
  <c r="T1910" i="5"/>
  <c r="R1894" i="5"/>
  <c r="S1894" i="5" s="1"/>
  <c r="R1895" i="5"/>
  <c r="S1895" i="5" s="1"/>
  <c r="R1896" i="5"/>
  <c r="S1896" i="5"/>
  <c r="R1897" i="5"/>
  <c r="S1897" i="5" s="1"/>
  <c r="R1898" i="5"/>
  <c r="S1898" i="5" s="1"/>
  <c r="R1899" i="5"/>
  <c r="S1899" i="5" s="1"/>
  <c r="R1900" i="5"/>
  <c r="S1900" i="5"/>
  <c r="R1901" i="5"/>
  <c r="S1901" i="5" s="1"/>
  <c r="R1902" i="5"/>
  <c r="S1902" i="5" s="1"/>
  <c r="R1903" i="5"/>
  <c r="S1903" i="5" s="1"/>
  <c r="R1904" i="5"/>
  <c r="S1904" i="5"/>
  <c r="R1905" i="5"/>
  <c r="S1905" i="5" s="1"/>
  <c r="R1906" i="5"/>
  <c r="S1906" i="5" s="1"/>
  <c r="R1907" i="5"/>
  <c r="S1907" i="5" s="1"/>
  <c r="R1908" i="5"/>
  <c r="S1908" i="5"/>
  <c r="R1909" i="5"/>
  <c r="S1909" i="5" s="1"/>
  <c r="F1909" i="5"/>
  <c r="K1909" i="5" s="1"/>
  <c r="B1909" i="5"/>
  <c r="F1908" i="5"/>
  <c r="K1908" i="5" s="1"/>
  <c r="B1908" i="5"/>
  <c r="F1907" i="5"/>
  <c r="K1907" i="5"/>
  <c r="B1907" i="5"/>
  <c r="F1906" i="5"/>
  <c r="K1906" i="5" s="1"/>
  <c r="B1906" i="5"/>
  <c r="F1905" i="5"/>
  <c r="K1905" i="5" s="1"/>
  <c r="B1905" i="5"/>
  <c r="F1904" i="5"/>
  <c r="K1904" i="5" s="1"/>
  <c r="B1904" i="5"/>
  <c r="F1903" i="5"/>
  <c r="K1903" i="5"/>
  <c r="B1903" i="5"/>
  <c r="F1902" i="5"/>
  <c r="K1902" i="5" s="1"/>
  <c r="B1902" i="5"/>
  <c r="F1901" i="5"/>
  <c r="K1901" i="5" s="1"/>
  <c r="B1901" i="5"/>
  <c r="F1900" i="5"/>
  <c r="K1900" i="5" s="1"/>
  <c r="B1900" i="5"/>
  <c r="F1899" i="5"/>
  <c r="K1899" i="5"/>
  <c r="B1899" i="5"/>
  <c r="F1898" i="5"/>
  <c r="K1898" i="5" s="1"/>
  <c r="B1898" i="5"/>
  <c r="F1897" i="5"/>
  <c r="K1897" i="5" s="1"/>
  <c r="B1897" i="5"/>
  <c r="F1896" i="5"/>
  <c r="K1896" i="5" s="1"/>
  <c r="B1896" i="5"/>
  <c r="F1895" i="5"/>
  <c r="K1895" i="5"/>
  <c r="B1895" i="5"/>
  <c r="F1894" i="5"/>
  <c r="K1894" i="5" s="1"/>
  <c r="B1894" i="5"/>
  <c r="R1874" i="5"/>
  <c r="T1874" i="5"/>
  <c r="R1875" i="5"/>
  <c r="T1875" i="5"/>
  <c r="R1876" i="5"/>
  <c r="T1876" i="5"/>
  <c r="R1877" i="5"/>
  <c r="T1877" i="5"/>
  <c r="R1878" i="5"/>
  <c r="T1878" i="5"/>
  <c r="R1879" i="5"/>
  <c r="T1879" i="5"/>
  <c r="R1880" i="5"/>
  <c r="T1880" i="5"/>
  <c r="R1881" i="5"/>
  <c r="T1881" i="5"/>
  <c r="R1882" i="5"/>
  <c r="T1882" i="5"/>
  <c r="R1883" i="5"/>
  <c r="T1883" i="5"/>
  <c r="R1884" i="5"/>
  <c r="T1884" i="5"/>
  <c r="R1885" i="5"/>
  <c r="T1885" i="5"/>
  <c r="R1886" i="5"/>
  <c r="T1886" i="5"/>
  <c r="R1887" i="5"/>
  <c r="T1887" i="5"/>
  <c r="R1888" i="5"/>
  <c r="T1888" i="5" s="1"/>
  <c r="R1889" i="5"/>
  <c r="R1892" i="5" s="1"/>
  <c r="R1890" i="5"/>
  <c r="T1890" i="5" s="1"/>
  <c r="R1891" i="5"/>
  <c r="T1891" i="5" s="1"/>
  <c r="S1892" i="5"/>
  <c r="F1891" i="5"/>
  <c r="K1891" i="5" s="1"/>
  <c r="B1891" i="5"/>
  <c r="F1890" i="5"/>
  <c r="K1890" i="5" s="1"/>
  <c r="B1890" i="5"/>
  <c r="F1889" i="5"/>
  <c r="K1889" i="5"/>
  <c r="B1889" i="5"/>
  <c r="F1888" i="5"/>
  <c r="K1888" i="5" s="1"/>
  <c r="B1888" i="5"/>
  <c r="F1887" i="5"/>
  <c r="K1887" i="5" s="1"/>
  <c r="B1887" i="5"/>
  <c r="F1886" i="5"/>
  <c r="K1886" i="5" s="1"/>
  <c r="B1886" i="5"/>
  <c r="F1885" i="5"/>
  <c r="K1885" i="5"/>
  <c r="B1885" i="5"/>
  <c r="F1884" i="5"/>
  <c r="K1884" i="5" s="1"/>
  <c r="B1884" i="5"/>
  <c r="F1883" i="5"/>
  <c r="K1883" i="5" s="1"/>
  <c r="B1883" i="5"/>
  <c r="F1882" i="5"/>
  <c r="K1882" i="5"/>
  <c r="B1882" i="5"/>
  <c r="F1881" i="5"/>
  <c r="K1881" i="5" s="1"/>
  <c r="B1881" i="5"/>
  <c r="F1880" i="5"/>
  <c r="K1880" i="5"/>
  <c r="B1880" i="5"/>
  <c r="F1879" i="5"/>
  <c r="K1879" i="5" s="1"/>
  <c r="B1879" i="5"/>
  <c r="F1878" i="5"/>
  <c r="K1878" i="5" s="1"/>
  <c r="B1878" i="5"/>
  <c r="F1877" i="5"/>
  <c r="K1877" i="5" s="1"/>
  <c r="B1877" i="5"/>
  <c r="F1876" i="5"/>
  <c r="K1876" i="5"/>
  <c r="B1876" i="5"/>
  <c r="F1875" i="5"/>
  <c r="K1875" i="5" s="1"/>
  <c r="B1875" i="5"/>
  <c r="F1874" i="5"/>
  <c r="K1874" i="5" s="1"/>
  <c r="B1874" i="5"/>
  <c r="T1872" i="5"/>
  <c r="S1834" i="5"/>
  <c r="S1835" i="5"/>
  <c r="S1836" i="5"/>
  <c r="S1837" i="5"/>
  <c r="S1838" i="5"/>
  <c r="S1839" i="5"/>
  <c r="S1840" i="5"/>
  <c r="S1841" i="5"/>
  <c r="S1842" i="5"/>
  <c r="S1843" i="5"/>
  <c r="S1844" i="5"/>
  <c r="S1845" i="5"/>
  <c r="S1846" i="5"/>
  <c r="S1847" i="5"/>
  <c r="S1848" i="5"/>
  <c r="S1849" i="5"/>
  <c r="S1850" i="5"/>
  <c r="S1851" i="5"/>
  <c r="S1852" i="5"/>
  <c r="S1853" i="5"/>
  <c r="S1854" i="5"/>
  <c r="S1855" i="5"/>
  <c r="S1856" i="5"/>
  <c r="S1857" i="5"/>
  <c r="S1858" i="5"/>
  <c r="S1859" i="5"/>
  <c r="S1860" i="5"/>
  <c r="S1861" i="5"/>
  <c r="S1862" i="5"/>
  <c r="R1863" i="5"/>
  <c r="S1863" i="5" s="1"/>
  <c r="S1864" i="5"/>
  <c r="S1865" i="5"/>
  <c r="S1866" i="5"/>
  <c r="S1867" i="5"/>
  <c r="S1868" i="5"/>
  <c r="S1869" i="5"/>
  <c r="S1870" i="5"/>
  <c r="S1871" i="5"/>
  <c r="F1871" i="5"/>
  <c r="K1871" i="5" s="1"/>
  <c r="B1871" i="5"/>
  <c r="F1870" i="5"/>
  <c r="K1870" i="5" s="1"/>
  <c r="B1870" i="5"/>
  <c r="F1869" i="5"/>
  <c r="K1869" i="5" s="1"/>
  <c r="B1869" i="5"/>
  <c r="F1868" i="5"/>
  <c r="K1868" i="5"/>
  <c r="B1868" i="5"/>
  <c r="F1867" i="5"/>
  <c r="K1867" i="5" s="1"/>
  <c r="B1867" i="5"/>
  <c r="F1866" i="5"/>
  <c r="K1866" i="5" s="1"/>
  <c r="B1866" i="5"/>
  <c r="F1865" i="5"/>
  <c r="K1865" i="5"/>
  <c r="B1865" i="5"/>
  <c r="F1864" i="5"/>
  <c r="K1864" i="5" s="1"/>
  <c r="B1864" i="5"/>
  <c r="F1863" i="5"/>
  <c r="K1863" i="5" s="1"/>
  <c r="B1863" i="5"/>
  <c r="F1862" i="5"/>
  <c r="K1862" i="5"/>
  <c r="B1862" i="5"/>
  <c r="F1861" i="5"/>
  <c r="K1861" i="5" s="1"/>
  <c r="B1861" i="5"/>
  <c r="F1860" i="5"/>
  <c r="K1860" i="5" s="1"/>
  <c r="B1860" i="5"/>
  <c r="F1859" i="5"/>
  <c r="K1859" i="5"/>
  <c r="B1859" i="5"/>
  <c r="F1858" i="5"/>
  <c r="K1858" i="5" s="1"/>
  <c r="B1858" i="5"/>
  <c r="F1857" i="5"/>
  <c r="K1857" i="5"/>
  <c r="B1857" i="5"/>
  <c r="F1856" i="5"/>
  <c r="K1856" i="5" s="1"/>
  <c r="B1856" i="5"/>
  <c r="F1855" i="5"/>
  <c r="K1855" i="5" s="1"/>
  <c r="B1855" i="5"/>
  <c r="F1854" i="5"/>
  <c r="K1854" i="5"/>
  <c r="B1854" i="5"/>
  <c r="F1853" i="5"/>
  <c r="K1853" i="5" s="1"/>
  <c r="B1853" i="5"/>
  <c r="F1852" i="5"/>
  <c r="K1852" i="5" s="1"/>
  <c r="B1852" i="5"/>
  <c r="F1851" i="5"/>
  <c r="K1851" i="5"/>
  <c r="B1851" i="5"/>
  <c r="F1850" i="5"/>
  <c r="K1850" i="5" s="1"/>
  <c r="B1850" i="5"/>
  <c r="F1849" i="5"/>
  <c r="K1849" i="5"/>
  <c r="B1849" i="5"/>
  <c r="F1848" i="5"/>
  <c r="K1848" i="5" s="1"/>
  <c r="B1848" i="5"/>
  <c r="F1847" i="5"/>
  <c r="K1847" i="5" s="1"/>
  <c r="B1847" i="5"/>
  <c r="F1846" i="5"/>
  <c r="K1846" i="5"/>
  <c r="B1846" i="5"/>
  <c r="F1845" i="5"/>
  <c r="K1845" i="5" s="1"/>
  <c r="B1845" i="5"/>
  <c r="F1844" i="5"/>
  <c r="K1844" i="5" s="1"/>
  <c r="B1844" i="5"/>
  <c r="F1843" i="5"/>
  <c r="K1843" i="5"/>
  <c r="B1843" i="5"/>
  <c r="F1842" i="5"/>
  <c r="K1842" i="5" s="1"/>
  <c r="B1842" i="5"/>
  <c r="F1841" i="5"/>
  <c r="K1841" i="5"/>
  <c r="B1841" i="5"/>
  <c r="F1840" i="5"/>
  <c r="K1840" i="5" s="1"/>
  <c r="B1840" i="5"/>
  <c r="F1839" i="5"/>
  <c r="K1839" i="5" s="1"/>
  <c r="B1839" i="5"/>
  <c r="F1838" i="5"/>
  <c r="K1838" i="5"/>
  <c r="B1838" i="5"/>
  <c r="F1837" i="5"/>
  <c r="K1837" i="5" s="1"/>
  <c r="B1837" i="5"/>
  <c r="F1836" i="5"/>
  <c r="K1836" i="5" s="1"/>
  <c r="B1836" i="5"/>
  <c r="F1835" i="5"/>
  <c r="K1835" i="5"/>
  <c r="B1835" i="5"/>
  <c r="F1834" i="5"/>
  <c r="K1834" i="5" s="1"/>
  <c r="B1834" i="5"/>
  <c r="T1832" i="5"/>
  <c r="S1829" i="5"/>
  <c r="S1830" i="5"/>
  <c r="S1831" i="5"/>
  <c r="R1832" i="5"/>
  <c r="F1831" i="5"/>
  <c r="K1831" i="5" s="1"/>
  <c r="B1831" i="5"/>
  <c r="F1830" i="5"/>
  <c r="K1830" i="5"/>
  <c r="B1830" i="5"/>
  <c r="F1829" i="5"/>
  <c r="K1829" i="5" s="1"/>
  <c r="B1829" i="5"/>
  <c r="T1827" i="5"/>
  <c r="S1817" i="5"/>
  <c r="S1818" i="5"/>
  <c r="S1819" i="5"/>
  <c r="S1820" i="5"/>
  <c r="S1821" i="5"/>
  <c r="S1822" i="5"/>
  <c r="S1823" i="5"/>
  <c r="S1824" i="5"/>
  <c r="S1825" i="5"/>
  <c r="S1826" i="5"/>
  <c r="R1827" i="5"/>
  <c r="F1826" i="5"/>
  <c r="K1826" i="5" s="1"/>
  <c r="B1826" i="5"/>
  <c r="F1825" i="5"/>
  <c r="K1825" i="5" s="1"/>
  <c r="B1825" i="5"/>
  <c r="F1824" i="5"/>
  <c r="K1824" i="5"/>
  <c r="B1824" i="5"/>
  <c r="F1823" i="5"/>
  <c r="K1823" i="5" s="1"/>
  <c r="B1823" i="5"/>
  <c r="F1822" i="5"/>
  <c r="K1822" i="5"/>
  <c r="B1822" i="5"/>
  <c r="F1821" i="5"/>
  <c r="K1821" i="5" s="1"/>
  <c r="B1821" i="5"/>
  <c r="F1820" i="5"/>
  <c r="K1820" i="5" s="1"/>
  <c r="B1820" i="5"/>
  <c r="F1819" i="5"/>
  <c r="K1819" i="5"/>
  <c r="B1819" i="5"/>
  <c r="B1818" i="5"/>
  <c r="F1817" i="5"/>
  <c r="K1817" i="5"/>
  <c r="B1817" i="5"/>
  <c r="T1815" i="5"/>
  <c r="S1809" i="5"/>
  <c r="S1815" i="5" s="1"/>
  <c r="S1810" i="5"/>
  <c r="S1811" i="5"/>
  <c r="S1812" i="5"/>
  <c r="S1813" i="5"/>
  <c r="S1814" i="5"/>
  <c r="R1815" i="5"/>
  <c r="F1814" i="5"/>
  <c r="K1814" i="5"/>
  <c r="B1814" i="5"/>
  <c r="F1813" i="5"/>
  <c r="K1813" i="5" s="1"/>
  <c r="B1813" i="5"/>
  <c r="F1812" i="5"/>
  <c r="K1812" i="5" s="1"/>
  <c r="B1812" i="5"/>
  <c r="F1811" i="5"/>
  <c r="K1811" i="5"/>
  <c r="B1811" i="5"/>
  <c r="F1810" i="5"/>
  <c r="K1810" i="5" s="1"/>
  <c r="B1810" i="5"/>
  <c r="F1809" i="5"/>
  <c r="K1809" i="5"/>
  <c r="B1809" i="5"/>
  <c r="T1807" i="5"/>
  <c r="R1805" i="5"/>
  <c r="S1805" i="5"/>
  <c r="S1807" i="5" s="1"/>
  <c r="S1806" i="5"/>
  <c r="R1807" i="5"/>
  <c r="AA1806" i="5"/>
  <c r="Z1806" i="5"/>
  <c r="F1806" i="5"/>
  <c r="K1806" i="5" s="1"/>
  <c r="B1806" i="5"/>
  <c r="AA1805" i="5"/>
  <c r="Z1805" i="5"/>
  <c r="F1805" i="5"/>
  <c r="K1805" i="5" s="1"/>
  <c r="B1805" i="5"/>
  <c r="F1803" i="5"/>
  <c r="K1803" i="5" s="1"/>
  <c r="B1803" i="5"/>
  <c r="F1800" i="5"/>
  <c r="K1800" i="5" s="1"/>
  <c r="B1800" i="5"/>
  <c r="F1799" i="5"/>
  <c r="K1799" i="5"/>
  <c r="B1799" i="5"/>
  <c r="F1798" i="5"/>
  <c r="K1798" i="5" s="1"/>
  <c r="B1798" i="5"/>
  <c r="F1797" i="5"/>
  <c r="K1797" i="5" s="1"/>
  <c r="B1797" i="5"/>
  <c r="F1796" i="5"/>
  <c r="K1796" i="5" s="1"/>
  <c r="B1796" i="5"/>
  <c r="T1794" i="5"/>
  <c r="S1776" i="5"/>
  <c r="S1794" i="5" s="1"/>
  <c r="R1794" i="5"/>
  <c r="F1793" i="5"/>
  <c r="K1793" i="5"/>
  <c r="B1793" i="5"/>
  <c r="F1792" i="5"/>
  <c r="K1792" i="5" s="1"/>
  <c r="B1792" i="5"/>
  <c r="F1791" i="5"/>
  <c r="K1791" i="5" s="1"/>
  <c r="B1791" i="5"/>
  <c r="F1790" i="5"/>
  <c r="K1790" i="5" s="1"/>
  <c r="B1790" i="5"/>
  <c r="F1789" i="5"/>
  <c r="K1789" i="5"/>
  <c r="B1789" i="5"/>
  <c r="F1788" i="5"/>
  <c r="K1788" i="5" s="1"/>
  <c r="B1788" i="5"/>
  <c r="F1787" i="5"/>
  <c r="K1787" i="5" s="1"/>
  <c r="B1787" i="5"/>
  <c r="F1786" i="5"/>
  <c r="K1786" i="5"/>
  <c r="B1786" i="5"/>
  <c r="F1785" i="5"/>
  <c r="K1785" i="5" s="1"/>
  <c r="B1785" i="5"/>
  <c r="F1784" i="5"/>
  <c r="K1784" i="5"/>
  <c r="B1784" i="5"/>
  <c r="F1783" i="5"/>
  <c r="K1783" i="5" s="1"/>
  <c r="B1783" i="5"/>
  <c r="F1782" i="5"/>
  <c r="K1782" i="5" s="1"/>
  <c r="B1782" i="5"/>
  <c r="F1781" i="5"/>
  <c r="K1781" i="5"/>
  <c r="B1781" i="5"/>
  <c r="F1780" i="5"/>
  <c r="K1780" i="5" s="1"/>
  <c r="B1780" i="5"/>
  <c r="F1779" i="5"/>
  <c r="K1779" i="5" s="1"/>
  <c r="B1779" i="5"/>
  <c r="F1778" i="5"/>
  <c r="K1778" i="5"/>
  <c r="B1778" i="5"/>
  <c r="F1777" i="5"/>
  <c r="K1777" i="5" s="1"/>
  <c r="B1777" i="5"/>
  <c r="AA1776" i="5"/>
  <c r="Z1776" i="5"/>
  <c r="F1776" i="5"/>
  <c r="K1776" i="5"/>
  <c r="B1776" i="5"/>
  <c r="F1775" i="5"/>
  <c r="K1775" i="5" s="1"/>
  <c r="B1775" i="5"/>
  <c r="F1772" i="5"/>
  <c r="K1772" i="5"/>
  <c r="B1772" i="5"/>
  <c r="F1771" i="5"/>
  <c r="K1771" i="5" s="1"/>
  <c r="B1771" i="5"/>
  <c r="F1770" i="5"/>
  <c r="K1770" i="5" s="1"/>
  <c r="B1770" i="5"/>
  <c r="F1769" i="5"/>
  <c r="K1769" i="5"/>
  <c r="B1769" i="5"/>
  <c r="F1768" i="5"/>
  <c r="K1768" i="5" s="1"/>
  <c r="B1768" i="5"/>
  <c r="F1767" i="5"/>
  <c r="K1767" i="5" s="1"/>
  <c r="B1767" i="5"/>
  <c r="F1766" i="5"/>
  <c r="K1766" i="5"/>
  <c r="B1766" i="5"/>
  <c r="F1765" i="5"/>
  <c r="K1765" i="5" s="1"/>
  <c r="B1765" i="5"/>
  <c r="F1764" i="5"/>
  <c r="K1764" i="5" s="1"/>
  <c r="B1764" i="5"/>
  <c r="F1763" i="5"/>
  <c r="K1763" i="5" s="1"/>
  <c r="B1763" i="5"/>
  <c r="F1762" i="5"/>
  <c r="K1762" i="5"/>
  <c r="B1762" i="5"/>
  <c r="F1761" i="5"/>
  <c r="K1761" i="5" s="1"/>
  <c r="B1761" i="5"/>
  <c r="F1760" i="5"/>
  <c r="K1760" i="5" s="1"/>
  <c r="B1760" i="5"/>
  <c r="F1759" i="5"/>
  <c r="K1759" i="5" s="1"/>
  <c r="B1759" i="5"/>
  <c r="F1758" i="5"/>
  <c r="K1758" i="5"/>
  <c r="B1758" i="5"/>
  <c r="T1756" i="5"/>
  <c r="S1756" i="5"/>
  <c r="R1756" i="5"/>
  <c r="B1755" i="5"/>
  <c r="B1754" i="5"/>
  <c r="B1753" i="5"/>
  <c r="F1752" i="5"/>
  <c r="K1752" i="5" s="1"/>
  <c r="B1752" i="5"/>
  <c r="F1751" i="5"/>
  <c r="K1751" i="5" s="1"/>
  <c r="B1751" i="5"/>
  <c r="F1750" i="5"/>
  <c r="K1750" i="5"/>
  <c r="B1750" i="5"/>
  <c r="F1749" i="5"/>
  <c r="K1749" i="5" s="1"/>
  <c r="B1749" i="5"/>
  <c r="F1748" i="5"/>
  <c r="K1748" i="5" s="1"/>
  <c r="B1748" i="5"/>
  <c r="F1747" i="5"/>
  <c r="K1747" i="5"/>
  <c r="B1747" i="5"/>
  <c r="F1746" i="5"/>
  <c r="K1746" i="5" s="1"/>
  <c r="B1746" i="5"/>
  <c r="F1745" i="5"/>
  <c r="K1745" i="5"/>
  <c r="B1745" i="5"/>
  <c r="F1744" i="5"/>
  <c r="K1744" i="5" s="1"/>
  <c r="B1744" i="5"/>
  <c r="F1743" i="5"/>
  <c r="K1743" i="5" s="1"/>
  <c r="B1743" i="5"/>
  <c r="F1742" i="5"/>
  <c r="K1742" i="5"/>
  <c r="B1742" i="5"/>
  <c r="F1741" i="5"/>
  <c r="K1741" i="5" s="1"/>
  <c r="B1741" i="5"/>
  <c r="F1740" i="5"/>
  <c r="K1740" i="5" s="1"/>
  <c r="B1740" i="5"/>
  <c r="F1739" i="5"/>
  <c r="K1739" i="5"/>
  <c r="B1739" i="5"/>
  <c r="F1738" i="5"/>
  <c r="K1738" i="5" s="1"/>
  <c r="B1738" i="5"/>
  <c r="F1737" i="5"/>
  <c r="K1737" i="5"/>
  <c r="B1737" i="5"/>
  <c r="F1736" i="5"/>
  <c r="K1736" i="5" s="1"/>
  <c r="B1736" i="5"/>
  <c r="F1735" i="5"/>
  <c r="K1735" i="5" s="1"/>
  <c r="B1735" i="5"/>
  <c r="F1732" i="5"/>
  <c r="K1732" i="5"/>
  <c r="B1732" i="5"/>
  <c r="F1731" i="5"/>
  <c r="K1731" i="5" s="1"/>
  <c r="B1731" i="5"/>
  <c r="F1730" i="5"/>
  <c r="K1730" i="5" s="1"/>
  <c r="B1730" i="5"/>
  <c r="F1729" i="5"/>
  <c r="K1729" i="5"/>
  <c r="B1729" i="5"/>
  <c r="F1728" i="5"/>
  <c r="K1728" i="5" s="1"/>
  <c r="B1728" i="5"/>
  <c r="F1727" i="5"/>
  <c r="K1727" i="5"/>
  <c r="B1727" i="5"/>
  <c r="F1726" i="5"/>
  <c r="K1726" i="5" s="1"/>
  <c r="B1726" i="5"/>
  <c r="F1725" i="5"/>
  <c r="K1725" i="5" s="1"/>
  <c r="B1725" i="5"/>
  <c r="F1724" i="5"/>
  <c r="K1724" i="5"/>
  <c r="B1724" i="5"/>
  <c r="F1723" i="5"/>
  <c r="K1723" i="5" s="1"/>
  <c r="B1723" i="5"/>
  <c r="F1722" i="5"/>
  <c r="K1722" i="5" s="1"/>
  <c r="B1722" i="5"/>
  <c r="F1721" i="5"/>
  <c r="K1721" i="5"/>
  <c r="B1721" i="5"/>
  <c r="F1720" i="5"/>
  <c r="K1720" i="5" s="1"/>
  <c r="B1720" i="5"/>
  <c r="F1719" i="5"/>
  <c r="K1719" i="5"/>
  <c r="B1719" i="5"/>
  <c r="F1718" i="5"/>
  <c r="K1718" i="5" s="1"/>
  <c r="B1718" i="5"/>
  <c r="F1717" i="5"/>
  <c r="K1717" i="5" s="1"/>
  <c r="B1717" i="5"/>
  <c r="F1716" i="5"/>
  <c r="K1716" i="5"/>
  <c r="B1716" i="5"/>
  <c r="F1715" i="5"/>
  <c r="K1715" i="5" s="1"/>
  <c r="B1715" i="5"/>
  <c r="F1714" i="5"/>
  <c r="K1714" i="5" s="1"/>
  <c r="B1714" i="5"/>
  <c r="F1713" i="5"/>
  <c r="K1713" i="5"/>
  <c r="B1713" i="5"/>
  <c r="F1712" i="5"/>
  <c r="K1712" i="5" s="1"/>
  <c r="B1712" i="5"/>
  <c r="F1711" i="5"/>
  <c r="K1711" i="5"/>
  <c r="B1711" i="5"/>
  <c r="F1710" i="5"/>
  <c r="K1710" i="5" s="1"/>
  <c r="B1710" i="5"/>
  <c r="F1709" i="5"/>
  <c r="K1709" i="5" s="1"/>
  <c r="B1709" i="5"/>
  <c r="F1708" i="5"/>
  <c r="K1708" i="5"/>
  <c r="B1708" i="5"/>
  <c r="F1707" i="5"/>
  <c r="K1707" i="5" s="1"/>
  <c r="B1707" i="5"/>
  <c r="F1706" i="5"/>
  <c r="K1706" i="5" s="1"/>
  <c r="B1706" i="5"/>
  <c r="F1705" i="5"/>
  <c r="K1705" i="5" s="1"/>
  <c r="B1705" i="5"/>
  <c r="F1704" i="5"/>
  <c r="K1704" i="5"/>
  <c r="B1704" i="5"/>
  <c r="F1703" i="5"/>
  <c r="K1703" i="5" s="1"/>
  <c r="B1703" i="5"/>
  <c r="F1702" i="5"/>
  <c r="K1702" i="5" s="1"/>
  <c r="B1702" i="5"/>
  <c r="F1701" i="5"/>
  <c r="K1701" i="5"/>
  <c r="B1701" i="5"/>
  <c r="F1700" i="5"/>
  <c r="K1700" i="5" s="1"/>
  <c r="B1700" i="5"/>
  <c r="F1699" i="5"/>
  <c r="K1699" i="5" s="1"/>
  <c r="B1699" i="5"/>
  <c r="F1698" i="5"/>
  <c r="K1698" i="5" s="1"/>
  <c r="B1698" i="5"/>
  <c r="F1695" i="5"/>
  <c r="K1695" i="5" s="1"/>
  <c r="B1695" i="5"/>
  <c r="F1694" i="5"/>
  <c r="K1694" i="5" s="1"/>
  <c r="B1694" i="5"/>
  <c r="F1693" i="5"/>
  <c r="K1693" i="5" s="1"/>
  <c r="B1693" i="5"/>
  <c r="F1692" i="5"/>
  <c r="K1692" i="5" s="1"/>
  <c r="B1692" i="5"/>
  <c r="F1691" i="5"/>
  <c r="K1691" i="5" s="1"/>
  <c r="B1691" i="5"/>
  <c r="F1690" i="5"/>
  <c r="K1690" i="5" s="1"/>
  <c r="B1690" i="5"/>
  <c r="F1689" i="5"/>
  <c r="K1689" i="5"/>
  <c r="B1689" i="5"/>
  <c r="F1688" i="5"/>
  <c r="K1688" i="5" s="1"/>
  <c r="B1688" i="5"/>
  <c r="F1687" i="5"/>
  <c r="K1687" i="5" s="1"/>
  <c r="B1687" i="5"/>
  <c r="F1686" i="5"/>
  <c r="K1686" i="5"/>
  <c r="B1686" i="5"/>
  <c r="F1685" i="5"/>
  <c r="K1685" i="5" s="1"/>
  <c r="B1685" i="5"/>
  <c r="F1684" i="5"/>
  <c r="K1684" i="5" s="1"/>
  <c r="B1684" i="5"/>
  <c r="F1683" i="5"/>
  <c r="K1683" i="5"/>
  <c r="B1683" i="5"/>
  <c r="F1681" i="5"/>
  <c r="K1681" i="5" s="1"/>
  <c r="B1681" i="5"/>
  <c r="B1678" i="5"/>
  <c r="B1677" i="5"/>
  <c r="B1676" i="5"/>
  <c r="B1675" i="5"/>
  <c r="B1674" i="5"/>
  <c r="B1673" i="5"/>
  <c r="B1672" i="5"/>
  <c r="B1671" i="5"/>
  <c r="B1670" i="5"/>
  <c r="B1669" i="5"/>
  <c r="B1668" i="5"/>
  <c r="B1667" i="5"/>
  <c r="B1666" i="5"/>
  <c r="B1665" i="5"/>
  <c r="B1664" i="5"/>
  <c r="B1663" i="5"/>
  <c r="B1662" i="5"/>
  <c r="B1661" i="5"/>
  <c r="B1660" i="5"/>
  <c r="B1659" i="5"/>
  <c r="B1658" i="5"/>
  <c r="B1657" i="5"/>
  <c r="B1656" i="5"/>
  <c r="B1655" i="5"/>
  <c r="B1654" i="5"/>
  <c r="B1653" i="5"/>
  <c r="B1652" i="5"/>
  <c r="B1651" i="5"/>
  <c r="B1650" i="5"/>
  <c r="B1649" i="5"/>
  <c r="B1648" i="5"/>
  <c r="B1647" i="5"/>
  <c r="B1646" i="5"/>
  <c r="B1645" i="5"/>
  <c r="B1644" i="5"/>
  <c r="B1643" i="5"/>
  <c r="B1642" i="5"/>
  <c r="B1641" i="5"/>
  <c r="B1640" i="5"/>
  <c r="B1639" i="5"/>
  <c r="B1638" i="5"/>
  <c r="B1637" i="5"/>
  <c r="B1636" i="5"/>
  <c r="B1635" i="5"/>
  <c r="B1634" i="5"/>
  <c r="B1633" i="5"/>
  <c r="B1632" i="5"/>
  <c r="B1631" i="5"/>
  <c r="B1630" i="5"/>
  <c r="B1629" i="5"/>
  <c r="B1628" i="5"/>
  <c r="B1627" i="5"/>
  <c r="B1626" i="5"/>
  <c r="B1625" i="5"/>
  <c r="B1624" i="5"/>
  <c r="F1623" i="5"/>
  <c r="K1623" i="5" s="1"/>
  <c r="B1623" i="5"/>
  <c r="F1620" i="5"/>
  <c r="K1620" i="5" s="1"/>
  <c r="B1620" i="5"/>
  <c r="F1619" i="5"/>
  <c r="K1619" i="5" s="1"/>
  <c r="B1619" i="5"/>
  <c r="F1618" i="5"/>
  <c r="K1618" i="5" s="1"/>
  <c r="B1618" i="5"/>
  <c r="F1617" i="5"/>
  <c r="K1617" i="5" s="1"/>
  <c r="B1617" i="5"/>
  <c r="F1616" i="5"/>
  <c r="K1616" i="5" s="1"/>
  <c r="B1616" i="5"/>
  <c r="F1615" i="5"/>
  <c r="K1615" i="5" s="1"/>
  <c r="B1615" i="5"/>
  <c r="F1614" i="5"/>
  <c r="K1614" i="5"/>
  <c r="B1614" i="5"/>
  <c r="F1613" i="5"/>
  <c r="K1613" i="5" s="1"/>
  <c r="B1613" i="5"/>
  <c r="F1612" i="5"/>
  <c r="K1612" i="5" s="1"/>
  <c r="B1612" i="5"/>
  <c r="F1611" i="5"/>
  <c r="K1611" i="5"/>
  <c r="B1611" i="5"/>
  <c r="F1610" i="5"/>
  <c r="K1610" i="5" s="1"/>
  <c r="B1610" i="5"/>
  <c r="F1609" i="5"/>
  <c r="K1609" i="5" s="1"/>
  <c r="B1609" i="5"/>
  <c r="F1608" i="5"/>
  <c r="K1608" i="5"/>
  <c r="B1608" i="5"/>
  <c r="F1607" i="5"/>
  <c r="K1607" i="5" s="1"/>
  <c r="B1607" i="5"/>
  <c r="F1606" i="5"/>
  <c r="K1606" i="5" s="1"/>
  <c r="B1606" i="5"/>
  <c r="F1605" i="5"/>
  <c r="K1605" i="5" s="1"/>
  <c r="B1605" i="5"/>
  <c r="F1604" i="5"/>
  <c r="K1604" i="5" s="1"/>
  <c r="B1604" i="5"/>
  <c r="F1603" i="5"/>
  <c r="K1603" i="5" s="1"/>
  <c r="B1603" i="5"/>
  <c r="F1602" i="5"/>
  <c r="K1602" i="5" s="1"/>
  <c r="B1602" i="5"/>
  <c r="F1601" i="5"/>
  <c r="K1601" i="5" s="1"/>
  <c r="B1601" i="5"/>
  <c r="F1600" i="5"/>
  <c r="K1600" i="5" s="1"/>
  <c r="B1600" i="5"/>
  <c r="F1599" i="5"/>
  <c r="K1599" i="5" s="1"/>
  <c r="B1599" i="5"/>
  <c r="F1598" i="5"/>
  <c r="K1598" i="5"/>
  <c r="B1598" i="5"/>
  <c r="F1597" i="5"/>
  <c r="K1597" i="5" s="1"/>
  <c r="B1597" i="5"/>
  <c r="F1596" i="5"/>
  <c r="K1596" i="5" s="1"/>
  <c r="B1596" i="5"/>
  <c r="F1595" i="5"/>
  <c r="K1595" i="5"/>
  <c r="B1595" i="5"/>
  <c r="F1594" i="5"/>
  <c r="K1594" i="5" s="1"/>
  <c r="B1594" i="5"/>
  <c r="F1593" i="5"/>
  <c r="K1593" i="5" s="1"/>
  <c r="B1593" i="5"/>
  <c r="F1592" i="5"/>
  <c r="K1592" i="5"/>
  <c r="B1592" i="5"/>
  <c r="F1591" i="5"/>
  <c r="K1591" i="5" s="1"/>
  <c r="B1591" i="5"/>
  <c r="F1590" i="5"/>
  <c r="K1590" i="5" s="1"/>
  <c r="B1590" i="5"/>
  <c r="F1589" i="5"/>
  <c r="K1589" i="5" s="1"/>
  <c r="B1589" i="5"/>
  <c r="F1588" i="5"/>
  <c r="K1588" i="5" s="1"/>
  <c r="B1588" i="5"/>
  <c r="F1587" i="5"/>
  <c r="K1587" i="5" s="1"/>
  <c r="B1587" i="5"/>
  <c r="F1586" i="5"/>
  <c r="K1586" i="5" s="1"/>
  <c r="B1586" i="5"/>
  <c r="F1585" i="5"/>
  <c r="K1585" i="5" s="1"/>
  <c r="B1585" i="5"/>
  <c r="F1584" i="5"/>
  <c r="K1584" i="5" s="1"/>
  <c r="B1584" i="5"/>
  <c r="F1583" i="5"/>
  <c r="K1583" i="5" s="1"/>
  <c r="B1583" i="5"/>
  <c r="F1582" i="5"/>
  <c r="K1582" i="5"/>
  <c r="B1582" i="5"/>
  <c r="F1581" i="5"/>
  <c r="K1581" i="5" s="1"/>
  <c r="B1581" i="5"/>
  <c r="F1580" i="5"/>
  <c r="K1580" i="5" s="1"/>
  <c r="B1580" i="5"/>
  <c r="F1579" i="5"/>
  <c r="K1579" i="5"/>
  <c r="B1579" i="5"/>
  <c r="F1578" i="5"/>
  <c r="K1578" i="5" s="1"/>
  <c r="B1578" i="5"/>
  <c r="F1577" i="5"/>
  <c r="K1577" i="5" s="1"/>
  <c r="B1577" i="5"/>
  <c r="F1576" i="5"/>
  <c r="K1576" i="5"/>
  <c r="B1576" i="5"/>
  <c r="F1575" i="5"/>
  <c r="K1575" i="5" s="1"/>
  <c r="B1575" i="5"/>
  <c r="F1574" i="5"/>
  <c r="K1574" i="5" s="1"/>
  <c r="B1574" i="5"/>
  <c r="F1573" i="5"/>
  <c r="K1573" i="5" s="1"/>
  <c r="B1573" i="5"/>
  <c r="F1572" i="5"/>
  <c r="K1572" i="5" s="1"/>
  <c r="B1572" i="5"/>
  <c r="F1571" i="5"/>
  <c r="K1571" i="5" s="1"/>
  <c r="B1571" i="5"/>
  <c r="F1570" i="5"/>
  <c r="K1570" i="5" s="1"/>
  <c r="B1570" i="5"/>
  <c r="F1569" i="5"/>
  <c r="K1569" i="5" s="1"/>
  <c r="B1569" i="5"/>
  <c r="F1568" i="5"/>
  <c r="K1568" i="5" s="1"/>
  <c r="B1568" i="5"/>
  <c r="F1567" i="5"/>
  <c r="K1567" i="5" s="1"/>
  <c r="B1567" i="5"/>
  <c r="F1566" i="5"/>
  <c r="K1566" i="5"/>
  <c r="B1566" i="5"/>
  <c r="F1565" i="5"/>
  <c r="K1565" i="5" s="1"/>
  <c r="B1565" i="5"/>
  <c r="F1564" i="5"/>
  <c r="K1564" i="5" s="1"/>
  <c r="B1564" i="5"/>
  <c r="F1563" i="5"/>
  <c r="K1563" i="5"/>
  <c r="B1563" i="5"/>
  <c r="F1562" i="5"/>
  <c r="K1562" i="5" s="1"/>
  <c r="B1562" i="5"/>
  <c r="F1561" i="5"/>
  <c r="K1561" i="5" s="1"/>
  <c r="B1561" i="5"/>
  <c r="F1560" i="5"/>
  <c r="K1560" i="5"/>
  <c r="B1560" i="5"/>
  <c r="F1559" i="5"/>
  <c r="K1559" i="5" s="1"/>
  <c r="B1559" i="5"/>
  <c r="F1558" i="5"/>
  <c r="K1558" i="5" s="1"/>
  <c r="B1558" i="5"/>
  <c r="F1557" i="5"/>
  <c r="K1557" i="5" s="1"/>
  <c r="B1557" i="5"/>
  <c r="F1556" i="5"/>
  <c r="K1556" i="5" s="1"/>
  <c r="B1556" i="5"/>
  <c r="F1553" i="5"/>
  <c r="K1553" i="5" s="1"/>
  <c r="B1553" i="5"/>
  <c r="F1552" i="5"/>
  <c r="K1552" i="5" s="1"/>
  <c r="B1552" i="5"/>
  <c r="F1551" i="5"/>
  <c r="K1551" i="5" s="1"/>
  <c r="B1551" i="5"/>
  <c r="F1550" i="5"/>
  <c r="K1550" i="5" s="1"/>
  <c r="B1550" i="5"/>
  <c r="F1549" i="5"/>
  <c r="K1549" i="5" s="1"/>
  <c r="B1549" i="5"/>
  <c r="F1548" i="5"/>
  <c r="K1548" i="5"/>
  <c r="B1548" i="5"/>
  <c r="F1547" i="5"/>
  <c r="K1547" i="5" s="1"/>
  <c r="B1547" i="5"/>
  <c r="F1546" i="5"/>
  <c r="K1546" i="5" s="1"/>
  <c r="B1546" i="5"/>
  <c r="F1545" i="5"/>
  <c r="K1545" i="5"/>
  <c r="B1545" i="5"/>
  <c r="F1544" i="5"/>
  <c r="K1544" i="5" s="1"/>
  <c r="B1544" i="5"/>
  <c r="F1543" i="5"/>
  <c r="K1543" i="5" s="1"/>
  <c r="B1543" i="5"/>
  <c r="F1542" i="5"/>
  <c r="K1542" i="5"/>
  <c r="B1542" i="5"/>
  <c r="F1541" i="5"/>
  <c r="K1541" i="5" s="1"/>
  <c r="B1541" i="5"/>
  <c r="F1538" i="5"/>
  <c r="K1538" i="5" s="1"/>
  <c r="B1538" i="5"/>
  <c r="F1537" i="5"/>
  <c r="K1537" i="5" s="1"/>
  <c r="B1537" i="5"/>
  <c r="F1536" i="5"/>
  <c r="K1536" i="5" s="1"/>
  <c r="B1536" i="5"/>
  <c r="F1535" i="5"/>
  <c r="K1535" i="5" s="1"/>
  <c r="B1535" i="5"/>
  <c r="F1534" i="5"/>
  <c r="K1534" i="5" s="1"/>
  <c r="B1534" i="5"/>
  <c r="F1533" i="5"/>
  <c r="K1533" i="5" s="1"/>
  <c r="B1533" i="5"/>
  <c r="F1532" i="5"/>
  <c r="K1532" i="5" s="1"/>
  <c r="B1532" i="5"/>
  <c r="F1531" i="5"/>
  <c r="K1531" i="5" s="1"/>
  <c r="B1531" i="5"/>
  <c r="F1530" i="5"/>
  <c r="K1530" i="5"/>
  <c r="B1530" i="5"/>
  <c r="F1529" i="5"/>
  <c r="K1529" i="5" s="1"/>
  <c r="B1529" i="5"/>
  <c r="F1528" i="5"/>
  <c r="K1528" i="5" s="1"/>
  <c r="B1528" i="5"/>
  <c r="F1527" i="5"/>
  <c r="K1527" i="5"/>
  <c r="B1527" i="5"/>
  <c r="F1526" i="5"/>
  <c r="K1526" i="5" s="1"/>
  <c r="B1526" i="5"/>
  <c r="F1525" i="5"/>
  <c r="K1525" i="5" s="1"/>
  <c r="B1525" i="5"/>
  <c r="F1524" i="5"/>
  <c r="K1524" i="5"/>
  <c r="B1524" i="5"/>
  <c r="F1523" i="5"/>
  <c r="K1523" i="5" s="1"/>
  <c r="B1523" i="5"/>
  <c r="F1522" i="5"/>
  <c r="K1522" i="5" s="1"/>
  <c r="B1522" i="5"/>
  <c r="F1521" i="5"/>
  <c r="K1521" i="5" s="1"/>
  <c r="B1521" i="5"/>
  <c r="F1520" i="5"/>
  <c r="K1520" i="5" s="1"/>
  <c r="B1520" i="5"/>
  <c r="F1519" i="5"/>
  <c r="K1519" i="5" s="1"/>
  <c r="B1519" i="5"/>
  <c r="F1518" i="5"/>
  <c r="K1518" i="5" s="1"/>
  <c r="B1518" i="5"/>
  <c r="F1517" i="5"/>
  <c r="K1517" i="5" s="1"/>
  <c r="B1517" i="5"/>
  <c r="F1516" i="5"/>
  <c r="K1516" i="5" s="1"/>
  <c r="B1516" i="5"/>
  <c r="F1515" i="5"/>
  <c r="K1515" i="5" s="1"/>
  <c r="B1515" i="5"/>
  <c r="F1514" i="5"/>
  <c r="K1514" i="5"/>
  <c r="B1514" i="5"/>
  <c r="F1513" i="5"/>
  <c r="K1513" i="5" s="1"/>
  <c r="B1513" i="5"/>
  <c r="F1512" i="5"/>
  <c r="K1512" i="5" s="1"/>
  <c r="B1512" i="5"/>
  <c r="F1511" i="5"/>
  <c r="K1511" i="5" s="1"/>
  <c r="B1511" i="5"/>
  <c r="F1510" i="5"/>
  <c r="K1510" i="5" s="1"/>
  <c r="B1510" i="5"/>
  <c r="F1509" i="5"/>
  <c r="K1509" i="5" s="1"/>
  <c r="B1509" i="5"/>
  <c r="F1508" i="5"/>
  <c r="K1508" i="5" s="1"/>
  <c r="B1508" i="5"/>
  <c r="F1507" i="5"/>
  <c r="K1507" i="5" s="1"/>
  <c r="B1507" i="5"/>
  <c r="F1506" i="5"/>
  <c r="K1506" i="5"/>
  <c r="B1506" i="5"/>
  <c r="F1505" i="5"/>
  <c r="K1505" i="5" s="1"/>
  <c r="B1505" i="5"/>
  <c r="F1504" i="5"/>
  <c r="K1504" i="5" s="1"/>
  <c r="B1504" i="5"/>
  <c r="F1503" i="5"/>
  <c r="K1503" i="5" s="1"/>
  <c r="B1503" i="5"/>
  <c r="F1502" i="5"/>
  <c r="K1502" i="5" s="1"/>
  <c r="B1502" i="5"/>
  <c r="F1501" i="5"/>
  <c r="K1501" i="5" s="1"/>
  <c r="B1501" i="5"/>
  <c r="F1500" i="5"/>
  <c r="K1500" i="5" s="1"/>
  <c r="B1500" i="5"/>
  <c r="F1499" i="5"/>
  <c r="K1499" i="5" s="1"/>
  <c r="B1499" i="5"/>
  <c r="F1496" i="5"/>
  <c r="K1496" i="5"/>
  <c r="B1496" i="5"/>
  <c r="F1495" i="5"/>
  <c r="K1495" i="5" s="1"/>
  <c r="B1495" i="5"/>
  <c r="F1494" i="5"/>
  <c r="K1494" i="5" s="1"/>
  <c r="B1494" i="5"/>
  <c r="F1491" i="5"/>
  <c r="K1491" i="5" s="1"/>
  <c r="B1491" i="5"/>
  <c r="F1490" i="5"/>
  <c r="K1490" i="5" s="1"/>
  <c r="B1490" i="5"/>
  <c r="F1489" i="5"/>
  <c r="K1489" i="5" s="1"/>
  <c r="B1489" i="5"/>
  <c r="F1488" i="5"/>
  <c r="K1488" i="5" s="1"/>
  <c r="B1488" i="5"/>
  <c r="F1487" i="5"/>
  <c r="K1487" i="5" s="1"/>
  <c r="B1487" i="5"/>
  <c r="F1486" i="5"/>
  <c r="K1486" i="5"/>
  <c r="B1486" i="5"/>
  <c r="F1485" i="5"/>
  <c r="K1485" i="5" s="1"/>
  <c r="B1485" i="5"/>
  <c r="F1484" i="5"/>
  <c r="K1484" i="5" s="1"/>
  <c r="B1484" i="5"/>
  <c r="F1483" i="5"/>
  <c r="K1483" i="5" s="1"/>
  <c r="B1483" i="5"/>
  <c r="F1482" i="5"/>
  <c r="K1482" i="5" s="1"/>
  <c r="B1482" i="5"/>
  <c r="F1481" i="5"/>
  <c r="K1481" i="5" s="1"/>
  <c r="B1481" i="5"/>
  <c r="F1480" i="5"/>
  <c r="K1480" i="5" s="1"/>
  <c r="B1480" i="5"/>
  <c r="F1479" i="5"/>
  <c r="K1479" i="5" s="1"/>
  <c r="B1479" i="5"/>
  <c r="F1478" i="5"/>
  <c r="K1478" i="5"/>
  <c r="B1478" i="5"/>
  <c r="F1477" i="5"/>
  <c r="K1477" i="5" s="1"/>
  <c r="B1477" i="5"/>
  <c r="F1476" i="5"/>
  <c r="K1476" i="5" s="1"/>
  <c r="B1476" i="5"/>
  <c r="F1475" i="5"/>
  <c r="K1475" i="5" s="1"/>
  <c r="B1475" i="5"/>
  <c r="F1474" i="5"/>
  <c r="K1474" i="5" s="1"/>
  <c r="B1474" i="5"/>
  <c r="F1473" i="5"/>
  <c r="K1473" i="5" s="1"/>
  <c r="B1473" i="5"/>
  <c r="F1472" i="5"/>
  <c r="K1472" i="5" s="1"/>
  <c r="B1472" i="5"/>
  <c r="F1471" i="5"/>
  <c r="K1471" i="5" s="1"/>
  <c r="B1471" i="5"/>
  <c r="F1470" i="5"/>
  <c r="K1470" i="5"/>
  <c r="B1470" i="5"/>
  <c r="F1469" i="5"/>
  <c r="K1469" i="5" s="1"/>
  <c r="B1469" i="5"/>
  <c r="F1468" i="5"/>
  <c r="K1468" i="5" s="1"/>
  <c r="B1468" i="5"/>
  <c r="F1467" i="5"/>
  <c r="K1467" i="5" s="1"/>
  <c r="B1467" i="5"/>
  <c r="F1466" i="5"/>
  <c r="K1466" i="5" s="1"/>
  <c r="B1466" i="5"/>
  <c r="F1465" i="5"/>
  <c r="K1465" i="5" s="1"/>
  <c r="B1465" i="5"/>
  <c r="F1464" i="5"/>
  <c r="K1464" i="5" s="1"/>
  <c r="B1464" i="5"/>
  <c r="F1463" i="5"/>
  <c r="K1463" i="5" s="1"/>
  <c r="B1463" i="5"/>
  <c r="F1462" i="5"/>
  <c r="K1462" i="5"/>
  <c r="B1462" i="5"/>
  <c r="F1461" i="5"/>
  <c r="K1461" i="5" s="1"/>
  <c r="B1461" i="5"/>
  <c r="F1460" i="5"/>
  <c r="K1460" i="5" s="1"/>
  <c r="B1460" i="5"/>
  <c r="F1459" i="5"/>
  <c r="K1459" i="5" s="1"/>
  <c r="B1459" i="5"/>
  <c r="F1458" i="5"/>
  <c r="K1458" i="5" s="1"/>
  <c r="B1458" i="5"/>
  <c r="F1457" i="5"/>
  <c r="K1457" i="5" s="1"/>
  <c r="B1457" i="5"/>
  <c r="F1456" i="5"/>
  <c r="K1456" i="5" s="1"/>
  <c r="B1456" i="5"/>
  <c r="F1455" i="5"/>
  <c r="K1455" i="5" s="1"/>
  <c r="B1455" i="5"/>
  <c r="F1454" i="5"/>
  <c r="K1454" i="5"/>
  <c r="B1454" i="5"/>
  <c r="F1453" i="5"/>
  <c r="K1453" i="5" s="1"/>
  <c r="B1453" i="5"/>
  <c r="F1452" i="5"/>
  <c r="K1452" i="5" s="1"/>
  <c r="B1452" i="5"/>
  <c r="F1451" i="5"/>
  <c r="K1451" i="5" s="1"/>
  <c r="B1451" i="5"/>
  <c r="F1450" i="5"/>
  <c r="K1450" i="5"/>
  <c r="B1450" i="5"/>
  <c r="F1449" i="5"/>
  <c r="K1449" i="5" s="1"/>
  <c r="B1449" i="5"/>
  <c r="F1448" i="5"/>
  <c r="K1448" i="5" s="1"/>
  <c r="B1448" i="5"/>
  <c r="F1447" i="5"/>
  <c r="K1447" i="5" s="1"/>
  <c r="B1447" i="5"/>
  <c r="F1446" i="5"/>
  <c r="K1446" i="5"/>
  <c r="B1446" i="5"/>
  <c r="F1445" i="5"/>
  <c r="K1445" i="5" s="1"/>
  <c r="B1445" i="5"/>
  <c r="F1444" i="5"/>
  <c r="K1444" i="5" s="1"/>
  <c r="B1444" i="5"/>
  <c r="F1443" i="5"/>
  <c r="K1443" i="5" s="1"/>
  <c r="B1443" i="5"/>
  <c r="F1442" i="5"/>
  <c r="K1442" i="5"/>
  <c r="B1442" i="5"/>
  <c r="F1441" i="5"/>
  <c r="K1441" i="5" s="1"/>
  <c r="B1441" i="5"/>
  <c r="F1440" i="5"/>
  <c r="K1440" i="5" s="1"/>
  <c r="B1440" i="5"/>
  <c r="F1439" i="5"/>
  <c r="K1439" i="5" s="1"/>
  <c r="B1439" i="5"/>
  <c r="F1438" i="5"/>
  <c r="K1438" i="5"/>
  <c r="B1438" i="5"/>
  <c r="F1437" i="5"/>
  <c r="K1437" i="5" s="1"/>
  <c r="B1437" i="5"/>
  <c r="F1436" i="5"/>
  <c r="K1436" i="5" s="1"/>
  <c r="B1436" i="5"/>
  <c r="F1433" i="5"/>
  <c r="K1433" i="5" s="1"/>
  <c r="B1433" i="5"/>
  <c r="F1432" i="5"/>
  <c r="K1432" i="5"/>
  <c r="B1432" i="5"/>
  <c r="F1431" i="5"/>
  <c r="K1431" i="5" s="1"/>
  <c r="B1431" i="5"/>
  <c r="F1430" i="5"/>
  <c r="K1430" i="5" s="1"/>
  <c r="B1430" i="5"/>
  <c r="F1429" i="5"/>
  <c r="K1429" i="5" s="1"/>
  <c r="B1429" i="5"/>
  <c r="F1428" i="5"/>
  <c r="K1428" i="5"/>
  <c r="B1428" i="5"/>
  <c r="F1427" i="5"/>
  <c r="K1427" i="5" s="1"/>
  <c r="B1427" i="5"/>
  <c r="F1426" i="5"/>
  <c r="K1426" i="5" s="1"/>
  <c r="B1426" i="5"/>
  <c r="F1425" i="5"/>
  <c r="K1425" i="5" s="1"/>
  <c r="B1425" i="5"/>
  <c r="F1424" i="5"/>
  <c r="K1424" i="5"/>
  <c r="B1424" i="5"/>
  <c r="F1423" i="5"/>
  <c r="K1423" i="5" s="1"/>
  <c r="B1423" i="5"/>
  <c r="F1422" i="5"/>
  <c r="K1422" i="5" s="1"/>
  <c r="B1422" i="5"/>
  <c r="F1421" i="5"/>
  <c r="K1421" i="5" s="1"/>
  <c r="B1421" i="5"/>
  <c r="F1420" i="5"/>
  <c r="K1420" i="5"/>
  <c r="B1420" i="5"/>
  <c r="F1419" i="5"/>
  <c r="K1419" i="5" s="1"/>
  <c r="B1419" i="5"/>
  <c r="F1418" i="5"/>
  <c r="K1418" i="5" s="1"/>
  <c r="B1418" i="5"/>
  <c r="F1417" i="5"/>
  <c r="K1417" i="5" s="1"/>
  <c r="B1417" i="5"/>
  <c r="F1416" i="5"/>
  <c r="K1416" i="5"/>
  <c r="B1416" i="5"/>
  <c r="F1415" i="5"/>
  <c r="K1415" i="5" s="1"/>
  <c r="B1415" i="5"/>
  <c r="F1414" i="5"/>
  <c r="K1414" i="5" s="1"/>
  <c r="B1414" i="5"/>
  <c r="F1413" i="5"/>
  <c r="K1413" i="5" s="1"/>
  <c r="B1413" i="5"/>
  <c r="F1412" i="5"/>
  <c r="K1412" i="5"/>
  <c r="B1412" i="5"/>
  <c r="F1411" i="5"/>
  <c r="K1411" i="5" s="1"/>
  <c r="B1411" i="5"/>
  <c r="F1410" i="5"/>
  <c r="K1410" i="5" s="1"/>
  <c r="B1410" i="5"/>
  <c r="F1409" i="5"/>
  <c r="K1409" i="5" s="1"/>
  <c r="B1409" i="5"/>
  <c r="F1408" i="5"/>
  <c r="K1408" i="5"/>
  <c r="B1408" i="5"/>
  <c r="F1407" i="5"/>
  <c r="K1407" i="5" s="1"/>
  <c r="B1407" i="5"/>
  <c r="F1406" i="5"/>
  <c r="K1406" i="5" s="1"/>
  <c r="B1406" i="5"/>
  <c r="F1405" i="5"/>
  <c r="K1405" i="5" s="1"/>
  <c r="B1405" i="5"/>
  <c r="F1404" i="5"/>
  <c r="K1404" i="5"/>
  <c r="B1404" i="5"/>
  <c r="F1403" i="5"/>
  <c r="K1403" i="5" s="1"/>
  <c r="B1403" i="5"/>
  <c r="F1402" i="5"/>
  <c r="K1402" i="5" s="1"/>
  <c r="B1402" i="5"/>
  <c r="F1401" i="5"/>
  <c r="K1401" i="5" s="1"/>
  <c r="B1401" i="5"/>
  <c r="F1400" i="5"/>
  <c r="K1400" i="5"/>
  <c r="B1400" i="5"/>
  <c r="F1399" i="5"/>
  <c r="K1399" i="5" s="1"/>
  <c r="B1399" i="5"/>
  <c r="F1398" i="5"/>
  <c r="K1398" i="5" s="1"/>
  <c r="B1398" i="5"/>
  <c r="F1397" i="5"/>
  <c r="K1397" i="5" s="1"/>
  <c r="B1397" i="5"/>
  <c r="F1396" i="5"/>
  <c r="K1396" i="5"/>
  <c r="B1396" i="5"/>
  <c r="F1395" i="5"/>
  <c r="K1395" i="5" s="1"/>
  <c r="B1395" i="5"/>
  <c r="F1394" i="5"/>
  <c r="K1394" i="5" s="1"/>
  <c r="B1394" i="5"/>
  <c r="F1391" i="5"/>
  <c r="K1391" i="5" s="1"/>
  <c r="B1391" i="5"/>
  <c r="F1390" i="5"/>
  <c r="K1390" i="5"/>
  <c r="B1390" i="5"/>
  <c r="F1387" i="5"/>
  <c r="K1387" i="5" s="1"/>
  <c r="B1387" i="5"/>
  <c r="F1386" i="5"/>
  <c r="K1386" i="5" s="1"/>
  <c r="B1386" i="5"/>
  <c r="F1385" i="5"/>
  <c r="K1385" i="5" s="1"/>
  <c r="B1385" i="5"/>
  <c r="F1384" i="5"/>
  <c r="K1384" i="5"/>
  <c r="B1384" i="5"/>
  <c r="F1383" i="5"/>
  <c r="K1383" i="5" s="1"/>
  <c r="B1383" i="5"/>
  <c r="F1382" i="5"/>
  <c r="K1382" i="5" s="1"/>
  <c r="B1382" i="5"/>
  <c r="F1381" i="5"/>
  <c r="K1381" i="5" s="1"/>
  <c r="B1381" i="5"/>
  <c r="F1380" i="5"/>
  <c r="K1380" i="5"/>
  <c r="B1380" i="5"/>
  <c r="F1379" i="5"/>
  <c r="K1379" i="5" s="1"/>
  <c r="B1379" i="5"/>
  <c r="F1378" i="5"/>
  <c r="K1378" i="5" s="1"/>
  <c r="B1378" i="5"/>
  <c r="F1377" i="5"/>
  <c r="K1377" i="5" s="1"/>
  <c r="B1377" i="5"/>
  <c r="F1376" i="5"/>
  <c r="K1376" i="5"/>
  <c r="B1376" i="5"/>
  <c r="F1375" i="5"/>
  <c r="K1375" i="5" s="1"/>
  <c r="B1375" i="5"/>
  <c r="F1374" i="5"/>
  <c r="K1374" i="5" s="1"/>
  <c r="B1374" i="5"/>
  <c r="F1373" i="5"/>
  <c r="K1373" i="5" s="1"/>
  <c r="B1373" i="5"/>
  <c r="F1372" i="5"/>
  <c r="K1372" i="5"/>
  <c r="B1372" i="5"/>
  <c r="F1371" i="5"/>
  <c r="K1371" i="5" s="1"/>
  <c r="B1371" i="5"/>
  <c r="F1370" i="5"/>
  <c r="K1370" i="5" s="1"/>
  <c r="B1370" i="5"/>
  <c r="F1369" i="5"/>
  <c r="K1369" i="5" s="1"/>
  <c r="B1369" i="5"/>
  <c r="F1368" i="5"/>
  <c r="K1368" i="5"/>
  <c r="B1368" i="5"/>
  <c r="F1367" i="5"/>
  <c r="K1367" i="5" s="1"/>
  <c r="B1367" i="5"/>
  <c r="F1366" i="5"/>
  <c r="K1366" i="5" s="1"/>
  <c r="B1366" i="5"/>
  <c r="F1365" i="5"/>
  <c r="K1365" i="5" s="1"/>
  <c r="B1365" i="5"/>
  <c r="F1364" i="5"/>
  <c r="K1364" i="5"/>
  <c r="B1364" i="5"/>
  <c r="F1363" i="5"/>
  <c r="K1363" i="5" s="1"/>
  <c r="B1363" i="5"/>
  <c r="F1360" i="5"/>
  <c r="K1360" i="5" s="1"/>
  <c r="B1360" i="5"/>
  <c r="F1359" i="5"/>
  <c r="K1359" i="5" s="1"/>
  <c r="B1359" i="5"/>
  <c r="B1358" i="5"/>
  <c r="B1357" i="5"/>
  <c r="F1356" i="5"/>
  <c r="K1356" i="5" s="1"/>
  <c r="B1356" i="5"/>
  <c r="F1355" i="5"/>
  <c r="K1355" i="5"/>
  <c r="B1355" i="5"/>
  <c r="F1350" i="5"/>
  <c r="K1350" i="5" s="1"/>
  <c r="B1350" i="5"/>
  <c r="F1349" i="5"/>
  <c r="K1349" i="5" s="1"/>
  <c r="B1349" i="5"/>
  <c r="F1348" i="5"/>
  <c r="K1348" i="5" s="1"/>
  <c r="B1348" i="5"/>
  <c r="F1347" i="5"/>
  <c r="K1347" i="5"/>
  <c r="B1347" i="5"/>
  <c r="F1346" i="5"/>
  <c r="K1346" i="5" s="1"/>
  <c r="B1346" i="5"/>
  <c r="F1345" i="5"/>
  <c r="K1345" i="5" s="1"/>
  <c r="B1345" i="5"/>
  <c r="F1344" i="5"/>
  <c r="K1344" i="5" s="1"/>
  <c r="B1344" i="5"/>
  <c r="F1343" i="5"/>
  <c r="K1343" i="5"/>
  <c r="B1343" i="5"/>
  <c r="F1342" i="5"/>
  <c r="K1342" i="5" s="1"/>
  <c r="B1342" i="5"/>
  <c r="F1341" i="5"/>
  <c r="K1341" i="5" s="1"/>
  <c r="B1341" i="5"/>
  <c r="F1340" i="5"/>
  <c r="K1340" i="5" s="1"/>
  <c r="B1340" i="5"/>
  <c r="F1339" i="5"/>
  <c r="K1339" i="5"/>
  <c r="B1339" i="5"/>
  <c r="F1338" i="5"/>
  <c r="K1338" i="5" s="1"/>
  <c r="B1338" i="5"/>
  <c r="F1337" i="5"/>
  <c r="K1337" i="5" s="1"/>
  <c r="B1337" i="5"/>
  <c r="F1336" i="5"/>
  <c r="K1336" i="5" s="1"/>
  <c r="B1336" i="5"/>
  <c r="F1335" i="5"/>
  <c r="K1335" i="5"/>
  <c r="B1335" i="5"/>
  <c r="F1334" i="5"/>
  <c r="K1334" i="5" s="1"/>
  <c r="B1334" i="5"/>
  <c r="F1333" i="5"/>
  <c r="K1333" i="5" s="1"/>
  <c r="B1333" i="5"/>
  <c r="F1332" i="5"/>
  <c r="K1332" i="5" s="1"/>
  <c r="B1332" i="5"/>
  <c r="F1331" i="5"/>
  <c r="K1331" i="5"/>
  <c r="B1331" i="5"/>
  <c r="F1330" i="5"/>
  <c r="K1330" i="5" s="1"/>
  <c r="B1330" i="5"/>
  <c r="F1329" i="5"/>
  <c r="K1329" i="5" s="1"/>
  <c r="B1329" i="5"/>
  <c r="F1328" i="5"/>
  <c r="K1328" i="5" s="1"/>
  <c r="B1328" i="5"/>
  <c r="F1327" i="5"/>
  <c r="K1327" i="5"/>
  <c r="B1327" i="5"/>
  <c r="F1326" i="5"/>
  <c r="K1326" i="5" s="1"/>
  <c r="B1326" i="5"/>
  <c r="F1325" i="5"/>
  <c r="K1325" i="5" s="1"/>
  <c r="B1325" i="5"/>
  <c r="F1324" i="5"/>
  <c r="K1324" i="5" s="1"/>
  <c r="B1324" i="5"/>
  <c r="F1323" i="5"/>
  <c r="K1323" i="5"/>
  <c r="B1323" i="5"/>
  <c r="F1322" i="5"/>
  <c r="K1322" i="5" s="1"/>
  <c r="B1322" i="5"/>
  <c r="F1321" i="5"/>
  <c r="K1321" i="5" s="1"/>
  <c r="B1321" i="5"/>
  <c r="F1320" i="5"/>
  <c r="K1320" i="5" s="1"/>
  <c r="B1320" i="5"/>
  <c r="F1319" i="5"/>
  <c r="K1319" i="5"/>
  <c r="B1319" i="5"/>
  <c r="F1318" i="5"/>
  <c r="K1318" i="5" s="1"/>
  <c r="B1318" i="5"/>
  <c r="F1317" i="5"/>
  <c r="K1317" i="5" s="1"/>
  <c r="B1317" i="5"/>
  <c r="F1316" i="5"/>
  <c r="K1316" i="5" s="1"/>
  <c r="B1316" i="5"/>
  <c r="F1315" i="5"/>
  <c r="K1315" i="5"/>
  <c r="B1315" i="5"/>
  <c r="F1314" i="5"/>
  <c r="K1314" i="5" s="1"/>
  <c r="B1314" i="5"/>
  <c r="F1313" i="5"/>
  <c r="K1313" i="5" s="1"/>
  <c r="B1313" i="5"/>
  <c r="F1312" i="5"/>
  <c r="K1312" i="5" s="1"/>
  <c r="B1312" i="5"/>
  <c r="F1311" i="5"/>
  <c r="K1311" i="5"/>
  <c r="B1311" i="5"/>
  <c r="F1310" i="5"/>
  <c r="K1310" i="5" s="1"/>
  <c r="B1310" i="5"/>
  <c r="F1309" i="5"/>
  <c r="K1309" i="5" s="1"/>
  <c r="B1309" i="5"/>
  <c r="F1308" i="5"/>
  <c r="K1308" i="5" s="1"/>
  <c r="B1308" i="5"/>
  <c r="F1307" i="5"/>
  <c r="K1307" i="5"/>
  <c r="B1307" i="5"/>
  <c r="F1306" i="5"/>
  <c r="K1306" i="5" s="1"/>
  <c r="B1306" i="5"/>
  <c r="F1305" i="5"/>
  <c r="K1305" i="5" s="1"/>
  <c r="B1305" i="5"/>
  <c r="F1304" i="5"/>
  <c r="K1304" i="5" s="1"/>
  <c r="B1304" i="5"/>
  <c r="F1303" i="5"/>
  <c r="K1303" i="5"/>
  <c r="B1303" i="5"/>
  <c r="F1302" i="5"/>
  <c r="K1302" i="5" s="1"/>
  <c r="B1302" i="5"/>
  <c r="F1301" i="5"/>
  <c r="K1301" i="5" s="1"/>
  <c r="B1301" i="5"/>
  <c r="F1300" i="5"/>
  <c r="K1300" i="5" s="1"/>
  <c r="B1300" i="5"/>
  <c r="F1299" i="5"/>
  <c r="K1299" i="5"/>
  <c r="B1299" i="5"/>
  <c r="F1298" i="5"/>
  <c r="K1298" i="5" s="1"/>
  <c r="B1298" i="5"/>
  <c r="F1297" i="5"/>
  <c r="K1297" i="5" s="1"/>
  <c r="B1297" i="5"/>
  <c r="F1296" i="5"/>
  <c r="K1296" i="5" s="1"/>
  <c r="B1296" i="5"/>
  <c r="F1295" i="5"/>
  <c r="K1295" i="5"/>
  <c r="B1295" i="5"/>
  <c r="F1294" i="5"/>
  <c r="K1294" i="5" s="1"/>
  <c r="B1294" i="5"/>
  <c r="F1293" i="5"/>
  <c r="K1293" i="5" s="1"/>
  <c r="B1293" i="5"/>
  <c r="F1292" i="5"/>
  <c r="K1292" i="5" s="1"/>
  <c r="B1292" i="5"/>
  <c r="F1291" i="5"/>
  <c r="K1291" i="5"/>
  <c r="B1291" i="5"/>
  <c r="F1290" i="5"/>
  <c r="K1290" i="5" s="1"/>
  <c r="B1290" i="5"/>
  <c r="F1289" i="5"/>
  <c r="K1289" i="5" s="1"/>
  <c r="B1289" i="5"/>
  <c r="F1288" i="5"/>
  <c r="K1288" i="5" s="1"/>
  <c r="B1288" i="5"/>
  <c r="F1287" i="5"/>
  <c r="K1287" i="5"/>
  <c r="B1287" i="5"/>
  <c r="F1286" i="5"/>
  <c r="K1286" i="5" s="1"/>
  <c r="B1286" i="5"/>
  <c r="F1285" i="5"/>
  <c r="K1285" i="5" s="1"/>
  <c r="B1285" i="5"/>
  <c r="F1284" i="5"/>
  <c r="K1284" i="5" s="1"/>
  <c r="B1284" i="5"/>
  <c r="F1283" i="5"/>
  <c r="K1283" i="5"/>
  <c r="B1283" i="5"/>
  <c r="F1282" i="5"/>
  <c r="K1282" i="5" s="1"/>
  <c r="B1282" i="5"/>
  <c r="F1281" i="5"/>
  <c r="K1281" i="5" s="1"/>
  <c r="B1281" i="5"/>
  <c r="F1280" i="5"/>
  <c r="K1280" i="5" s="1"/>
  <c r="B1280" i="5"/>
  <c r="F1279" i="5"/>
  <c r="K1279" i="5"/>
  <c r="B1279" i="5"/>
  <c r="F1278" i="5"/>
  <c r="K1278" i="5" s="1"/>
  <c r="B1278" i="5"/>
  <c r="F1270" i="5"/>
  <c r="K1270" i="5" s="1"/>
  <c r="B1270" i="5"/>
  <c r="F1269" i="5"/>
  <c r="K1269" i="5" s="1"/>
  <c r="B1269" i="5"/>
  <c r="F1268" i="5"/>
  <c r="K1268" i="5"/>
  <c r="B1268" i="5"/>
  <c r="F1267" i="5"/>
  <c r="K1267" i="5" s="1"/>
  <c r="B1267" i="5"/>
  <c r="F1266" i="5"/>
  <c r="K1266" i="5" s="1"/>
  <c r="B1266" i="5"/>
  <c r="F1265" i="5"/>
  <c r="K1265" i="5" s="1"/>
  <c r="B1265" i="5"/>
  <c r="F1264" i="5"/>
  <c r="K1264" i="5"/>
  <c r="B1264" i="5"/>
  <c r="F1263" i="5"/>
  <c r="K1263" i="5" s="1"/>
  <c r="B1263" i="5"/>
  <c r="F1262" i="5"/>
  <c r="K1262" i="5" s="1"/>
  <c r="B1262" i="5"/>
  <c r="F1261" i="5"/>
  <c r="K1261" i="5" s="1"/>
  <c r="B1261" i="5"/>
  <c r="F1260" i="5"/>
  <c r="K1260" i="5" s="1"/>
  <c r="B1260" i="5"/>
  <c r="F1259" i="5"/>
  <c r="K1259" i="5" s="1"/>
  <c r="B1259" i="5"/>
  <c r="F1258" i="5"/>
  <c r="K1258" i="5" s="1"/>
  <c r="B1258" i="5"/>
  <c r="F1257" i="5"/>
  <c r="K1257" i="5" s="1"/>
  <c r="B1257" i="5"/>
  <c r="F1256" i="5"/>
  <c r="K1256" i="5"/>
  <c r="B1256" i="5"/>
  <c r="F1255" i="5"/>
  <c r="K1255" i="5" s="1"/>
  <c r="B1255" i="5"/>
  <c r="F1254" i="5"/>
  <c r="K1254" i="5" s="1"/>
  <c r="B1254" i="5"/>
  <c r="F1253" i="5"/>
  <c r="K1253" i="5" s="1"/>
  <c r="B1253" i="5"/>
  <c r="F1252" i="5"/>
  <c r="K1252" i="5" s="1"/>
  <c r="B1252" i="5"/>
  <c r="F1251" i="5"/>
  <c r="K1251" i="5" s="1"/>
  <c r="B1251" i="5"/>
  <c r="F1250" i="5"/>
  <c r="K1250" i="5" s="1"/>
  <c r="B1250" i="5"/>
  <c r="F1249" i="5"/>
  <c r="K1249" i="5" s="1"/>
  <c r="B1249" i="5"/>
  <c r="F1248" i="5"/>
  <c r="K1248" i="5"/>
  <c r="B1248" i="5"/>
  <c r="F1247" i="5"/>
  <c r="K1247" i="5" s="1"/>
  <c r="B1247" i="5"/>
  <c r="F1246" i="5"/>
  <c r="K1246" i="5" s="1"/>
  <c r="B1246" i="5"/>
  <c r="F1245" i="5"/>
  <c r="K1245" i="5" s="1"/>
  <c r="B1245" i="5"/>
  <c r="F1244" i="5"/>
  <c r="K1244" i="5" s="1"/>
  <c r="B1244" i="5"/>
  <c r="F1243" i="5"/>
  <c r="K1243" i="5" s="1"/>
  <c r="B1243" i="5"/>
  <c r="F1242" i="5"/>
  <c r="K1242" i="5" s="1"/>
  <c r="B1242" i="5"/>
  <c r="F1241" i="5"/>
  <c r="K1241" i="5" s="1"/>
  <c r="B1241" i="5"/>
  <c r="F1240" i="5"/>
  <c r="K1240" i="5"/>
  <c r="B1240" i="5"/>
  <c r="F1239" i="5"/>
  <c r="K1239" i="5" s="1"/>
  <c r="B1239" i="5"/>
  <c r="F1238" i="5"/>
  <c r="K1238" i="5" s="1"/>
  <c r="B1238" i="5"/>
  <c r="F1237" i="5"/>
  <c r="K1237" i="5" s="1"/>
  <c r="B1237" i="5"/>
  <c r="F1236" i="5"/>
  <c r="K1236" i="5" s="1"/>
  <c r="B1236" i="5"/>
  <c r="F1235" i="5"/>
  <c r="K1235" i="5" s="1"/>
  <c r="B1235" i="5"/>
  <c r="F1234" i="5"/>
  <c r="K1234" i="5" s="1"/>
  <c r="B1234" i="5"/>
  <c r="F1233" i="5"/>
  <c r="K1233" i="5" s="1"/>
  <c r="B1233" i="5"/>
  <c r="F1232" i="5"/>
  <c r="K1232" i="5"/>
  <c r="B1232" i="5"/>
  <c r="F1231" i="5"/>
  <c r="K1231" i="5" s="1"/>
  <c r="B1231" i="5"/>
  <c r="F1230" i="5"/>
  <c r="K1230" i="5" s="1"/>
  <c r="B1230" i="5"/>
  <c r="F1229" i="5"/>
  <c r="K1229" i="5" s="1"/>
  <c r="B1229" i="5"/>
  <c r="F1228" i="5"/>
  <c r="K1228" i="5" s="1"/>
  <c r="B1228" i="5"/>
  <c r="F1227" i="5"/>
  <c r="K1227" i="5" s="1"/>
  <c r="B1227" i="5"/>
  <c r="F1226" i="5"/>
  <c r="K1226" i="5" s="1"/>
  <c r="B1226" i="5"/>
  <c r="F1225" i="5"/>
  <c r="K1225" i="5" s="1"/>
  <c r="B1225" i="5"/>
  <c r="F1224" i="5"/>
  <c r="K1224" i="5"/>
  <c r="B1224" i="5"/>
  <c r="F1223" i="5"/>
  <c r="K1223" i="5" s="1"/>
  <c r="B1223" i="5"/>
  <c r="F1222" i="5"/>
  <c r="K1222" i="5" s="1"/>
  <c r="B1222" i="5"/>
  <c r="F1221" i="5"/>
  <c r="K1221" i="5" s="1"/>
  <c r="B1221" i="5"/>
  <c r="F1220" i="5"/>
  <c r="K1220" i="5" s="1"/>
  <c r="B1220" i="5"/>
  <c r="F1219" i="5"/>
  <c r="K1219" i="5" s="1"/>
  <c r="B1219" i="5"/>
  <c r="F1218" i="5"/>
  <c r="K1218" i="5" s="1"/>
  <c r="B1218" i="5"/>
  <c r="F1217" i="5"/>
  <c r="K1217" i="5" s="1"/>
  <c r="B1217" i="5"/>
  <c r="F1216" i="5"/>
  <c r="K1216" i="5"/>
  <c r="B1216" i="5"/>
  <c r="F1215" i="5"/>
  <c r="K1215" i="5"/>
  <c r="B1215" i="5"/>
  <c r="F1214" i="5"/>
  <c r="K1214" i="5" s="1"/>
  <c r="B1214" i="5"/>
  <c r="F1213" i="5"/>
  <c r="K1213" i="5" s="1"/>
  <c r="B1213" i="5"/>
  <c r="F1212" i="5"/>
  <c r="K1212" i="5" s="1"/>
  <c r="B1212" i="5"/>
  <c r="F1211" i="5"/>
  <c r="K1211" i="5" s="1"/>
  <c r="B1211" i="5"/>
  <c r="F1210" i="5"/>
  <c r="K1210" i="5" s="1"/>
  <c r="B1210" i="5"/>
  <c r="F1209" i="5"/>
  <c r="K1209" i="5" s="1"/>
  <c r="B1209" i="5"/>
  <c r="F1208" i="5"/>
  <c r="K1208" i="5"/>
  <c r="B1208" i="5"/>
  <c r="F1207" i="5"/>
  <c r="K1207" i="5"/>
  <c r="B1207" i="5"/>
  <c r="F1206" i="5"/>
  <c r="K1206" i="5" s="1"/>
  <c r="B1206" i="5"/>
  <c r="F1205" i="5"/>
  <c r="K1205" i="5" s="1"/>
  <c r="B1205" i="5"/>
  <c r="F1204" i="5"/>
  <c r="K1204" i="5" s="1"/>
  <c r="B1204" i="5"/>
  <c r="F1203" i="5"/>
  <c r="K1203" i="5" s="1"/>
  <c r="B1203" i="5"/>
  <c r="F1202" i="5"/>
  <c r="K1202" i="5" s="1"/>
  <c r="B1202" i="5"/>
  <c r="F1201" i="5"/>
  <c r="K1201" i="5" s="1"/>
  <c r="B1201" i="5"/>
  <c r="F1200" i="5"/>
  <c r="K1200" i="5"/>
  <c r="B1200" i="5"/>
  <c r="F1199" i="5"/>
  <c r="K1199" i="5"/>
  <c r="B1199" i="5"/>
  <c r="F1198" i="5"/>
  <c r="K1198" i="5" s="1"/>
  <c r="B1198" i="5"/>
  <c r="F1197" i="5"/>
  <c r="K1197" i="5" s="1"/>
  <c r="B1197" i="5"/>
  <c r="F1196" i="5"/>
  <c r="K1196" i="5" s="1"/>
  <c r="B1196" i="5"/>
  <c r="F1195" i="5"/>
  <c r="K1195" i="5" s="1"/>
  <c r="B1195" i="5"/>
  <c r="F1194" i="5"/>
  <c r="K1194" i="5" s="1"/>
  <c r="B1194" i="5"/>
  <c r="F1193" i="5"/>
  <c r="K1193" i="5" s="1"/>
  <c r="B1193" i="5"/>
  <c r="F1192" i="5"/>
  <c r="K1192" i="5"/>
  <c r="B1192" i="5"/>
  <c r="F1191" i="5"/>
  <c r="K1191" i="5"/>
  <c r="B1191" i="5"/>
  <c r="F1190" i="5"/>
  <c r="K1190" i="5" s="1"/>
  <c r="B1190" i="5"/>
  <c r="F1189" i="5"/>
  <c r="K1189" i="5" s="1"/>
  <c r="B1189" i="5"/>
  <c r="F1188" i="5"/>
  <c r="K1188" i="5" s="1"/>
  <c r="B1188" i="5"/>
  <c r="F1187" i="5"/>
  <c r="K1187" i="5" s="1"/>
  <c r="B1187" i="5"/>
  <c r="F1186" i="5"/>
  <c r="K1186" i="5" s="1"/>
  <c r="B1186" i="5"/>
  <c r="F1185" i="5"/>
  <c r="K1185" i="5" s="1"/>
  <c r="B1185" i="5"/>
  <c r="F1184" i="5"/>
  <c r="K1184" i="5"/>
  <c r="B1184" i="5"/>
  <c r="F1183" i="5"/>
  <c r="K1183" i="5"/>
  <c r="B1183" i="5"/>
  <c r="F1182" i="5"/>
  <c r="K1182" i="5" s="1"/>
  <c r="B1182" i="5"/>
  <c r="F1181" i="5"/>
  <c r="K1181" i="5" s="1"/>
  <c r="B1181" i="5"/>
  <c r="F1180" i="5"/>
  <c r="K1180" i="5" s="1"/>
  <c r="B1180" i="5"/>
  <c r="F1176" i="5"/>
  <c r="K1176" i="5"/>
  <c r="B1176" i="5"/>
  <c r="F1175" i="5"/>
  <c r="K1175" i="5" s="1"/>
  <c r="B1175" i="5"/>
  <c r="F1169" i="5"/>
  <c r="K1169" i="5" s="1"/>
  <c r="B1169" i="5"/>
  <c r="F1168" i="5"/>
  <c r="K1168" i="5"/>
  <c r="B1168" i="5"/>
  <c r="F1167" i="5"/>
  <c r="K1167" i="5"/>
  <c r="B1167" i="5"/>
  <c r="F1166" i="5"/>
  <c r="K1166" i="5" s="1"/>
  <c r="B1166" i="5"/>
  <c r="F1165" i="5"/>
  <c r="K1165" i="5" s="1"/>
  <c r="B1165" i="5"/>
  <c r="F1164" i="5"/>
  <c r="K1164" i="5" s="1"/>
  <c r="B1164" i="5"/>
  <c r="F1163" i="5"/>
  <c r="K1163" i="5"/>
  <c r="B1163" i="5"/>
  <c r="B1156" i="5"/>
  <c r="B1155" i="5"/>
  <c r="F1149" i="5"/>
  <c r="K1149" i="5" s="1"/>
  <c r="B1149" i="5"/>
  <c r="F1148" i="5"/>
  <c r="K1148" i="5"/>
  <c r="B1148" i="5"/>
  <c r="F1147" i="5"/>
  <c r="K1147" i="5" s="1"/>
  <c r="B1147" i="5"/>
  <c r="F1146" i="5"/>
  <c r="K1146" i="5" s="1"/>
  <c r="B1146" i="5"/>
  <c r="F1145" i="5"/>
  <c r="K1145" i="5"/>
  <c r="B1145" i="5"/>
  <c r="F1144" i="5"/>
  <c r="K1144" i="5"/>
  <c r="B1144" i="5"/>
  <c r="F1143" i="5"/>
  <c r="K1143" i="5" s="1"/>
  <c r="B1143" i="5"/>
  <c r="F1142" i="5"/>
  <c r="K1142" i="5" s="1"/>
  <c r="B1142" i="5"/>
  <c r="F1141" i="5"/>
  <c r="K1141" i="5" s="1"/>
  <c r="B1141" i="5"/>
  <c r="F1140" i="5"/>
  <c r="K1140" i="5"/>
  <c r="B1140" i="5"/>
  <c r="F1139" i="5"/>
  <c r="K1139" i="5" s="1"/>
  <c r="B1139" i="5"/>
  <c r="F1138" i="5"/>
  <c r="K1138" i="5" s="1"/>
  <c r="B1138" i="5"/>
  <c r="F1137" i="5"/>
  <c r="K1137" i="5"/>
  <c r="B1137" i="5"/>
  <c r="F1136" i="5"/>
  <c r="K1136" i="5"/>
  <c r="B1136" i="5"/>
  <c r="F1135" i="5"/>
  <c r="K1135" i="5" s="1"/>
  <c r="B1135" i="5"/>
  <c r="F1129" i="5"/>
  <c r="K1129" i="5" s="1"/>
  <c r="B1129" i="5"/>
  <c r="F1128" i="5"/>
  <c r="K1128" i="5" s="1"/>
  <c r="B1128" i="5"/>
  <c r="F1127" i="5"/>
  <c r="K1127" i="5"/>
  <c r="B1127" i="5"/>
  <c r="F1126" i="5"/>
  <c r="K1126" i="5" s="1"/>
  <c r="B1126" i="5"/>
  <c r="F1125" i="5"/>
  <c r="K1125" i="5" s="1"/>
  <c r="B1125" i="5"/>
  <c r="F1124" i="5"/>
  <c r="K1124" i="5"/>
  <c r="B1124" i="5"/>
  <c r="F1123" i="5"/>
  <c r="K1123" i="5"/>
  <c r="B1123" i="5"/>
  <c r="F1122" i="5"/>
  <c r="K1122" i="5" s="1"/>
  <c r="B1122" i="5"/>
  <c r="F1121" i="5"/>
  <c r="K1121" i="5"/>
  <c r="B1121" i="5"/>
  <c r="F1120" i="5"/>
  <c r="K1120" i="5"/>
  <c r="B1120" i="5"/>
  <c r="F1119" i="5"/>
  <c r="K1119" i="5" s="1"/>
  <c r="B1119" i="5"/>
  <c r="F1118" i="5"/>
  <c r="K1118" i="5" s="1"/>
  <c r="B1118" i="5"/>
  <c r="F1117" i="5"/>
  <c r="K1117" i="5" s="1"/>
  <c r="B1117" i="5"/>
  <c r="F1116" i="5"/>
  <c r="K1116" i="5" s="1"/>
  <c r="B1116" i="5"/>
  <c r="F1115" i="5"/>
  <c r="K1115" i="5"/>
  <c r="B1115" i="5"/>
  <c r="F1114" i="5"/>
  <c r="K1114" i="5" s="1"/>
  <c r="B1114" i="5"/>
  <c r="F1113" i="5"/>
  <c r="K1113" i="5" s="1"/>
  <c r="B1113" i="5"/>
  <c r="F1112" i="5"/>
  <c r="K1112" i="5" s="1"/>
  <c r="B1112" i="5"/>
  <c r="F1111" i="5"/>
  <c r="K1111" i="5"/>
  <c r="B1111" i="5"/>
  <c r="F1107" i="5"/>
  <c r="K1107" i="5" s="1"/>
  <c r="B1107" i="5"/>
  <c r="F1106" i="5"/>
  <c r="K1106" i="5" s="1"/>
  <c r="B1106" i="5"/>
  <c r="F1105" i="5"/>
  <c r="K1105" i="5"/>
  <c r="B1105" i="5"/>
  <c r="F1104" i="5"/>
  <c r="K1104" i="5" s="1"/>
  <c r="B1104" i="5"/>
  <c r="F1103" i="5"/>
  <c r="K1103" i="5" s="1"/>
  <c r="B1103" i="5"/>
  <c r="F1102" i="5"/>
  <c r="K1102" i="5"/>
  <c r="B1102" i="5"/>
  <c r="F1101" i="5"/>
  <c r="K1101" i="5" s="1"/>
  <c r="B1101" i="5"/>
  <c r="F1100" i="5"/>
  <c r="K1100" i="5"/>
  <c r="B1100" i="5"/>
  <c r="F1099" i="5"/>
  <c r="K1099" i="5" s="1"/>
  <c r="B1099" i="5"/>
  <c r="F1098" i="5"/>
  <c r="K1098" i="5" s="1"/>
  <c r="B1098" i="5"/>
  <c r="F1091" i="5"/>
  <c r="K1091" i="5" s="1"/>
  <c r="B1091" i="5"/>
  <c r="F1090" i="5"/>
  <c r="K1090" i="5" s="1"/>
  <c r="B1090" i="5"/>
  <c r="F1089" i="5"/>
  <c r="K1089" i="5"/>
  <c r="B1089" i="5"/>
  <c r="F1088" i="5"/>
  <c r="K1088" i="5" s="1"/>
  <c r="B1088" i="5"/>
  <c r="F1087" i="5"/>
  <c r="K1087" i="5" s="1"/>
  <c r="B1087" i="5"/>
  <c r="F1086" i="5"/>
  <c r="K1086" i="5" s="1"/>
  <c r="B1086" i="5"/>
  <c r="F1085" i="5"/>
  <c r="K1085" i="5"/>
  <c r="B1085" i="5"/>
  <c r="F1084" i="5"/>
  <c r="K1084" i="5" s="1"/>
  <c r="B1084" i="5"/>
  <c r="F1083" i="5"/>
  <c r="K1083" i="5" s="1"/>
  <c r="B1083" i="5"/>
  <c r="F1082" i="5"/>
  <c r="K1082" i="5" s="1"/>
  <c r="B1082" i="5"/>
  <c r="F1081" i="5"/>
  <c r="K1081" i="5"/>
  <c r="B1081" i="5"/>
  <c r="F1080" i="5"/>
  <c r="K1080" i="5" s="1"/>
  <c r="B1080" i="5"/>
  <c r="F1079" i="5"/>
  <c r="K1079" i="5" s="1"/>
  <c r="B1079" i="5"/>
  <c r="F1078" i="5"/>
  <c r="K1078" i="5" s="1"/>
  <c r="B1078" i="5"/>
  <c r="F1077" i="5"/>
  <c r="K1077" i="5" s="1"/>
  <c r="B1077" i="5"/>
  <c r="F1076" i="5"/>
  <c r="K1076" i="5" s="1"/>
  <c r="B1076" i="5"/>
  <c r="F1075" i="5"/>
  <c r="K1075" i="5" s="1"/>
  <c r="B1075" i="5"/>
  <c r="F1074" i="5"/>
  <c r="K1074" i="5" s="1"/>
  <c r="B1074" i="5"/>
  <c r="F1073" i="5"/>
  <c r="K1073" i="5"/>
  <c r="B1073" i="5"/>
  <c r="F1072" i="5"/>
  <c r="K1072" i="5" s="1"/>
  <c r="B1072" i="5"/>
  <c r="F1071" i="5"/>
  <c r="K1071" i="5" s="1"/>
  <c r="B1071" i="5"/>
  <c r="F1070" i="5"/>
  <c r="K1070" i="5" s="1"/>
  <c r="B1070" i="5"/>
  <c r="F1069" i="5"/>
  <c r="K1069" i="5"/>
  <c r="B1069" i="5"/>
  <c r="F1068" i="5"/>
  <c r="K1068" i="5" s="1"/>
  <c r="B1068" i="5"/>
  <c r="F1067" i="5"/>
  <c r="K1067" i="5" s="1"/>
  <c r="B1067" i="5"/>
  <c r="F1066" i="5"/>
  <c r="K1066" i="5" s="1"/>
  <c r="B1066" i="5"/>
  <c r="F1065" i="5"/>
  <c r="K1065" i="5"/>
  <c r="B1065" i="5"/>
  <c r="F1064" i="5"/>
  <c r="K1064" i="5" s="1"/>
  <c r="B1064" i="5"/>
  <c r="F1063" i="5"/>
  <c r="K1063" i="5" s="1"/>
  <c r="B1063" i="5"/>
  <c r="F1062" i="5"/>
  <c r="K1062" i="5" s="1"/>
  <c r="B1062" i="5"/>
  <c r="F1061" i="5"/>
  <c r="K1061" i="5" s="1"/>
  <c r="B1061" i="5"/>
  <c r="F1060" i="5"/>
  <c r="K1060" i="5" s="1"/>
  <c r="B1060" i="5"/>
  <c r="F1059" i="5"/>
  <c r="K1059" i="5" s="1"/>
  <c r="B1059" i="5"/>
  <c r="F1058" i="5"/>
  <c r="K1058" i="5" s="1"/>
  <c r="B1058" i="5"/>
  <c r="F1057" i="5"/>
  <c r="K1057" i="5"/>
  <c r="B1057" i="5"/>
  <c r="F1056" i="5"/>
  <c r="K1056" i="5" s="1"/>
  <c r="B1056" i="5"/>
  <c r="F1055" i="5"/>
  <c r="K1055" i="5" s="1"/>
  <c r="B1055" i="5"/>
  <c r="F1054" i="5"/>
  <c r="K1054" i="5" s="1"/>
  <c r="B1054" i="5"/>
  <c r="F1053" i="5"/>
  <c r="K1053" i="5"/>
  <c r="B1053" i="5"/>
  <c r="F1052" i="5"/>
  <c r="K1052" i="5" s="1"/>
  <c r="B1052" i="5"/>
  <c r="F1051" i="5"/>
  <c r="K1051" i="5" s="1"/>
  <c r="B1051" i="5"/>
  <c r="F1050" i="5"/>
  <c r="K1050" i="5" s="1"/>
  <c r="B1050" i="5"/>
  <c r="F1049" i="5"/>
  <c r="K1049" i="5"/>
  <c r="B1049" i="5"/>
  <c r="F1048" i="5"/>
  <c r="K1048" i="5" s="1"/>
  <c r="B1048" i="5"/>
  <c r="F1047" i="5"/>
  <c r="K1047" i="5" s="1"/>
  <c r="B1047" i="5"/>
  <c r="F1046" i="5"/>
  <c r="K1046" i="5" s="1"/>
  <c r="B1046" i="5"/>
  <c r="F1045" i="5"/>
  <c r="K1045" i="5" s="1"/>
  <c r="B1045" i="5"/>
  <c r="F1044" i="5"/>
  <c r="K1044" i="5" s="1"/>
  <c r="B1044" i="5"/>
  <c r="F1043" i="5"/>
  <c r="K1043" i="5" s="1"/>
  <c r="B1043" i="5"/>
  <c r="F1042" i="5"/>
  <c r="K1042" i="5" s="1"/>
  <c r="B1042" i="5"/>
  <c r="F1041" i="5"/>
  <c r="K1041" i="5"/>
  <c r="B1041" i="5"/>
  <c r="F1040" i="5"/>
  <c r="K1040" i="5" s="1"/>
  <c r="B1040" i="5"/>
  <c r="F1039" i="5"/>
  <c r="K1039" i="5" s="1"/>
  <c r="B1039" i="5"/>
  <c r="F1038" i="5"/>
  <c r="K1038" i="5" s="1"/>
  <c r="B1038" i="5"/>
  <c r="F1037" i="5"/>
  <c r="K1037" i="5"/>
  <c r="B1037" i="5"/>
  <c r="F1036" i="5"/>
  <c r="K1036" i="5" s="1"/>
  <c r="B1036" i="5"/>
  <c r="F1035" i="5"/>
  <c r="K1035" i="5" s="1"/>
  <c r="B1035" i="5"/>
  <c r="F1034" i="5"/>
  <c r="K1034" i="5" s="1"/>
  <c r="B1034" i="5"/>
  <c r="F1033" i="5"/>
  <c r="K1033" i="5"/>
  <c r="B1033" i="5"/>
  <c r="F1032" i="5"/>
  <c r="K1032" i="5" s="1"/>
  <c r="B1032" i="5"/>
  <c r="F1031" i="5"/>
  <c r="K1031" i="5" s="1"/>
  <c r="B1031" i="5"/>
  <c r="F1030" i="5"/>
  <c r="K1030" i="5" s="1"/>
  <c r="B1030" i="5"/>
  <c r="F1029" i="5"/>
  <c r="K1029" i="5" s="1"/>
  <c r="B1029" i="5"/>
  <c r="F1028" i="5"/>
  <c r="K1028" i="5" s="1"/>
  <c r="B1028" i="5"/>
  <c r="F1027" i="5"/>
  <c r="K1027" i="5" s="1"/>
  <c r="B1027" i="5"/>
  <c r="F1026" i="5"/>
  <c r="K1026" i="5" s="1"/>
  <c r="B1026" i="5"/>
  <c r="F1025" i="5"/>
  <c r="K1025" i="5"/>
  <c r="B1025" i="5"/>
  <c r="F1024" i="5"/>
  <c r="K1024" i="5" s="1"/>
  <c r="B1024" i="5"/>
  <c r="F1023" i="5"/>
  <c r="K1023" i="5" s="1"/>
  <c r="B1023" i="5"/>
  <c r="F1022" i="5"/>
  <c r="K1022" i="5" s="1"/>
  <c r="B1022" i="5"/>
  <c r="F1021" i="5"/>
  <c r="K1021" i="5"/>
  <c r="B1021" i="5"/>
  <c r="F1020" i="5"/>
  <c r="K1020" i="5" s="1"/>
  <c r="B1020" i="5"/>
  <c r="F1019" i="5"/>
  <c r="K1019" i="5" s="1"/>
  <c r="B1019" i="5"/>
  <c r="F1016" i="5"/>
  <c r="K1016" i="5" s="1"/>
  <c r="B1016" i="5"/>
  <c r="F1015" i="5"/>
  <c r="K1015" i="5"/>
  <c r="B1015" i="5"/>
  <c r="F1014" i="5"/>
  <c r="K1014" i="5" s="1"/>
  <c r="B1014" i="5"/>
  <c r="F1013" i="5"/>
  <c r="K1013" i="5" s="1"/>
  <c r="B1013" i="5"/>
  <c r="F1012" i="5"/>
  <c r="K1012" i="5" s="1"/>
  <c r="B1012" i="5"/>
  <c r="F1011" i="5"/>
  <c r="K1011" i="5" s="1"/>
  <c r="B1011" i="5"/>
  <c r="F1010" i="5"/>
  <c r="K1010" i="5" s="1"/>
  <c r="B1010" i="5"/>
  <c r="F1009" i="5"/>
  <c r="K1009" i="5" s="1"/>
  <c r="B1009" i="5"/>
  <c r="F1008" i="5"/>
  <c r="K1008" i="5" s="1"/>
  <c r="B1008" i="5"/>
  <c r="F1007" i="5"/>
  <c r="K1007" i="5"/>
  <c r="B1007" i="5"/>
  <c r="F1006" i="5"/>
  <c r="K1006" i="5" s="1"/>
  <c r="B1006" i="5"/>
  <c r="F1005" i="5"/>
  <c r="K1005" i="5" s="1"/>
  <c r="B1005" i="5"/>
  <c r="F1004" i="5"/>
  <c r="K1004" i="5" s="1"/>
  <c r="B1004" i="5"/>
  <c r="F1003" i="5"/>
  <c r="K1003" i="5"/>
  <c r="B1003" i="5"/>
  <c r="F1002" i="5"/>
  <c r="K1002" i="5" s="1"/>
  <c r="B1002" i="5"/>
  <c r="F1001" i="5"/>
  <c r="K1001" i="5" s="1"/>
  <c r="B1001" i="5"/>
  <c r="F1000" i="5"/>
  <c r="K1000" i="5" s="1"/>
  <c r="B1000" i="5"/>
  <c r="F999" i="5"/>
  <c r="K999" i="5"/>
  <c r="B999" i="5"/>
  <c r="F998" i="5"/>
  <c r="K998" i="5" s="1"/>
  <c r="B998" i="5"/>
  <c r="F997" i="5"/>
  <c r="K997" i="5" s="1"/>
  <c r="B997" i="5"/>
  <c r="F996" i="5"/>
  <c r="K996" i="5" s="1"/>
  <c r="B996" i="5"/>
  <c r="F995" i="5"/>
  <c r="K995" i="5" s="1"/>
  <c r="B995" i="5"/>
  <c r="F994" i="5"/>
  <c r="K994" i="5" s="1"/>
  <c r="B994" i="5"/>
  <c r="F993" i="5"/>
  <c r="K993" i="5" s="1"/>
  <c r="B993" i="5"/>
  <c r="F986" i="5"/>
  <c r="K986" i="5" s="1"/>
  <c r="B986" i="5"/>
  <c r="F985" i="5"/>
  <c r="K985" i="5"/>
  <c r="B985" i="5"/>
  <c r="F984" i="5"/>
  <c r="K984" i="5" s="1"/>
  <c r="B984" i="5"/>
  <c r="F983" i="5"/>
  <c r="K983" i="5" s="1"/>
  <c r="B983" i="5"/>
  <c r="F982" i="5"/>
  <c r="K982" i="5" s="1"/>
  <c r="B982" i="5"/>
  <c r="F981" i="5"/>
  <c r="K981" i="5"/>
  <c r="B981" i="5"/>
  <c r="F974" i="5"/>
  <c r="K974" i="5" s="1"/>
  <c r="B974" i="5"/>
  <c r="F973" i="5"/>
  <c r="K973" i="5" s="1"/>
  <c r="B973" i="5"/>
  <c r="F972" i="5"/>
  <c r="K972" i="5" s="1"/>
  <c r="B972" i="5"/>
  <c r="F971" i="5"/>
  <c r="K971" i="5"/>
  <c r="B971" i="5"/>
  <c r="F970" i="5"/>
  <c r="K970" i="5" s="1"/>
  <c r="B970" i="5"/>
  <c r="F969" i="5"/>
  <c r="K969" i="5" s="1"/>
  <c r="B969" i="5"/>
  <c r="F968" i="5"/>
  <c r="K968" i="5" s="1"/>
  <c r="B968" i="5"/>
  <c r="F967" i="5"/>
  <c r="K967" i="5" s="1"/>
  <c r="B967" i="5"/>
  <c r="F966" i="5"/>
  <c r="K966" i="5" s="1"/>
  <c r="B966" i="5"/>
  <c r="F965" i="5"/>
  <c r="K965" i="5" s="1"/>
  <c r="B965" i="5"/>
  <c r="F964" i="5"/>
  <c r="K964" i="5" s="1"/>
  <c r="B964" i="5"/>
  <c r="F963" i="5"/>
  <c r="K963" i="5"/>
  <c r="B963" i="5"/>
  <c r="F962" i="5"/>
  <c r="K962" i="5" s="1"/>
  <c r="B962" i="5"/>
  <c r="F961" i="5"/>
  <c r="K961" i="5" s="1"/>
  <c r="B961" i="5"/>
  <c r="F960" i="5"/>
  <c r="K960" i="5" s="1"/>
  <c r="B960" i="5"/>
  <c r="F959" i="5"/>
  <c r="K959" i="5"/>
  <c r="B959" i="5"/>
  <c r="F958" i="5"/>
  <c r="K958" i="5" s="1"/>
  <c r="B958" i="5"/>
  <c r="F957" i="5"/>
  <c r="K957" i="5" s="1"/>
  <c r="B957" i="5"/>
  <c r="F956" i="5"/>
  <c r="K956" i="5" s="1"/>
  <c r="B956" i="5"/>
  <c r="F955" i="5"/>
  <c r="K955" i="5"/>
  <c r="B955" i="5"/>
  <c r="F954" i="5"/>
  <c r="K954" i="5" s="1"/>
  <c r="B954" i="5"/>
  <c r="F953" i="5"/>
  <c r="K953" i="5" s="1"/>
  <c r="B953" i="5"/>
  <c r="F952" i="5"/>
  <c r="K952" i="5" s="1"/>
  <c r="B952" i="5"/>
  <c r="F951" i="5"/>
  <c r="K951" i="5" s="1"/>
  <c r="B951" i="5"/>
  <c r="F950" i="5"/>
  <c r="K950" i="5" s="1"/>
  <c r="B950" i="5"/>
  <c r="F949" i="5"/>
  <c r="K949" i="5" s="1"/>
  <c r="B949" i="5"/>
  <c r="F948" i="5"/>
  <c r="K948" i="5" s="1"/>
  <c r="B948" i="5"/>
  <c r="F947" i="5"/>
  <c r="K947" i="5"/>
  <c r="B947" i="5"/>
  <c r="F946" i="5"/>
  <c r="K946" i="5" s="1"/>
  <c r="B946" i="5"/>
  <c r="F945" i="5"/>
  <c r="K945" i="5" s="1"/>
  <c r="B945" i="5"/>
  <c r="F944" i="5"/>
  <c r="K944" i="5" s="1"/>
  <c r="B944" i="5"/>
  <c r="F943" i="5"/>
  <c r="K943" i="5"/>
  <c r="B943" i="5"/>
  <c r="F942" i="5"/>
  <c r="K942" i="5" s="1"/>
  <c r="B942" i="5"/>
  <c r="B937" i="5"/>
  <c r="F934" i="5"/>
  <c r="K934" i="5" s="1"/>
  <c r="B934" i="5"/>
  <c r="F933" i="5"/>
  <c r="K933" i="5" s="1"/>
  <c r="B933" i="5"/>
  <c r="F932" i="5"/>
  <c r="K932" i="5" s="1"/>
  <c r="B932" i="5"/>
  <c r="F931" i="5"/>
  <c r="K931" i="5"/>
  <c r="B931" i="5"/>
  <c r="F924" i="5"/>
  <c r="K924" i="5" s="1"/>
  <c r="B924" i="5"/>
  <c r="F923" i="5"/>
  <c r="K923" i="5" s="1"/>
  <c r="B923" i="5"/>
  <c r="F922" i="5"/>
  <c r="K922" i="5" s="1"/>
  <c r="B922" i="5"/>
  <c r="F921" i="5"/>
  <c r="K921" i="5"/>
  <c r="B921" i="5"/>
  <c r="F920" i="5"/>
  <c r="K920" i="5" s="1"/>
  <c r="B920" i="5"/>
  <c r="F919" i="5"/>
  <c r="K919" i="5" s="1"/>
  <c r="B919" i="5"/>
  <c r="F918" i="5"/>
  <c r="K918" i="5" s="1"/>
  <c r="B918" i="5"/>
  <c r="F917" i="5"/>
  <c r="K917" i="5" s="1"/>
  <c r="B917" i="5"/>
  <c r="F916" i="5"/>
  <c r="K916" i="5" s="1"/>
  <c r="B916" i="5"/>
  <c r="F915" i="5"/>
  <c r="K915" i="5" s="1"/>
  <c r="B915" i="5"/>
  <c r="F914" i="5"/>
  <c r="K914" i="5" s="1"/>
  <c r="B914" i="5"/>
  <c r="F913" i="5"/>
  <c r="K913" i="5"/>
  <c r="B913" i="5"/>
  <c r="F912" i="5"/>
  <c r="K912" i="5" s="1"/>
  <c r="B912" i="5"/>
  <c r="F911" i="5"/>
  <c r="K911" i="5" s="1"/>
  <c r="B911" i="5"/>
  <c r="F910" i="5"/>
  <c r="K910" i="5" s="1"/>
  <c r="B910" i="5"/>
  <c r="F904" i="5"/>
  <c r="K904" i="5"/>
  <c r="B904" i="5"/>
  <c r="F903" i="5"/>
  <c r="K903" i="5" s="1"/>
  <c r="B903" i="5"/>
  <c r="F902" i="5"/>
  <c r="K902" i="5" s="1"/>
  <c r="B902" i="5"/>
  <c r="F901" i="5"/>
  <c r="K901" i="5" s="1"/>
  <c r="B901" i="5"/>
  <c r="F900" i="5"/>
  <c r="K900" i="5"/>
  <c r="B900" i="5"/>
  <c r="F899" i="5"/>
  <c r="K899" i="5" s="1"/>
  <c r="B899" i="5"/>
  <c r="F898" i="5"/>
  <c r="K898" i="5" s="1"/>
  <c r="B898" i="5"/>
  <c r="F897" i="5"/>
  <c r="K897" i="5" s="1"/>
  <c r="B897" i="5"/>
  <c r="F896" i="5"/>
  <c r="K896" i="5" s="1"/>
  <c r="B896" i="5"/>
  <c r="F895" i="5"/>
  <c r="K895" i="5" s="1"/>
  <c r="B895" i="5"/>
  <c r="F894" i="5"/>
  <c r="K894" i="5" s="1"/>
  <c r="B894" i="5"/>
  <c r="F893" i="5"/>
  <c r="K893" i="5" s="1"/>
  <c r="B893" i="5"/>
  <c r="F892" i="5"/>
  <c r="K892" i="5"/>
  <c r="B892" i="5"/>
  <c r="F891" i="5"/>
  <c r="K891" i="5" s="1"/>
  <c r="B891" i="5"/>
  <c r="F890" i="5"/>
  <c r="K890" i="5" s="1"/>
  <c r="B890" i="5"/>
  <c r="F884" i="5"/>
  <c r="K884" i="5" s="1"/>
  <c r="B884" i="5"/>
  <c r="F883" i="5"/>
  <c r="K883" i="5"/>
  <c r="B883" i="5"/>
  <c r="F882" i="5"/>
  <c r="K882" i="5" s="1"/>
  <c r="B882" i="5"/>
  <c r="F881" i="5"/>
  <c r="K881" i="5" s="1"/>
  <c r="B881" i="5"/>
  <c r="F880" i="5"/>
  <c r="K880" i="5" s="1"/>
  <c r="B880" i="5"/>
  <c r="F879" i="5"/>
  <c r="K879" i="5"/>
  <c r="B879" i="5"/>
  <c r="F878" i="5"/>
  <c r="K878" i="5" s="1"/>
  <c r="B878" i="5"/>
  <c r="F872" i="5"/>
  <c r="K872" i="5" s="1"/>
  <c r="B872" i="5"/>
  <c r="F871" i="5"/>
  <c r="K871" i="5" s="1"/>
  <c r="B871" i="5"/>
  <c r="F870" i="5"/>
  <c r="K870" i="5" s="1"/>
  <c r="B870" i="5"/>
  <c r="F869" i="5"/>
  <c r="K869" i="5" s="1"/>
  <c r="B869" i="5"/>
  <c r="F868" i="5"/>
  <c r="K868" i="5" s="1"/>
  <c r="B868" i="5"/>
  <c r="F867" i="5"/>
  <c r="K867" i="5" s="1"/>
  <c r="B867" i="5"/>
  <c r="F866" i="5"/>
  <c r="K866" i="5"/>
  <c r="B866" i="5"/>
  <c r="F865" i="5"/>
  <c r="K865" i="5" s="1"/>
  <c r="B865" i="5"/>
  <c r="F864" i="5"/>
  <c r="K864" i="5" s="1"/>
  <c r="B864" i="5"/>
  <c r="F858" i="5"/>
  <c r="K858" i="5" s="1"/>
  <c r="B858" i="5"/>
  <c r="F857" i="5"/>
  <c r="K857" i="5"/>
  <c r="B857" i="5"/>
  <c r="F856" i="5"/>
  <c r="K856" i="5"/>
  <c r="B856" i="5"/>
  <c r="F855" i="5"/>
  <c r="K855" i="5" s="1"/>
  <c r="B855" i="5"/>
  <c r="F854" i="5"/>
  <c r="K854" i="5" s="1"/>
  <c r="B854" i="5"/>
  <c r="F853" i="5"/>
  <c r="K853" i="5" s="1"/>
  <c r="B853" i="5"/>
  <c r="F852" i="5"/>
  <c r="K852" i="5"/>
  <c r="B852" i="5"/>
  <c r="F851" i="5"/>
  <c r="K851" i="5" s="1"/>
  <c r="B851" i="5"/>
  <c r="F850" i="5"/>
  <c r="K850" i="5" s="1"/>
  <c r="B850" i="5"/>
  <c r="F849" i="5"/>
  <c r="K849" i="5"/>
  <c r="B849" i="5"/>
  <c r="F848" i="5"/>
  <c r="K848" i="5"/>
  <c r="B848" i="5"/>
  <c r="F847" i="5"/>
  <c r="K847" i="5" s="1"/>
  <c r="B847" i="5"/>
  <c r="F846" i="5"/>
  <c r="K846" i="5" s="1"/>
  <c r="B846" i="5"/>
  <c r="F845" i="5"/>
  <c r="K845" i="5" s="1"/>
  <c r="B845" i="5"/>
  <c r="F844" i="5"/>
  <c r="K844" i="5"/>
  <c r="B844" i="5"/>
  <c r="F843" i="5"/>
  <c r="K843" i="5" s="1"/>
  <c r="B843" i="5"/>
  <c r="F842" i="5"/>
  <c r="K842" i="5" s="1"/>
  <c r="B842" i="5"/>
  <c r="F841" i="5"/>
  <c r="K841" i="5"/>
  <c r="B841" i="5"/>
  <c r="F840" i="5"/>
  <c r="K840" i="5"/>
  <c r="B840" i="5"/>
  <c r="F839" i="5"/>
  <c r="K839" i="5" s="1"/>
  <c r="B839" i="5"/>
  <c r="F838" i="5"/>
  <c r="K838" i="5" s="1"/>
  <c r="B838" i="5"/>
  <c r="F837" i="5"/>
  <c r="K837" i="5" s="1"/>
  <c r="B837" i="5"/>
  <c r="F836" i="5"/>
  <c r="K836" i="5"/>
  <c r="B836" i="5"/>
  <c r="F835" i="5"/>
  <c r="K835" i="5" s="1"/>
  <c r="B835" i="5"/>
  <c r="F834" i="5"/>
  <c r="K834" i="5" s="1"/>
  <c r="B834" i="5"/>
  <c r="F833" i="5"/>
  <c r="K833" i="5"/>
  <c r="B833" i="5"/>
  <c r="F832" i="5"/>
  <c r="K832" i="5"/>
  <c r="B832" i="5"/>
  <c r="F831" i="5"/>
  <c r="K831" i="5" s="1"/>
  <c r="B831" i="5"/>
  <c r="F830" i="5"/>
  <c r="K830" i="5" s="1"/>
  <c r="B830" i="5"/>
  <c r="F829" i="5"/>
  <c r="K829" i="5" s="1"/>
  <c r="B829" i="5"/>
  <c r="F828" i="5"/>
  <c r="K828" i="5"/>
  <c r="B828" i="5"/>
  <c r="F827" i="5"/>
  <c r="K827" i="5" s="1"/>
  <c r="B827" i="5"/>
  <c r="F826" i="5"/>
  <c r="K826" i="5" s="1"/>
  <c r="B826" i="5"/>
  <c r="F825" i="5"/>
  <c r="K825" i="5" s="1"/>
  <c r="B825" i="5"/>
  <c r="F824" i="5"/>
  <c r="K824" i="5"/>
  <c r="B824" i="5"/>
  <c r="F823" i="5"/>
  <c r="K823" i="5" s="1"/>
  <c r="B823" i="5"/>
  <c r="F822" i="5"/>
  <c r="K822" i="5" s="1"/>
  <c r="B822" i="5"/>
  <c r="F821" i="5"/>
  <c r="K821" i="5" s="1"/>
  <c r="B821" i="5"/>
  <c r="F820" i="5"/>
  <c r="K820" i="5"/>
  <c r="B820" i="5"/>
  <c r="F813" i="5"/>
  <c r="K813" i="5" s="1"/>
  <c r="B813" i="5"/>
  <c r="F812" i="5"/>
  <c r="K812" i="5" s="1"/>
  <c r="B812" i="5"/>
  <c r="F811" i="5"/>
  <c r="K811" i="5" s="1"/>
  <c r="B811" i="5"/>
  <c r="F810" i="5"/>
  <c r="K810" i="5" s="1"/>
  <c r="B810" i="5"/>
  <c r="F809" i="5"/>
  <c r="K809" i="5" s="1"/>
  <c r="B809" i="5"/>
  <c r="F808" i="5"/>
  <c r="K808" i="5" s="1"/>
  <c r="B808" i="5"/>
  <c r="F807" i="5"/>
  <c r="K807" i="5"/>
  <c r="B807" i="5"/>
  <c r="F806" i="5"/>
  <c r="K806" i="5" s="1"/>
  <c r="B806" i="5"/>
  <c r="F805" i="5"/>
  <c r="K805" i="5" s="1"/>
  <c r="B805" i="5"/>
  <c r="F804" i="5"/>
  <c r="K804" i="5" s="1"/>
  <c r="B804" i="5"/>
  <c r="F803" i="5"/>
  <c r="K803" i="5" s="1"/>
  <c r="B803" i="5"/>
  <c r="F802" i="5"/>
  <c r="K802" i="5" s="1"/>
  <c r="B802" i="5"/>
  <c r="F801" i="5"/>
  <c r="K801" i="5" s="1"/>
  <c r="B801" i="5"/>
  <c r="F800" i="5"/>
  <c r="K800" i="5" s="1"/>
  <c r="B800" i="5"/>
  <c r="F799" i="5"/>
  <c r="K799" i="5"/>
  <c r="B799" i="5"/>
  <c r="F798" i="5"/>
  <c r="K798" i="5" s="1"/>
  <c r="B798" i="5"/>
  <c r="F797" i="5"/>
  <c r="K797" i="5" s="1"/>
  <c r="B797" i="5"/>
  <c r="F796" i="5"/>
  <c r="K796" i="5" s="1"/>
  <c r="B796" i="5"/>
  <c r="F795" i="5"/>
  <c r="K795" i="5" s="1"/>
  <c r="B795" i="5"/>
  <c r="B790" i="5"/>
  <c r="B789" i="5"/>
  <c r="F784" i="5"/>
  <c r="K784" i="5" s="1"/>
  <c r="B784" i="5"/>
  <c r="F783" i="5"/>
  <c r="K783" i="5"/>
  <c r="B783" i="5"/>
  <c r="F782" i="5"/>
  <c r="K782" i="5" s="1"/>
  <c r="B782" i="5"/>
  <c r="F781" i="5"/>
  <c r="K781" i="5" s="1"/>
  <c r="B781" i="5"/>
  <c r="F780" i="5"/>
  <c r="K780" i="5" s="1"/>
  <c r="B780" i="5"/>
  <c r="F779" i="5"/>
  <c r="K779" i="5"/>
  <c r="B779" i="5"/>
  <c r="F778" i="5"/>
  <c r="K778" i="5" s="1"/>
  <c r="B778" i="5"/>
  <c r="F777" i="5"/>
  <c r="K777" i="5" s="1"/>
  <c r="B777" i="5"/>
  <c r="K776" i="5"/>
  <c r="B776" i="5"/>
  <c r="K775" i="5"/>
  <c r="B775" i="5"/>
  <c r="K774" i="5"/>
  <c r="B774" i="5"/>
  <c r="K773" i="5"/>
  <c r="B773" i="5"/>
  <c r="K772" i="5"/>
  <c r="B772" i="5"/>
  <c r="K771" i="5"/>
  <c r="B771" i="5"/>
  <c r="K770" i="5"/>
  <c r="B770" i="5"/>
  <c r="K769" i="5"/>
  <c r="B769" i="5"/>
  <c r="K768" i="5"/>
  <c r="B768" i="5"/>
  <c r="K767" i="5"/>
  <c r="B767" i="5"/>
  <c r="K766" i="5"/>
  <c r="B766" i="5"/>
  <c r="K765" i="5"/>
  <c r="B765" i="5"/>
  <c r="K764" i="5"/>
  <c r="B764" i="5"/>
  <c r="K763" i="5"/>
  <c r="B763" i="5"/>
  <c r="K762" i="5"/>
  <c r="B762" i="5"/>
  <c r="K761" i="5"/>
  <c r="B761" i="5"/>
  <c r="K760" i="5"/>
  <c r="B760" i="5"/>
  <c r="K759" i="5"/>
  <c r="B759" i="5"/>
  <c r="K758" i="5"/>
  <c r="B758" i="5"/>
  <c r="K757" i="5"/>
  <c r="B757" i="5"/>
  <c r="K756" i="5"/>
  <c r="B756" i="5"/>
  <c r="K755" i="5"/>
  <c r="B755" i="5"/>
  <c r="K754" i="5"/>
  <c r="B754" i="5"/>
  <c r="K753" i="5"/>
  <c r="B753" i="5"/>
  <c r="K752" i="5"/>
  <c r="B752" i="5"/>
  <c r="K751" i="5"/>
  <c r="B751" i="5"/>
  <c r="K750" i="5"/>
  <c r="B750" i="5"/>
  <c r="K749" i="5"/>
  <c r="B749" i="5"/>
  <c r="K748" i="5"/>
  <c r="B748" i="5"/>
  <c r="K747" i="5"/>
  <c r="B747" i="5"/>
  <c r="K746" i="5"/>
  <c r="B746" i="5"/>
  <c r="K745" i="5"/>
  <c r="B745" i="5"/>
  <c r="K744" i="5"/>
  <c r="B744" i="5"/>
  <c r="K743" i="5"/>
  <c r="B743" i="5"/>
  <c r="K742" i="5"/>
  <c r="B742" i="5"/>
  <c r="K741" i="5"/>
  <c r="B741" i="5"/>
  <c r="K740" i="5"/>
  <c r="B740" i="5"/>
  <c r="K739" i="5"/>
  <c r="B739" i="5"/>
  <c r="K738" i="5"/>
  <c r="B738" i="5"/>
  <c r="K737" i="5"/>
  <c r="B737" i="5"/>
  <c r="K736" i="5"/>
  <c r="B736" i="5"/>
  <c r="K735" i="5"/>
  <c r="B735" i="5"/>
  <c r="K734" i="5"/>
  <c r="B734" i="5"/>
  <c r="K733" i="5"/>
  <c r="B733" i="5"/>
  <c r="K732" i="5"/>
  <c r="B732" i="5"/>
  <c r="K731" i="5"/>
  <c r="B731" i="5"/>
  <c r="K730" i="5"/>
  <c r="B730" i="5"/>
  <c r="F729" i="5"/>
  <c r="K729" i="5"/>
  <c r="B729" i="5"/>
  <c r="F728" i="5"/>
  <c r="K728" i="5" s="1"/>
  <c r="B728" i="5"/>
  <c r="F727" i="5"/>
  <c r="K727" i="5" s="1"/>
  <c r="B727" i="5"/>
  <c r="F726" i="5"/>
  <c r="K726" i="5" s="1"/>
  <c r="B726" i="5"/>
  <c r="F725" i="5"/>
  <c r="K725" i="5"/>
  <c r="B725" i="5"/>
  <c r="F724" i="5"/>
  <c r="K724" i="5" s="1"/>
  <c r="B724" i="5"/>
  <c r="F723" i="5"/>
  <c r="K723" i="5" s="1"/>
  <c r="B723" i="5"/>
  <c r="F722" i="5"/>
  <c r="K722" i="5" s="1"/>
  <c r="B722" i="5"/>
  <c r="F721" i="5"/>
  <c r="K721" i="5"/>
  <c r="B721" i="5"/>
  <c r="F720" i="5"/>
  <c r="K720" i="5" s="1"/>
  <c r="B720" i="5"/>
  <c r="F719" i="5"/>
  <c r="K719" i="5" s="1"/>
  <c r="B719" i="5"/>
  <c r="F718" i="5"/>
  <c r="K718" i="5" s="1"/>
  <c r="B718" i="5"/>
  <c r="F717" i="5"/>
  <c r="K717" i="5"/>
  <c r="B717" i="5"/>
  <c r="F716" i="5"/>
  <c r="K716" i="5" s="1"/>
  <c r="B716" i="5"/>
  <c r="F715" i="5"/>
  <c r="K715" i="5" s="1"/>
  <c r="B715" i="5"/>
  <c r="F714" i="5"/>
  <c r="K714" i="5" s="1"/>
  <c r="B714" i="5"/>
  <c r="F713" i="5"/>
  <c r="K713" i="5"/>
  <c r="B713" i="5"/>
  <c r="B711" i="5"/>
  <c r="B710" i="5"/>
  <c r="B709" i="5"/>
  <c r="B708" i="5"/>
  <c r="B707" i="5"/>
  <c r="B706" i="5"/>
  <c r="B705" i="5"/>
  <c r="B704" i="5"/>
  <c r="B703" i="5"/>
  <c r="B702" i="5"/>
  <c r="B701" i="5"/>
  <c r="B700" i="5"/>
  <c r="B699" i="5"/>
  <c r="B698" i="5"/>
  <c r="B697" i="5"/>
  <c r="B696" i="5"/>
  <c r="B695" i="5"/>
  <c r="B694" i="5"/>
  <c r="B693" i="5"/>
  <c r="B692" i="5"/>
  <c r="B691" i="5"/>
  <c r="B690" i="5"/>
  <c r="B689" i="5"/>
  <c r="B688" i="5"/>
  <c r="B687" i="5"/>
  <c r="B686" i="5"/>
  <c r="B685" i="5"/>
  <c r="B684" i="5"/>
  <c r="B683" i="5"/>
  <c r="B682" i="5"/>
  <c r="B681" i="5"/>
  <c r="B680" i="5"/>
  <c r="F675" i="5"/>
  <c r="K675" i="5" s="1"/>
  <c r="B675" i="5"/>
  <c r="F674" i="5"/>
  <c r="K674" i="5" s="1"/>
  <c r="B674" i="5"/>
  <c r="F673" i="5"/>
  <c r="K673" i="5" s="1"/>
  <c r="B673" i="5"/>
  <c r="F672" i="5"/>
  <c r="K672" i="5"/>
  <c r="B672" i="5"/>
  <c r="F671" i="5"/>
  <c r="K671" i="5" s="1"/>
  <c r="B671" i="5"/>
  <c r="F670" i="5"/>
  <c r="K670" i="5" s="1"/>
  <c r="B670" i="5"/>
  <c r="F669" i="5"/>
  <c r="K669" i="5" s="1"/>
  <c r="B669" i="5"/>
  <c r="F668" i="5"/>
  <c r="K668" i="5"/>
  <c r="B668" i="5"/>
  <c r="F667" i="5"/>
  <c r="K667" i="5" s="1"/>
  <c r="B667" i="5"/>
  <c r="F666" i="5"/>
  <c r="K666" i="5" s="1"/>
  <c r="B666" i="5"/>
  <c r="F665" i="5"/>
  <c r="K665" i="5" s="1"/>
  <c r="B665" i="5"/>
  <c r="F664" i="5"/>
  <c r="K664" i="5"/>
  <c r="B664" i="5"/>
  <c r="F663" i="5"/>
  <c r="K663" i="5" s="1"/>
  <c r="B663" i="5"/>
  <c r="F662" i="5"/>
  <c r="K662" i="5" s="1"/>
  <c r="B662" i="5"/>
  <c r="F661" i="5"/>
  <c r="K661" i="5" s="1"/>
  <c r="B661" i="5"/>
  <c r="F660" i="5"/>
  <c r="K660" i="5"/>
  <c r="B660" i="5"/>
  <c r="F659" i="5"/>
  <c r="K659" i="5" s="1"/>
  <c r="B659" i="5"/>
  <c r="F658" i="5"/>
  <c r="K658" i="5" s="1"/>
  <c r="B658" i="5"/>
  <c r="F657" i="5"/>
  <c r="K657" i="5" s="1"/>
  <c r="B657" i="5"/>
  <c r="F656" i="5"/>
  <c r="K656" i="5"/>
  <c r="B656" i="5"/>
  <c r="F655" i="5"/>
  <c r="K655" i="5" s="1"/>
  <c r="B655" i="5"/>
  <c r="F654" i="5"/>
  <c r="K654" i="5" s="1"/>
  <c r="B654" i="5"/>
  <c r="F653" i="5"/>
  <c r="K653" i="5" s="1"/>
  <c r="B653" i="5"/>
  <c r="F652" i="5"/>
  <c r="K652" i="5"/>
  <c r="B652" i="5"/>
  <c r="F651" i="5"/>
  <c r="K651" i="5" s="1"/>
  <c r="B651" i="5"/>
  <c r="F650" i="5"/>
  <c r="K650" i="5" s="1"/>
  <c r="B650" i="5"/>
  <c r="F643" i="5"/>
  <c r="K643" i="5" s="1"/>
  <c r="B643" i="5"/>
  <c r="F642" i="5"/>
  <c r="K642" i="5"/>
  <c r="B642" i="5"/>
  <c r="F641" i="5"/>
  <c r="K641" i="5" s="1"/>
  <c r="B641" i="5"/>
  <c r="F640" i="5"/>
  <c r="K640" i="5" s="1"/>
  <c r="B640" i="5"/>
  <c r="F639" i="5"/>
  <c r="K639" i="5" s="1"/>
  <c r="B639" i="5"/>
  <c r="F638" i="5"/>
  <c r="K638" i="5"/>
  <c r="B638" i="5"/>
  <c r="F637" i="5"/>
  <c r="K637" i="5" s="1"/>
  <c r="B637" i="5"/>
  <c r="F636" i="5"/>
  <c r="K636" i="5" s="1"/>
  <c r="B636" i="5"/>
  <c r="F635" i="5"/>
  <c r="K635" i="5" s="1"/>
  <c r="B635" i="5"/>
  <c r="F634" i="5"/>
  <c r="K634" i="5"/>
  <c r="B634" i="5"/>
  <c r="F633" i="5"/>
  <c r="K633" i="5" s="1"/>
  <c r="B633" i="5"/>
  <c r="F632" i="5"/>
  <c r="K632" i="5" s="1"/>
  <c r="B632" i="5"/>
  <c r="F631" i="5"/>
  <c r="K631" i="5" s="1"/>
  <c r="B631" i="5"/>
  <c r="F630" i="5"/>
  <c r="K630" i="5"/>
  <c r="B630" i="5"/>
  <c r="F629" i="5"/>
  <c r="K629" i="5" s="1"/>
  <c r="B629" i="5"/>
  <c r="F628" i="5"/>
  <c r="K628" i="5" s="1"/>
  <c r="B628" i="5"/>
  <c r="F627" i="5"/>
  <c r="K627" i="5"/>
  <c r="B627" i="5"/>
  <c r="F626" i="5"/>
  <c r="K626" i="5" s="1"/>
  <c r="B626" i="5"/>
  <c r="F625" i="5"/>
  <c r="K625" i="5" s="1"/>
  <c r="B625" i="5"/>
  <c r="F624" i="5"/>
  <c r="K624" i="5"/>
  <c r="B624" i="5"/>
  <c r="F623" i="5"/>
  <c r="K623" i="5" s="1"/>
  <c r="B623" i="5"/>
  <c r="F622" i="5"/>
  <c r="K622" i="5"/>
  <c r="B622" i="5"/>
  <c r="F621" i="5"/>
  <c r="K621" i="5" s="1"/>
  <c r="B621" i="5"/>
  <c r="F620" i="5"/>
  <c r="K620" i="5" s="1"/>
  <c r="B620" i="5"/>
  <c r="F619" i="5"/>
  <c r="K619" i="5" s="1"/>
  <c r="B619" i="5"/>
  <c r="F618" i="5"/>
  <c r="K618" i="5"/>
  <c r="B618" i="5"/>
  <c r="F617" i="5"/>
  <c r="K617" i="5" s="1"/>
  <c r="B617" i="5"/>
  <c r="F616" i="5"/>
  <c r="K616" i="5" s="1"/>
  <c r="B616" i="5"/>
  <c r="F615" i="5"/>
  <c r="K615" i="5"/>
  <c r="B615" i="5"/>
  <c r="F614" i="5"/>
  <c r="K614" i="5" s="1"/>
  <c r="B614" i="5"/>
  <c r="F613" i="5"/>
  <c r="K613" i="5" s="1"/>
  <c r="B613" i="5"/>
  <c r="F612" i="5"/>
  <c r="K612" i="5"/>
  <c r="B612" i="5"/>
  <c r="F611" i="5"/>
  <c r="K611" i="5" s="1"/>
  <c r="B611" i="5"/>
  <c r="F610" i="5"/>
  <c r="K610" i="5"/>
  <c r="B610" i="5"/>
  <c r="F609" i="5"/>
  <c r="K609" i="5" s="1"/>
  <c r="B609" i="5"/>
  <c r="F608" i="5"/>
  <c r="K608" i="5" s="1"/>
  <c r="B608" i="5"/>
  <c r="F607" i="5"/>
  <c r="K607" i="5" s="1"/>
  <c r="B607" i="5"/>
  <c r="F606" i="5"/>
  <c r="K606" i="5"/>
  <c r="B606" i="5"/>
  <c r="F605" i="5"/>
  <c r="K605" i="5" s="1"/>
  <c r="B605" i="5"/>
  <c r="F604" i="5"/>
  <c r="K604" i="5"/>
  <c r="B604" i="5"/>
  <c r="F603" i="5"/>
  <c r="K603" i="5" s="1"/>
  <c r="B603" i="5"/>
  <c r="F602" i="5"/>
  <c r="K602" i="5" s="1"/>
  <c r="B602" i="5"/>
  <c r="F601" i="5"/>
  <c r="K601" i="5"/>
  <c r="B601" i="5"/>
  <c r="F600" i="5"/>
  <c r="K600" i="5" s="1"/>
  <c r="B600" i="5"/>
  <c r="F599" i="5"/>
  <c r="K599" i="5" s="1"/>
  <c r="B599" i="5"/>
  <c r="F598" i="5"/>
  <c r="K598" i="5" s="1"/>
  <c r="B598" i="5"/>
  <c r="F597" i="5"/>
  <c r="K597" i="5" s="1"/>
  <c r="B597" i="5"/>
  <c r="F596" i="5"/>
  <c r="K596" i="5"/>
  <c r="B596" i="5"/>
  <c r="F595" i="5"/>
  <c r="K595" i="5" s="1"/>
  <c r="B595" i="5"/>
  <c r="F594" i="5"/>
  <c r="K594" i="5" s="1"/>
  <c r="B594" i="5"/>
  <c r="F593" i="5"/>
  <c r="K593" i="5"/>
  <c r="B593" i="5"/>
  <c r="F592" i="5"/>
  <c r="K592" i="5" s="1"/>
  <c r="B592" i="5"/>
  <c r="F591" i="5"/>
  <c r="K591" i="5" s="1"/>
  <c r="B591" i="5"/>
  <c r="F590" i="5"/>
  <c r="K590" i="5"/>
  <c r="B590" i="5"/>
  <c r="F589" i="5"/>
  <c r="K589" i="5" s="1"/>
  <c r="B589" i="5"/>
  <c r="F588" i="5"/>
  <c r="K588" i="5"/>
  <c r="B588" i="5"/>
  <c r="F587" i="5"/>
  <c r="K587" i="5" s="1"/>
  <c r="B587" i="5"/>
  <c r="F586" i="5"/>
  <c r="K586" i="5" s="1"/>
  <c r="B586" i="5"/>
  <c r="F585" i="5"/>
  <c r="K585" i="5"/>
  <c r="B585" i="5"/>
  <c r="F584" i="5"/>
  <c r="K584" i="5" s="1"/>
  <c r="B584" i="5"/>
  <c r="F583" i="5"/>
  <c r="K583" i="5" s="1"/>
  <c r="B583" i="5"/>
  <c r="F582" i="5"/>
  <c r="K582" i="5"/>
  <c r="B582" i="5"/>
  <c r="F576" i="5"/>
  <c r="K576" i="5" s="1"/>
  <c r="B576" i="5"/>
  <c r="F575" i="5"/>
  <c r="K575" i="5"/>
  <c r="B575" i="5"/>
  <c r="F574" i="5"/>
  <c r="K574" i="5" s="1"/>
  <c r="B574" i="5"/>
  <c r="F573" i="5"/>
  <c r="K573" i="5" s="1"/>
  <c r="B573" i="5"/>
  <c r="F572" i="5"/>
  <c r="K572" i="5"/>
  <c r="B572" i="5"/>
  <c r="F571" i="5"/>
  <c r="K571" i="5" s="1"/>
  <c r="B571" i="5"/>
  <c r="F570" i="5"/>
  <c r="K570" i="5" s="1"/>
  <c r="B570" i="5"/>
  <c r="F569" i="5"/>
  <c r="K569" i="5"/>
  <c r="B569" i="5"/>
  <c r="F568" i="5"/>
  <c r="K568" i="5" s="1"/>
  <c r="B568" i="5"/>
  <c r="F567" i="5"/>
  <c r="K567" i="5" s="1"/>
  <c r="B567" i="5"/>
  <c r="F566" i="5"/>
  <c r="K566" i="5" s="1"/>
  <c r="B566" i="5"/>
  <c r="F565" i="5"/>
  <c r="K565" i="5" s="1"/>
  <c r="B565" i="5"/>
  <c r="F564" i="5"/>
  <c r="K564" i="5"/>
  <c r="B564" i="5"/>
  <c r="F563" i="5"/>
  <c r="K563" i="5"/>
  <c r="B563" i="5"/>
  <c r="F562" i="5"/>
  <c r="K562" i="5" s="1"/>
  <c r="B562" i="5"/>
  <c r="F561" i="5"/>
  <c r="K561" i="5"/>
  <c r="B561" i="5"/>
  <c r="F560" i="5"/>
  <c r="K560" i="5"/>
  <c r="B560" i="5"/>
  <c r="F559" i="5"/>
  <c r="K559" i="5" s="1"/>
  <c r="B559" i="5"/>
  <c r="F558" i="5"/>
  <c r="K558" i="5" s="1"/>
  <c r="B558" i="5"/>
  <c r="F557" i="5"/>
  <c r="K557" i="5"/>
  <c r="B557" i="5"/>
  <c r="F556" i="5"/>
  <c r="K556" i="5" s="1"/>
  <c r="B556" i="5"/>
  <c r="F555" i="5"/>
  <c r="K555" i="5" s="1"/>
  <c r="B555" i="5"/>
  <c r="F554" i="5"/>
  <c r="K554" i="5" s="1"/>
  <c r="B554" i="5"/>
  <c r="F553" i="5"/>
  <c r="K553" i="5" s="1"/>
  <c r="B553" i="5"/>
  <c r="F552" i="5"/>
  <c r="K552" i="5" s="1"/>
  <c r="B552" i="5"/>
  <c r="F551" i="5"/>
  <c r="K551" i="5"/>
  <c r="B551" i="5"/>
  <c r="F550" i="5"/>
  <c r="K550" i="5" s="1"/>
  <c r="B550" i="5"/>
  <c r="F549" i="5"/>
  <c r="K549" i="5" s="1"/>
  <c r="B549" i="5"/>
  <c r="F548" i="5"/>
  <c r="K548" i="5"/>
  <c r="B548" i="5"/>
  <c r="F547" i="5"/>
  <c r="K547" i="5"/>
  <c r="B547" i="5"/>
  <c r="F546" i="5"/>
  <c r="K546" i="5" s="1"/>
  <c r="B546" i="5"/>
  <c r="F545" i="5"/>
  <c r="K545" i="5"/>
  <c r="B545" i="5"/>
  <c r="F544" i="5"/>
  <c r="K544" i="5"/>
  <c r="B544" i="5"/>
  <c r="F543" i="5"/>
  <c r="K543" i="5" s="1"/>
  <c r="B543" i="5"/>
  <c r="F542" i="5"/>
  <c r="K542" i="5" s="1"/>
  <c r="B542" i="5"/>
  <c r="F541" i="5"/>
  <c r="K541" i="5"/>
  <c r="B541" i="5"/>
  <c r="F540" i="5"/>
  <c r="K540" i="5" s="1"/>
  <c r="B540" i="5"/>
  <c r="F539" i="5"/>
  <c r="K539" i="5" s="1"/>
  <c r="B539" i="5"/>
  <c r="F538" i="5"/>
  <c r="K538" i="5" s="1"/>
  <c r="B538" i="5"/>
  <c r="F537" i="5"/>
  <c r="K537" i="5" s="1"/>
  <c r="B537" i="5"/>
  <c r="F536" i="5"/>
  <c r="K536" i="5" s="1"/>
  <c r="B536" i="5"/>
  <c r="F535" i="5"/>
  <c r="K535" i="5"/>
  <c r="B535" i="5"/>
  <c r="F534" i="5"/>
  <c r="K534" i="5" s="1"/>
  <c r="B534" i="5"/>
  <c r="F533" i="5"/>
  <c r="K533" i="5" s="1"/>
  <c r="B533" i="5"/>
  <c r="F532" i="5"/>
  <c r="K532" i="5"/>
  <c r="B532" i="5"/>
  <c r="F531" i="5"/>
  <c r="K531" i="5"/>
  <c r="B531" i="5"/>
  <c r="F530" i="5"/>
  <c r="K530" i="5" s="1"/>
  <c r="B530" i="5"/>
  <c r="F529" i="5"/>
  <c r="K529" i="5"/>
  <c r="B529" i="5"/>
  <c r="F528" i="5"/>
  <c r="K528" i="5"/>
  <c r="B528" i="5"/>
  <c r="F527" i="5"/>
  <c r="K527" i="5" s="1"/>
  <c r="B527" i="5"/>
  <c r="F526" i="5"/>
  <c r="K526" i="5" s="1"/>
  <c r="B526" i="5"/>
  <c r="F525" i="5"/>
  <c r="K525" i="5"/>
  <c r="B525" i="5"/>
  <c r="F524" i="5"/>
  <c r="K524" i="5" s="1"/>
  <c r="B524" i="5"/>
  <c r="F523" i="5"/>
  <c r="K523" i="5" s="1"/>
  <c r="B523" i="5"/>
  <c r="F522" i="5"/>
  <c r="K522" i="5" s="1"/>
  <c r="B522" i="5"/>
  <c r="F521" i="5"/>
  <c r="K521" i="5" s="1"/>
  <c r="B521" i="5"/>
  <c r="F516" i="5"/>
  <c r="K516" i="5" s="1"/>
  <c r="B516" i="5"/>
  <c r="F515" i="5"/>
  <c r="K515" i="5"/>
  <c r="B515" i="5"/>
  <c r="F514" i="5"/>
  <c r="K514" i="5" s="1"/>
  <c r="B514" i="5"/>
  <c r="F513" i="5"/>
  <c r="K513" i="5" s="1"/>
  <c r="B513" i="5"/>
  <c r="F512" i="5"/>
  <c r="K512" i="5"/>
  <c r="B512" i="5"/>
  <c r="F511" i="5"/>
  <c r="K511" i="5"/>
  <c r="B511" i="5"/>
  <c r="F510" i="5"/>
  <c r="K510" i="5" s="1"/>
  <c r="B510" i="5"/>
  <c r="F509" i="5"/>
  <c r="K509" i="5" s="1"/>
  <c r="B509" i="5"/>
  <c r="F508" i="5"/>
  <c r="K508" i="5"/>
  <c r="B508" i="5"/>
  <c r="F507" i="5"/>
  <c r="K507" i="5" s="1"/>
  <c r="B507" i="5"/>
  <c r="F506" i="5"/>
  <c r="K506" i="5" s="1"/>
  <c r="B506" i="5"/>
  <c r="F505" i="5"/>
  <c r="K505" i="5"/>
  <c r="B505" i="5"/>
  <c r="F504" i="5"/>
  <c r="K504" i="5" s="1"/>
  <c r="B504" i="5"/>
  <c r="F503" i="5"/>
  <c r="K503" i="5" s="1"/>
  <c r="B503" i="5"/>
  <c r="F502" i="5"/>
  <c r="K502" i="5" s="1"/>
  <c r="B502" i="5"/>
  <c r="F501" i="5"/>
  <c r="K501" i="5" s="1"/>
  <c r="B501" i="5"/>
  <c r="F500" i="5"/>
  <c r="K500" i="5" s="1"/>
  <c r="B500" i="5"/>
  <c r="F495" i="5"/>
  <c r="K495" i="5"/>
  <c r="B495" i="5"/>
  <c r="F494" i="5"/>
  <c r="K494" i="5" s="1"/>
  <c r="B494" i="5"/>
  <c r="F493" i="5"/>
  <c r="K493" i="5" s="1"/>
  <c r="B493" i="5"/>
  <c r="F492" i="5"/>
  <c r="K492" i="5"/>
  <c r="B492" i="5"/>
  <c r="F491" i="5"/>
  <c r="K491" i="5"/>
  <c r="B491" i="5"/>
  <c r="F490" i="5"/>
  <c r="K490" i="5" s="1"/>
  <c r="B490" i="5"/>
  <c r="F489" i="5"/>
  <c r="K489" i="5" s="1"/>
  <c r="B489" i="5"/>
  <c r="F488" i="5"/>
  <c r="K488" i="5"/>
  <c r="B488" i="5"/>
  <c r="F487" i="5"/>
  <c r="K487" i="5" s="1"/>
  <c r="B487" i="5"/>
  <c r="F486" i="5"/>
  <c r="K486" i="5" s="1"/>
  <c r="B486" i="5"/>
  <c r="F485" i="5"/>
  <c r="K485" i="5"/>
  <c r="B485" i="5"/>
  <c r="F484" i="5"/>
  <c r="K484" i="5" s="1"/>
  <c r="B484" i="5"/>
  <c r="F483" i="5"/>
  <c r="K483" i="5" s="1"/>
  <c r="B483" i="5"/>
  <c r="F482" i="5"/>
  <c r="K482" i="5" s="1"/>
  <c r="B482" i="5"/>
  <c r="F481" i="5"/>
  <c r="K481" i="5" s="1"/>
  <c r="B481" i="5"/>
  <c r="F480" i="5"/>
  <c r="K480" i="5" s="1"/>
  <c r="B480" i="5"/>
  <c r="F479" i="5"/>
  <c r="K479" i="5" s="1"/>
  <c r="B479" i="5"/>
  <c r="F478" i="5"/>
  <c r="K478" i="5" s="1"/>
  <c r="B478" i="5"/>
  <c r="F477" i="5"/>
  <c r="K477" i="5" s="1"/>
  <c r="B477" i="5"/>
  <c r="F476" i="5"/>
  <c r="K476" i="5" s="1"/>
  <c r="B476" i="5"/>
  <c r="F475" i="5"/>
  <c r="K475" i="5"/>
  <c r="B475" i="5"/>
  <c r="F474" i="5"/>
  <c r="K474" i="5" s="1"/>
  <c r="B474" i="5"/>
  <c r="F473" i="5"/>
  <c r="K473" i="5" s="1"/>
  <c r="B473" i="5"/>
  <c r="F472" i="5"/>
  <c r="K472" i="5"/>
  <c r="B472" i="5"/>
  <c r="F471" i="5"/>
  <c r="K471" i="5"/>
  <c r="B471" i="5"/>
  <c r="F470" i="5"/>
  <c r="K470" i="5" s="1"/>
  <c r="B470" i="5"/>
  <c r="F469" i="5"/>
  <c r="K469" i="5"/>
  <c r="B469" i="5"/>
  <c r="F468" i="5"/>
  <c r="K468" i="5" s="1"/>
  <c r="B468" i="5"/>
  <c r="F467" i="5"/>
  <c r="K467" i="5" s="1"/>
  <c r="B467" i="5"/>
  <c r="F466" i="5"/>
  <c r="K466" i="5" s="1"/>
  <c r="B466" i="5"/>
  <c r="F465" i="5"/>
  <c r="K465" i="5" s="1"/>
  <c r="B465" i="5"/>
  <c r="F464" i="5"/>
  <c r="K464" i="5" s="1"/>
  <c r="B464" i="5"/>
  <c r="F461" i="5"/>
  <c r="K461" i="5" s="1"/>
  <c r="B461" i="5"/>
  <c r="F460" i="5"/>
  <c r="K460" i="5" s="1"/>
  <c r="B460" i="5"/>
  <c r="F459" i="5"/>
  <c r="K459" i="5" s="1"/>
  <c r="B459" i="5"/>
  <c r="F458" i="5"/>
  <c r="K458" i="5" s="1"/>
  <c r="B458" i="5"/>
  <c r="F457" i="5"/>
  <c r="K457" i="5"/>
  <c r="B457" i="5"/>
  <c r="F456" i="5"/>
  <c r="K456" i="5" s="1"/>
  <c r="B456" i="5"/>
  <c r="F455" i="5"/>
  <c r="K455" i="5" s="1"/>
  <c r="B455" i="5"/>
  <c r="F454" i="5"/>
  <c r="K454" i="5"/>
  <c r="B454" i="5"/>
  <c r="F453" i="5"/>
  <c r="K453" i="5"/>
  <c r="B453" i="5"/>
  <c r="F452" i="5"/>
  <c r="K452" i="5" s="1"/>
  <c r="B452" i="5"/>
  <c r="F451" i="5"/>
  <c r="K451" i="5"/>
  <c r="B451" i="5"/>
  <c r="F450" i="5"/>
  <c r="K450" i="5"/>
  <c r="B450" i="5"/>
  <c r="F449" i="5"/>
  <c r="K449" i="5" s="1"/>
  <c r="B449" i="5"/>
  <c r="F448" i="5"/>
  <c r="K448" i="5" s="1"/>
  <c r="B448" i="5"/>
  <c r="F447" i="5"/>
  <c r="K447" i="5" s="1"/>
  <c r="B447" i="5"/>
  <c r="F446" i="5"/>
  <c r="K446" i="5" s="1"/>
  <c r="B446" i="5"/>
  <c r="F445" i="5"/>
  <c r="K445" i="5"/>
  <c r="B445" i="5"/>
  <c r="F444" i="5"/>
  <c r="K444" i="5" s="1"/>
  <c r="B444" i="5"/>
  <c r="F443" i="5"/>
  <c r="K443" i="5" s="1"/>
  <c r="B443" i="5"/>
  <c r="F442" i="5"/>
  <c r="K442" i="5"/>
  <c r="B442" i="5"/>
  <c r="F441" i="5"/>
  <c r="K441" i="5"/>
  <c r="B441" i="5"/>
  <c r="F440" i="5"/>
  <c r="K440" i="5" s="1"/>
  <c r="B440" i="5"/>
  <c r="F439" i="5"/>
  <c r="K439" i="5"/>
  <c r="B439" i="5"/>
  <c r="F438" i="5"/>
  <c r="K438" i="5"/>
  <c r="B438" i="5"/>
  <c r="F437" i="5"/>
  <c r="K437" i="5" s="1"/>
  <c r="B437" i="5"/>
  <c r="F436" i="5"/>
  <c r="K436" i="5" s="1"/>
  <c r="B436" i="5"/>
  <c r="F435" i="5"/>
  <c r="K435" i="5"/>
  <c r="B435" i="5"/>
  <c r="F434" i="5"/>
  <c r="K434" i="5" s="1"/>
  <c r="B434" i="5"/>
  <c r="F433" i="5"/>
  <c r="K433" i="5" s="1"/>
  <c r="B433" i="5"/>
  <c r="F432" i="5"/>
  <c r="K432" i="5" s="1"/>
  <c r="B432" i="5"/>
  <c r="F431" i="5"/>
  <c r="K431" i="5" s="1"/>
  <c r="B431" i="5"/>
  <c r="F430" i="5"/>
  <c r="K430" i="5" s="1"/>
  <c r="B430" i="5"/>
  <c r="F429" i="5"/>
  <c r="K429" i="5"/>
  <c r="B429" i="5"/>
  <c r="F426" i="5"/>
  <c r="K426" i="5" s="1"/>
  <c r="B426" i="5"/>
  <c r="F425" i="5"/>
  <c r="K425" i="5" s="1"/>
  <c r="B425" i="5"/>
  <c r="F424" i="5"/>
  <c r="K424" i="5"/>
  <c r="B424" i="5"/>
  <c r="F423" i="5"/>
  <c r="K423" i="5"/>
  <c r="B423" i="5"/>
  <c r="F422" i="5"/>
  <c r="K422" i="5" s="1"/>
  <c r="B422" i="5"/>
  <c r="F421" i="5"/>
  <c r="K421" i="5"/>
  <c r="B421" i="5"/>
  <c r="F420" i="5"/>
  <c r="K420" i="5"/>
  <c r="B420" i="5"/>
  <c r="F419" i="5"/>
  <c r="K419" i="5" s="1"/>
  <c r="B419" i="5"/>
  <c r="F418" i="5"/>
  <c r="K418" i="5" s="1"/>
  <c r="B418" i="5"/>
  <c r="F417" i="5"/>
  <c r="K417" i="5"/>
  <c r="B417" i="5"/>
  <c r="F416" i="5"/>
  <c r="K416" i="5" s="1"/>
  <c r="B416" i="5"/>
  <c r="F415" i="5"/>
  <c r="K415" i="5" s="1"/>
  <c r="B415" i="5"/>
  <c r="F414" i="5"/>
  <c r="K414" i="5" s="1"/>
  <c r="B414" i="5"/>
  <c r="F413" i="5"/>
  <c r="K413" i="5" s="1"/>
  <c r="B413" i="5"/>
  <c r="F412" i="5"/>
  <c r="K412" i="5" s="1"/>
  <c r="B412" i="5"/>
  <c r="F411" i="5"/>
  <c r="K411" i="5"/>
  <c r="B411" i="5"/>
  <c r="F410" i="5"/>
  <c r="K410" i="5" s="1"/>
  <c r="B410" i="5"/>
  <c r="F409" i="5"/>
  <c r="K409" i="5" s="1"/>
  <c r="B409" i="5"/>
  <c r="F408" i="5"/>
  <c r="K408" i="5"/>
  <c r="B408" i="5"/>
  <c r="F407" i="5"/>
  <c r="K407" i="5"/>
  <c r="B407" i="5"/>
  <c r="F406" i="5"/>
  <c r="K406" i="5" s="1"/>
  <c r="B406" i="5"/>
  <c r="F405" i="5"/>
  <c r="K405" i="5"/>
  <c r="B405" i="5"/>
  <c r="F404" i="5"/>
  <c r="K404" i="5"/>
  <c r="B404" i="5"/>
  <c r="F403" i="5"/>
  <c r="K403" i="5" s="1"/>
  <c r="B403" i="5"/>
  <c r="F402" i="5"/>
  <c r="K402" i="5" s="1"/>
  <c r="B402" i="5"/>
  <c r="F401" i="5"/>
  <c r="K401" i="5"/>
  <c r="B401" i="5"/>
  <c r="F400" i="5"/>
  <c r="K400" i="5" s="1"/>
  <c r="B400" i="5"/>
  <c r="F399" i="5"/>
  <c r="K399" i="5" s="1"/>
  <c r="B399" i="5"/>
  <c r="F398" i="5"/>
  <c r="K398" i="5" s="1"/>
  <c r="B398" i="5"/>
  <c r="F397" i="5"/>
  <c r="K397" i="5" s="1"/>
  <c r="B397" i="5"/>
  <c r="F396" i="5"/>
  <c r="K396" i="5" s="1"/>
  <c r="B396" i="5"/>
  <c r="F395" i="5"/>
  <c r="K395" i="5"/>
  <c r="B395" i="5"/>
  <c r="F394" i="5"/>
  <c r="K394" i="5" s="1"/>
  <c r="B394" i="5"/>
  <c r="F393" i="5"/>
  <c r="K393" i="5" s="1"/>
  <c r="B393" i="5"/>
  <c r="F392" i="5"/>
  <c r="K392" i="5"/>
  <c r="B392" i="5"/>
  <c r="F391" i="5"/>
  <c r="K391" i="5"/>
  <c r="B391" i="5"/>
  <c r="F390" i="5"/>
  <c r="K390" i="5" s="1"/>
  <c r="B390" i="5"/>
  <c r="F389" i="5"/>
  <c r="K389" i="5"/>
  <c r="B389" i="5"/>
  <c r="F388" i="5"/>
  <c r="K388" i="5"/>
  <c r="B388" i="5"/>
  <c r="F387" i="5"/>
  <c r="K387" i="5" s="1"/>
  <c r="B387" i="5"/>
  <c r="F386" i="5"/>
  <c r="K386" i="5" s="1"/>
  <c r="B386" i="5"/>
  <c r="F385" i="5"/>
  <c r="K385" i="5"/>
  <c r="B385" i="5"/>
  <c r="F384" i="5"/>
  <c r="K384" i="5" s="1"/>
  <c r="B384" i="5"/>
  <c r="F383" i="5"/>
  <c r="K383" i="5" s="1"/>
  <c r="B383" i="5"/>
  <c r="F382" i="5"/>
  <c r="K382" i="5" s="1"/>
  <c r="B382" i="5"/>
  <c r="F381" i="5"/>
  <c r="K381" i="5" s="1"/>
  <c r="B381" i="5"/>
  <c r="F380" i="5"/>
  <c r="K380" i="5"/>
  <c r="B380" i="5"/>
  <c r="F379" i="5"/>
  <c r="K379" i="5"/>
  <c r="B379" i="5"/>
  <c r="F378" i="5"/>
  <c r="K378" i="5" s="1"/>
  <c r="B378" i="5"/>
  <c r="F377" i="5"/>
  <c r="K377" i="5"/>
  <c r="B377" i="5"/>
  <c r="F376" i="5"/>
  <c r="K376" i="5"/>
  <c r="B376" i="5"/>
  <c r="F375" i="5"/>
  <c r="K375" i="5" s="1"/>
  <c r="B375" i="5"/>
  <c r="F374" i="5"/>
  <c r="K374" i="5" s="1"/>
  <c r="B374" i="5"/>
  <c r="F373" i="5"/>
  <c r="K373" i="5"/>
  <c r="B373" i="5"/>
  <c r="F372" i="5"/>
  <c r="K372" i="5" s="1"/>
  <c r="B372" i="5"/>
  <c r="F371" i="5"/>
  <c r="K371" i="5" s="1"/>
  <c r="B371" i="5"/>
  <c r="F370" i="5"/>
  <c r="K370" i="5" s="1"/>
  <c r="B370" i="5"/>
  <c r="F369" i="5"/>
  <c r="K369" i="5" s="1"/>
  <c r="B369" i="5"/>
  <c r="F368" i="5"/>
  <c r="K368" i="5" s="1"/>
  <c r="B368" i="5"/>
  <c r="F367" i="5"/>
  <c r="K367" i="5"/>
  <c r="B367" i="5"/>
  <c r="F366" i="5"/>
  <c r="K366" i="5" s="1"/>
  <c r="B366" i="5"/>
  <c r="F365" i="5"/>
  <c r="K365" i="5" s="1"/>
  <c r="B365" i="5"/>
  <c r="F364" i="5"/>
  <c r="K364" i="5"/>
  <c r="B364" i="5"/>
  <c r="F363" i="5"/>
  <c r="K363" i="5"/>
  <c r="B363" i="5"/>
  <c r="F362" i="5"/>
  <c r="K362" i="5" s="1"/>
  <c r="B362" i="5"/>
  <c r="F361" i="5"/>
  <c r="K361" i="5"/>
  <c r="B361" i="5"/>
  <c r="F360" i="5"/>
  <c r="K360" i="5"/>
  <c r="B360" i="5"/>
  <c r="F359" i="5"/>
  <c r="K359" i="5" s="1"/>
  <c r="B359" i="5"/>
  <c r="F358" i="5"/>
  <c r="K358" i="5" s="1"/>
  <c r="B358" i="5"/>
  <c r="F357" i="5"/>
  <c r="K357" i="5"/>
  <c r="B357" i="5"/>
  <c r="F356" i="5"/>
  <c r="K356" i="5" s="1"/>
  <c r="B356" i="5"/>
  <c r="F355" i="5"/>
  <c r="K355" i="5" s="1"/>
  <c r="B355" i="5"/>
  <c r="F354" i="5"/>
  <c r="K354" i="5" s="1"/>
  <c r="B354" i="5"/>
  <c r="F353" i="5"/>
  <c r="K353" i="5" s="1"/>
  <c r="B353" i="5"/>
  <c r="F352" i="5"/>
  <c r="K352" i="5" s="1"/>
  <c r="B352" i="5"/>
  <c r="F351" i="5"/>
  <c r="K351" i="5"/>
  <c r="B351" i="5"/>
  <c r="F350" i="5"/>
  <c r="K350" i="5" s="1"/>
  <c r="B350" i="5"/>
  <c r="F349" i="5"/>
  <c r="K349" i="5" s="1"/>
  <c r="B349" i="5"/>
  <c r="F348" i="5"/>
  <c r="K348" i="5"/>
  <c r="B348" i="5"/>
  <c r="F347" i="5"/>
  <c r="K347" i="5"/>
  <c r="B347" i="5"/>
  <c r="F346" i="5"/>
  <c r="K346" i="5" s="1"/>
  <c r="B346" i="5"/>
  <c r="F345" i="5"/>
  <c r="K345" i="5"/>
  <c r="B345" i="5"/>
  <c r="F344" i="5"/>
  <c r="K344" i="5"/>
  <c r="B344" i="5"/>
  <c r="F343" i="5"/>
  <c r="K343" i="5" s="1"/>
  <c r="B343" i="5"/>
  <c r="F340" i="5"/>
  <c r="K340" i="5" s="1"/>
  <c r="B340" i="5"/>
  <c r="F339" i="5"/>
  <c r="K339" i="5"/>
  <c r="B339" i="5"/>
  <c r="F338" i="5"/>
  <c r="K338" i="5" s="1"/>
  <c r="B338" i="5"/>
  <c r="F337" i="5"/>
  <c r="K337" i="5" s="1"/>
  <c r="B337" i="5"/>
  <c r="F336" i="5"/>
  <c r="K336" i="5" s="1"/>
  <c r="B336" i="5"/>
  <c r="F335" i="5"/>
  <c r="K335" i="5" s="1"/>
  <c r="B335" i="5"/>
  <c r="F334" i="5"/>
  <c r="K334" i="5" s="1"/>
  <c r="B334" i="5"/>
  <c r="F333" i="5"/>
  <c r="K333" i="5"/>
  <c r="B333" i="5"/>
  <c r="F332" i="5"/>
  <c r="K332" i="5" s="1"/>
  <c r="B332" i="5"/>
  <c r="F331" i="5"/>
  <c r="K331" i="5" s="1"/>
  <c r="B331" i="5"/>
  <c r="F330" i="5"/>
  <c r="K330" i="5"/>
  <c r="B330" i="5"/>
  <c r="F329" i="5"/>
  <c r="K329" i="5"/>
  <c r="B329" i="5"/>
  <c r="F328" i="5"/>
  <c r="K328" i="5" s="1"/>
  <c r="B328" i="5"/>
  <c r="F327" i="5"/>
  <c r="K327" i="5"/>
  <c r="B327" i="5"/>
  <c r="F326" i="5"/>
  <c r="K326" i="5"/>
  <c r="B326" i="5"/>
  <c r="F325" i="5"/>
  <c r="K325" i="5" s="1"/>
  <c r="B325" i="5"/>
  <c r="F324" i="5"/>
  <c r="K324" i="5" s="1"/>
  <c r="B324" i="5"/>
  <c r="F323" i="5"/>
  <c r="K323" i="5" s="1"/>
  <c r="B323" i="5"/>
  <c r="F322" i="5"/>
  <c r="K322" i="5" s="1"/>
  <c r="B322" i="5"/>
  <c r="F321" i="5"/>
  <c r="K321" i="5"/>
  <c r="B321" i="5"/>
  <c r="F320" i="5"/>
  <c r="K320" i="5" s="1"/>
  <c r="B320" i="5"/>
  <c r="F319" i="5"/>
  <c r="K319" i="5" s="1"/>
  <c r="B319" i="5"/>
  <c r="F318" i="5"/>
  <c r="K318" i="5"/>
  <c r="B318" i="5"/>
  <c r="F317" i="5"/>
  <c r="K317" i="5" s="1"/>
  <c r="B317" i="5"/>
  <c r="F316" i="5"/>
  <c r="K316" i="5" s="1"/>
  <c r="B316" i="5"/>
  <c r="F315" i="5"/>
  <c r="K315" i="5" s="1"/>
  <c r="B315" i="5"/>
  <c r="F314" i="5"/>
  <c r="K314" i="5" s="1"/>
  <c r="B314" i="5"/>
  <c r="F313" i="5"/>
  <c r="K313" i="5"/>
  <c r="B313" i="5"/>
  <c r="F312" i="5"/>
  <c r="K312" i="5" s="1"/>
  <c r="B312" i="5"/>
  <c r="F311" i="5"/>
  <c r="K311" i="5" s="1"/>
  <c r="B311" i="5"/>
  <c r="F308" i="5"/>
  <c r="K308" i="5"/>
  <c r="B308" i="5"/>
  <c r="F307" i="5"/>
  <c r="K307" i="5" s="1"/>
  <c r="B307" i="5"/>
  <c r="F306" i="5"/>
  <c r="K306" i="5" s="1"/>
  <c r="B306" i="5"/>
  <c r="F305" i="5"/>
  <c r="K305" i="5" s="1"/>
  <c r="B305" i="5"/>
  <c r="F304" i="5"/>
  <c r="K304" i="5" s="1"/>
  <c r="B304" i="5"/>
  <c r="F303" i="5"/>
  <c r="K303" i="5"/>
  <c r="B303" i="5"/>
  <c r="F302" i="5"/>
  <c r="K302" i="5" s="1"/>
  <c r="B302" i="5"/>
  <c r="F301" i="5"/>
  <c r="K301" i="5" s="1"/>
  <c r="B301" i="5"/>
  <c r="F300" i="5"/>
  <c r="K300" i="5"/>
  <c r="B300" i="5"/>
  <c r="F292" i="5"/>
  <c r="K292" i="5" s="1"/>
  <c r="B292" i="5"/>
  <c r="F291" i="5"/>
  <c r="K291" i="5" s="1"/>
  <c r="B291" i="5"/>
  <c r="F290" i="5"/>
  <c r="K290" i="5" s="1"/>
  <c r="B290" i="5"/>
  <c r="F289" i="5"/>
  <c r="K289" i="5" s="1"/>
  <c r="B289" i="5"/>
  <c r="F288" i="5"/>
  <c r="K288" i="5"/>
  <c r="B288" i="5"/>
  <c r="F287" i="5"/>
  <c r="K287" i="5" s="1"/>
  <c r="B287" i="5"/>
  <c r="F286" i="5"/>
  <c r="K286" i="5" s="1"/>
  <c r="B286" i="5"/>
  <c r="F285" i="5"/>
  <c r="K285" i="5"/>
  <c r="B285" i="5"/>
  <c r="F284" i="5"/>
  <c r="K284" i="5"/>
  <c r="B284" i="5"/>
  <c r="F283" i="5"/>
  <c r="K283" i="5" s="1"/>
  <c r="B283" i="5"/>
  <c r="F282" i="5"/>
  <c r="K282" i="5" s="1"/>
  <c r="B282" i="5"/>
  <c r="F281" i="5"/>
  <c r="K281" i="5" s="1"/>
  <c r="B281" i="5"/>
  <c r="F280" i="5"/>
  <c r="K280" i="5"/>
  <c r="B280" i="5"/>
  <c r="F279" i="5"/>
  <c r="K279" i="5" s="1"/>
  <c r="B279" i="5"/>
  <c r="F278" i="5"/>
  <c r="K278" i="5" s="1"/>
  <c r="B278" i="5"/>
  <c r="F277" i="5"/>
  <c r="K277" i="5"/>
  <c r="B277" i="5"/>
  <c r="F276" i="5"/>
  <c r="K276" i="5"/>
  <c r="B276" i="5"/>
  <c r="F275" i="5"/>
  <c r="K275" i="5" s="1"/>
  <c r="B275" i="5"/>
  <c r="F274" i="5"/>
  <c r="K274" i="5" s="1"/>
  <c r="B274" i="5"/>
  <c r="F273" i="5"/>
  <c r="K273" i="5" s="1"/>
  <c r="B273" i="5"/>
  <c r="F272" i="5"/>
  <c r="K272" i="5"/>
  <c r="B272" i="5"/>
  <c r="F271" i="5"/>
  <c r="K271" i="5" s="1"/>
  <c r="B271" i="5"/>
  <c r="F270" i="5"/>
  <c r="K270" i="5" s="1"/>
  <c r="B270" i="5"/>
  <c r="F269" i="5"/>
  <c r="K269" i="5"/>
  <c r="B269" i="5"/>
  <c r="F268" i="5"/>
  <c r="K268" i="5"/>
  <c r="B268" i="5"/>
  <c r="F267" i="5"/>
  <c r="K267" i="5" s="1"/>
  <c r="B267" i="5"/>
  <c r="F266" i="5"/>
  <c r="K266" i="5" s="1"/>
  <c r="B266" i="5"/>
  <c r="F265" i="5"/>
  <c r="K265" i="5" s="1"/>
  <c r="B265" i="5"/>
  <c r="F264" i="5"/>
  <c r="K264" i="5"/>
  <c r="B264" i="5"/>
  <c r="F263" i="5"/>
  <c r="K263" i="5" s="1"/>
  <c r="B263" i="5"/>
  <c r="F262" i="5"/>
  <c r="K262" i="5" s="1"/>
  <c r="B262" i="5"/>
  <c r="F261" i="5"/>
  <c r="K261" i="5"/>
  <c r="B261" i="5"/>
  <c r="F260" i="5"/>
  <c r="K260" i="5"/>
  <c r="B260" i="5"/>
  <c r="F259" i="5"/>
  <c r="K259" i="5" s="1"/>
  <c r="B259" i="5"/>
  <c r="F258" i="5"/>
  <c r="K258" i="5" s="1"/>
  <c r="B258" i="5"/>
  <c r="F257" i="5"/>
  <c r="K257" i="5" s="1"/>
  <c r="B257" i="5"/>
  <c r="F256" i="5"/>
  <c r="K256" i="5"/>
  <c r="B256" i="5"/>
  <c r="F255" i="5"/>
  <c r="K255" i="5" s="1"/>
  <c r="B255" i="5"/>
  <c r="F254" i="5"/>
  <c r="K254" i="5" s="1"/>
  <c r="B254" i="5"/>
  <c r="F253" i="5"/>
  <c r="K253" i="5" s="1"/>
  <c r="B253" i="5"/>
  <c r="F252" i="5"/>
  <c r="K252" i="5"/>
  <c r="B252" i="5"/>
  <c r="F251" i="5"/>
  <c r="K251" i="5" s="1"/>
  <c r="B251" i="5"/>
  <c r="F250" i="5"/>
  <c r="K250" i="5" s="1"/>
  <c r="B250" i="5"/>
  <c r="F249" i="5"/>
  <c r="K249" i="5" s="1"/>
  <c r="B249" i="5"/>
  <c r="F248" i="5"/>
  <c r="K248" i="5"/>
  <c r="B248" i="5"/>
  <c r="F247" i="5"/>
  <c r="K247" i="5" s="1"/>
  <c r="B247" i="5"/>
  <c r="F246" i="5"/>
  <c r="K246" i="5" s="1"/>
  <c r="B246" i="5"/>
  <c r="F245" i="5"/>
  <c r="K245" i="5" s="1"/>
  <c r="B245" i="5"/>
  <c r="F244" i="5"/>
  <c r="K244" i="5"/>
  <c r="B244" i="5"/>
  <c r="F243" i="5"/>
  <c r="K243" i="5" s="1"/>
  <c r="B243" i="5"/>
  <c r="F242" i="5"/>
  <c r="K242" i="5" s="1"/>
  <c r="B242" i="5"/>
  <c r="F241" i="5"/>
  <c r="K241" i="5" s="1"/>
  <c r="B241" i="5"/>
  <c r="F240" i="5"/>
  <c r="K240" i="5"/>
  <c r="B240" i="5"/>
  <c r="F239" i="5"/>
  <c r="K239" i="5" s="1"/>
  <c r="B239" i="5"/>
  <c r="F238" i="5"/>
  <c r="K238" i="5" s="1"/>
  <c r="B238" i="5"/>
  <c r="F237" i="5"/>
  <c r="K237" i="5" s="1"/>
  <c r="B237" i="5"/>
  <c r="F236" i="5"/>
  <c r="K236" i="5"/>
  <c r="B236" i="5"/>
  <c r="F235" i="5"/>
  <c r="K235" i="5" s="1"/>
  <c r="B235" i="5"/>
  <c r="F234" i="5"/>
  <c r="K234" i="5" s="1"/>
  <c r="B234" i="5"/>
  <c r="F233" i="5"/>
  <c r="K233" i="5" s="1"/>
  <c r="B233" i="5"/>
  <c r="F232" i="5"/>
  <c r="K232" i="5"/>
  <c r="B232" i="5"/>
  <c r="F231" i="5"/>
  <c r="K231" i="5" s="1"/>
  <c r="B231" i="5"/>
  <c r="F230" i="5"/>
  <c r="K230" i="5" s="1"/>
  <c r="B230" i="5"/>
  <c r="F229" i="5"/>
  <c r="K229" i="5" s="1"/>
  <c r="B229" i="5"/>
  <c r="F228" i="5"/>
  <c r="K228" i="5"/>
  <c r="B228" i="5"/>
  <c r="F227" i="5"/>
  <c r="K227" i="5" s="1"/>
  <c r="B227" i="5"/>
  <c r="F226" i="5"/>
  <c r="K226" i="5" s="1"/>
  <c r="B226" i="5"/>
  <c r="F225" i="5"/>
  <c r="K225" i="5" s="1"/>
  <c r="B225" i="5"/>
  <c r="F224" i="5"/>
  <c r="K224" i="5"/>
  <c r="B224" i="5"/>
  <c r="F223" i="5"/>
  <c r="K223" i="5" s="1"/>
  <c r="B223" i="5"/>
  <c r="F222" i="5"/>
  <c r="K222" i="5" s="1"/>
  <c r="B222" i="5"/>
  <c r="F221" i="5"/>
  <c r="K221" i="5" s="1"/>
  <c r="B221" i="5"/>
  <c r="F220" i="5"/>
  <c r="K220" i="5"/>
  <c r="B220" i="5"/>
  <c r="F217" i="5"/>
  <c r="K217" i="5" s="1"/>
  <c r="B217" i="5"/>
  <c r="F216" i="5"/>
  <c r="K216" i="5" s="1"/>
  <c r="B216" i="5"/>
  <c r="F215" i="5"/>
  <c r="K215" i="5" s="1"/>
  <c r="B215" i="5"/>
  <c r="F214" i="5"/>
  <c r="K214" i="5"/>
  <c r="B214" i="5"/>
  <c r="F213" i="5"/>
  <c r="K213" i="5" s="1"/>
  <c r="B213" i="5"/>
  <c r="F212" i="5"/>
  <c r="K212" i="5" s="1"/>
  <c r="B212" i="5"/>
  <c r="F211" i="5"/>
  <c r="K211" i="5" s="1"/>
  <c r="B211" i="5"/>
  <c r="F210" i="5"/>
  <c r="K210" i="5"/>
  <c r="B210" i="5"/>
  <c r="F209" i="5"/>
  <c r="K209" i="5" s="1"/>
  <c r="B209" i="5"/>
  <c r="F208" i="5"/>
  <c r="K208" i="5" s="1"/>
  <c r="B208" i="5"/>
  <c r="F207" i="5"/>
  <c r="K207" i="5" s="1"/>
  <c r="B207" i="5"/>
  <c r="F206" i="5"/>
  <c r="K206" i="5"/>
  <c r="B206" i="5"/>
  <c r="F205" i="5"/>
  <c r="K205" i="5" s="1"/>
  <c r="B205" i="5"/>
  <c r="F204" i="5"/>
  <c r="K204" i="5" s="1"/>
  <c r="B204" i="5"/>
  <c r="F203" i="5"/>
  <c r="K203" i="5" s="1"/>
  <c r="B203" i="5"/>
  <c r="F202" i="5"/>
  <c r="K202" i="5"/>
  <c r="B202" i="5"/>
  <c r="F200" i="5"/>
  <c r="K200" i="5" s="1"/>
  <c r="B200" i="5"/>
  <c r="F196" i="5"/>
  <c r="K196" i="5" s="1"/>
  <c r="B196" i="5"/>
  <c r="F191" i="5"/>
  <c r="K191" i="5" s="1"/>
  <c r="B191" i="5"/>
  <c r="F190" i="5"/>
  <c r="K190" i="5"/>
  <c r="B190" i="5"/>
  <c r="F189" i="5"/>
  <c r="K189" i="5" s="1"/>
  <c r="B189" i="5"/>
  <c r="F188" i="5"/>
  <c r="K188" i="5" s="1"/>
  <c r="B188" i="5"/>
  <c r="F187" i="5"/>
  <c r="K187" i="5" s="1"/>
  <c r="B187" i="5"/>
  <c r="F184" i="5"/>
  <c r="K184" i="5"/>
  <c r="B184" i="5"/>
  <c r="F183" i="5"/>
  <c r="K183" i="5" s="1"/>
  <c r="B183" i="5"/>
  <c r="F182" i="5"/>
  <c r="K182" i="5" s="1"/>
  <c r="B182" i="5"/>
  <c r="F181" i="5"/>
  <c r="K181" i="5" s="1"/>
  <c r="B181" i="5"/>
  <c r="F180" i="5"/>
  <c r="K180" i="5"/>
  <c r="B180" i="5"/>
  <c r="F179" i="5"/>
  <c r="K179" i="5" s="1"/>
  <c r="B179" i="5"/>
  <c r="B178" i="5"/>
  <c r="F177" i="5"/>
  <c r="K177" i="5" s="1"/>
  <c r="B177" i="5"/>
  <c r="F176" i="5"/>
  <c r="K176" i="5" s="1"/>
  <c r="B176" i="5"/>
  <c r="F175" i="5"/>
  <c r="K175" i="5"/>
  <c r="B175" i="5"/>
  <c r="F174" i="5"/>
  <c r="K174" i="5" s="1"/>
  <c r="B174" i="5"/>
  <c r="F173" i="5"/>
  <c r="K173" i="5" s="1"/>
  <c r="B173" i="5"/>
  <c r="F172" i="5"/>
  <c r="K172" i="5" s="1"/>
  <c r="B172" i="5"/>
  <c r="F171" i="5"/>
  <c r="K171" i="5"/>
  <c r="B171" i="5"/>
  <c r="F170" i="5"/>
  <c r="K170" i="5" s="1"/>
  <c r="B170" i="5"/>
  <c r="F168" i="5"/>
  <c r="K168" i="5" s="1"/>
  <c r="B168" i="5"/>
  <c r="F167" i="5"/>
  <c r="K167" i="5" s="1"/>
  <c r="B167" i="5"/>
  <c r="B163" i="5"/>
  <c r="F161" i="5"/>
  <c r="K161" i="5" s="1"/>
  <c r="B161" i="5"/>
  <c r="F160" i="5"/>
  <c r="K160" i="5" s="1"/>
  <c r="B160" i="5"/>
  <c r="F159" i="5"/>
  <c r="K159" i="5"/>
  <c r="B159" i="5"/>
  <c r="F158" i="5"/>
  <c r="K158" i="5" s="1"/>
  <c r="B158" i="5"/>
  <c r="F150" i="5"/>
  <c r="K150" i="5" s="1"/>
  <c r="B150" i="5"/>
  <c r="F149" i="5"/>
  <c r="K149" i="5" s="1"/>
  <c r="B149" i="5"/>
  <c r="F148" i="5"/>
  <c r="K148" i="5"/>
  <c r="B148" i="5"/>
  <c r="F147" i="5"/>
  <c r="K147" i="5" s="1"/>
  <c r="B147" i="5"/>
  <c r="F146" i="5"/>
  <c r="K146" i="5" s="1"/>
  <c r="B146" i="5"/>
  <c r="B144" i="5"/>
  <c r="F143" i="5"/>
  <c r="K143" i="5" s="1"/>
  <c r="B143" i="5"/>
  <c r="F142" i="5"/>
  <c r="K142" i="5"/>
  <c r="B142" i="5"/>
  <c r="F141" i="5"/>
  <c r="K141" i="5" s="1"/>
  <c r="B141" i="5"/>
  <c r="F140" i="5"/>
  <c r="K140" i="5" s="1"/>
  <c r="B140" i="5"/>
  <c r="F139" i="5"/>
  <c r="K139" i="5" s="1"/>
  <c r="B139" i="5"/>
  <c r="F138" i="5"/>
  <c r="K138" i="5"/>
  <c r="B138" i="5"/>
  <c r="F137" i="5"/>
  <c r="K137" i="5" s="1"/>
  <c r="B137" i="5"/>
  <c r="F136" i="5"/>
  <c r="K136" i="5" s="1"/>
  <c r="B136" i="5"/>
  <c r="F135" i="5"/>
  <c r="K135" i="5" s="1"/>
  <c r="B135" i="5"/>
  <c r="F133" i="5"/>
  <c r="K133" i="5"/>
  <c r="B133" i="5"/>
  <c r="F132" i="5"/>
  <c r="K132" i="5" s="1"/>
  <c r="B132" i="5"/>
  <c r="F131" i="5"/>
  <c r="K131" i="5" s="1"/>
  <c r="B131" i="5"/>
  <c r="F130" i="5"/>
  <c r="K130" i="5" s="1"/>
  <c r="B130" i="5"/>
  <c r="F129" i="5"/>
  <c r="K129" i="5"/>
  <c r="B129" i="5"/>
  <c r="F128" i="5"/>
  <c r="K128" i="5" s="1"/>
  <c r="B128" i="5"/>
  <c r="F127" i="5"/>
  <c r="K127" i="5" s="1"/>
  <c r="B127" i="5"/>
  <c r="F126" i="5"/>
  <c r="K126" i="5" s="1"/>
  <c r="B126" i="5"/>
  <c r="F125" i="5"/>
  <c r="K125" i="5"/>
  <c r="B125" i="5"/>
  <c r="F124" i="5"/>
  <c r="K124" i="5" s="1"/>
  <c r="B124" i="5"/>
  <c r="B123" i="5"/>
  <c r="F122" i="5"/>
  <c r="K122" i="5" s="1"/>
  <c r="B122" i="5"/>
  <c r="F121" i="5"/>
  <c r="K121" i="5" s="1"/>
  <c r="B121" i="5"/>
  <c r="F120" i="5"/>
  <c r="K120" i="5" s="1"/>
  <c r="B120" i="5"/>
  <c r="F119" i="5"/>
  <c r="K119" i="5"/>
  <c r="B119" i="5"/>
  <c r="F118" i="5"/>
  <c r="K118" i="5" s="1"/>
  <c r="B118" i="5"/>
  <c r="F117" i="5"/>
  <c r="K117" i="5" s="1"/>
  <c r="B117" i="5"/>
  <c r="F116" i="5"/>
  <c r="K116" i="5" s="1"/>
  <c r="B116" i="5"/>
  <c r="F115" i="5"/>
  <c r="K115" i="5"/>
  <c r="B115" i="5"/>
  <c r="F114" i="5"/>
  <c r="K114" i="5" s="1"/>
  <c r="B114" i="5"/>
  <c r="F113" i="5"/>
  <c r="K113" i="5" s="1"/>
  <c r="B113" i="5"/>
  <c r="F112" i="5"/>
  <c r="K112" i="5" s="1"/>
  <c r="B112" i="5"/>
  <c r="F105" i="5"/>
  <c r="K105" i="5"/>
  <c r="B105" i="5"/>
  <c r="F104" i="5"/>
  <c r="K104" i="5" s="1"/>
  <c r="B104" i="5"/>
  <c r="B103" i="5"/>
  <c r="F102" i="5"/>
  <c r="K102" i="5" s="1"/>
  <c r="B102" i="5"/>
  <c r="F101" i="5"/>
  <c r="K101" i="5" s="1"/>
  <c r="B101" i="5"/>
  <c r="F100" i="5"/>
  <c r="K100" i="5" s="1"/>
  <c r="B100" i="5"/>
  <c r="B99" i="5"/>
  <c r="F98" i="5"/>
  <c r="K98" i="5" s="1"/>
  <c r="B98" i="5"/>
  <c r="F97" i="5"/>
  <c r="K97" i="5" s="1"/>
  <c r="B97" i="5"/>
  <c r="F96" i="5"/>
  <c r="K96" i="5"/>
  <c r="B96" i="5"/>
  <c r="F95" i="5"/>
  <c r="K95" i="5" s="1"/>
  <c r="B95" i="5"/>
  <c r="F94" i="5"/>
  <c r="K94" i="5" s="1"/>
  <c r="B94" i="5"/>
  <c r="F93" i="5"/>
  <c r="K93" i="5" s="1"/>
  <c r="B93" i="5"/>
  <c r="F92" i="5"/>
  <c r="K92" i="5"/>
  <c r="B92" i="5"/>
  <c r="F91" i="5"/>
  <c r="K91" i="5" s="1"/>
  <c r="B91" i="5"/>
  <c r="F90" i="5"/>
  <c r="K90" i="5" s="1"/>
  <c r="B90" i="5"/>
  <c r="F89" i="5"/>
  <c r="K89" i="5" s="1"/>
  <c r="B89" i="5"/>
  <c r="B87" i="5"/>
  <c r="F86" i="5"/>
  <c r="K86" i="5" s="1"/>
  <c r="B86" i="5"/>
  <c r="F85" i="5"/>
  <c r="K85" i="5"/>
  <c r="B85" i="5"/>
  <c r="F84" i="5"/>
  <c r="K84" i="5" s="1"/>
  <c r="B84" i="5"/>
  <c r="F83" i="5"/>
  <c r="K83" i="5" s="1"/>
  <c r="B83" i="5"/>
  <c r="F82" i="5"/>
  <c r="K82" i="5" s="1"/>
  <c r="B82" i="5"/>
  <c r="F81" i="5"/>
  <c r="K81" i="5"/>
  <c r="B81" i="5"/>
  <c r="F80" i="5"/>
  <c r="K80" i="5" s="1"/>
  <c r="B80" i="5"/>
  <c r="F79" i="5"/>
  <c r="K79" i="5" s="1"/>
  <c r="B79" i="5"/>
  <c r="F78" i="5"/>
  <c r="K78" i="5" s="1"/>
  <c r="B78" i="5"/>
  <c r="F77" i="5"/>
  <c r="K77" i="5"/>
  <c r="B77" i="5"/>
  <c r="F76" i="5"/>
  <c r="K76" i="5" s="1"/>
  <c r="B76" i="5"/>
  <c r="F75" i="5"/>
  <c r="K75" i="5" s="1"/>
  <c r="B75" i="5"/>
  <c r="F73" i="5"/>
  <c r="K73" i="5" s="1"/>
  <c r="B73" i="5"/>
  <c r="F72" i="5"/>
  <c r="K72" i="5"/>
  <c r="B72" i="5"/>
  <c r="F71" i="5"/>
  <c r="K71" i="5" s="1"/>
  <c r="B71" i="5"/>
  <c r="F69" i="5"/>
  <c r="K69" i="5" s="1"/>
  <c r="B69" i="5"/>
  <c r="F68" i="5"/>
  <c r="K68" i="5" s="1"/>
  <c r="B68" i="5"/>
  <c r="F67" i="5"/>
  <c r="K67" i="5"/>
  <c r="B67" i="5"/>
  <c r="F66" i="5"/>
  <c r="K66" i="5" s="1"/>
  <c r="B66" i="5"/>
  <c r="F65" i="5"/>
  <c r="K65" i="5" s="1"/>
  <c r="B65" i="5"/>
  <c r="F64" i="5"/>
  <c r="K64" i="5" s="1"/>
  <c r="B64" i="5"/>
  <c r="F63" i="5"/>
  <c r="K63" i="5"/>
  <c r="B63" i="5"/>
  <c r="F62" i="5"/>
  <c r="K62" i="5" s="1"/>
  <c r="B62" i="5"/>
  <c r="F61" i="5"/>
  <c r="K61" i="5" s="1"/>
  <c r="B61" i="5"/>
  <c r="F60" i="5"/>
  <c r="K60" i="5" s="1"/>
  <c r="B60" i="5"/>
  <c r="F59" i="5"/>
  <c r="K59" i="5"/>
  <c r="B59" i="5"/>
  <c r="F58" i="5"/>
  <c r="K58" i="5" s="1"/>
  <c r="B58" i="5"/>
  <c r="F57" i="5"/>
  <c r="K57" i="5" s="1"/>
  <c r="B57" i="5"/>
  <c r="F56" i="5"/>
  <c r="K56" i="5" s="1"/>
  <c r="B56" i="5"/>
  <c r="F55" i="5"/>
  <c r="K55" i="5"/>
  <c r="B55" i="5"/>
  <c r="F54" i="5"/>
  <c r="K54" i="5" s="1"/>
  <c r="B54" i="5"/>
  <c r="F53" i="5"/>
  <c r="K53" i="5" s="1"/>
  <c r="B53" i="5"/>
  <c r="F52" i="5"/>
  <c r="K52" i="5" s="1"/>
  <c r="B52" i="5"/>
  <c r="F51" i="5"/>
  <c r="K51" i="5"/>
  <c r="B51" i="5"/>
  <c r="F50" i="5"/>
  <c r="K50" i="5" s="1"/>
  <c r="B50" i="5"/>
  <c r="F49" i="5"/>
  <c r="K49" i="5" s="1"/>
  <c r="B49" i="5"/>
  <c r="F48" i="5"/>
  <c r="K48" i="5" s="1"/>
  <c r="B48" i="5"/>
  <c r="F47" i="5"/>
  <c r="K47" i="5"/>
  <c r="B47" i="5"/>
  <c r="F45" i="5"/>
  <c r="K45" i="5" s="1"/>
  <c r="B45" i="5"/>
  <c r="F44" i="5"/>
  <c r="K44" i="5" s="1"/>
  <c r="B44" i="5"/>
  <c r="B43" i="5"/>
  <c r="F42" i="5"/>
  <c r="K42" i="5" s="1"/>
  <c r="B42" i="5"/>
  <c r="B41" i="5"/>
  <c r="B40" i="5"/>
  <c r="F38" i="5"/>
  <c r="F37" i="5"/>
  <c r="F36" i="5"/>
  <c r="K36" i="5"/>
  <c r="B36" i="5"/>
  <c r="F35" i="5"/>
  <c r="K35" i="5" s="1"/>
  <c r="B35" i="5"/>
  <c r="F34" i="5"/>
  <c r="K34" i="5" s="1"/>
  <c r="B34" i="5"/>
  <c r="F32" i="5"/>
  <c r="K32" i="5" s="1"/>
  <c r="B32" i="5"/>
  <c r="F31" i="5"/>
  <c r="K31" i="5"/>
  <c r="B31" i="5"/>
  <c r="F30" i="5"/>
  <c r="K30" i="5" s="1"/>
  <c r="B30" i="5"/>
  <c r="F29" i="5"/>
  <c r="K29" i="5" s="1"/>
  <c r="B29" i="5"/>
  <c r="F28" i="5"/>
  <c r="K28" i="5" s="1"/>
  <c r="B28" i="5"/>
  <c r="F27" i="5"/>
  <c r="K27" i="5"/>
  <c r="B27" i="5"/>
  <c r="F26" i="5"/>
  <c r="K26" i="5" s="1"/>
  <c r="B26" i="5"/>
  <c r="F25" i="5"/>
  <c r="K25" i="5" s="1"/>
  <c r="B25" i="5"/>
  <c r="F24" i="5"/>
  <c r="K24" i="5" s="1"/>
  <c r="B24" i="5"/>
  <c r="F23" i="5"/>
  <c r="K23" i="5"/>
  <c r="B23" i="5"/>
  <c r="F22" i="5"/>
  <c r="K22" i="5" s="1"/>
  <c r="B22" i="5"/>
  <c r="F21" i="5"/>
  <c r="K21" i="5" s="1"/>
  <c r="B21" i="5"/>
  <c r="F20" i="5"/>
  <c r="K20" i="5" s="1"/>
  <c r="B20" i="5"/>
  <c r="F19" i="5"/>
  <c r="K19" i="5"/>
  <c r="B19" i="5"/>
  <c r="F18" i="5"/>
  <c r="K18" i="5" s="1"/>
  <c r="B18" i="5"/>
  <c r="F17" i="5"/>
  <c r="K17" i="5" s="1"/>
  <c r="B17" i="5"/>
  <c r="F16" i="5"/>
  <c r="K16" i="5" s="1"/>
  <c r="B16" i="5"/>
  <c r="F14" i="5"/>
  <c r="K14" i="5"/>
  <c r="B14" i="5"/>
  <c r="F12" i="5"/>
  <c r="K12" i="5" s="1"/>
  <c r="B12" i="5"/>
  <c r="F10" i="5"/>
  <c r="K10" i="5" s="1"/>
  <c r="B10" i="5"/>
  <c r="F8" i="5"/>
  <c r="K8" i="5" s="1"/>
  <c r="B8" i="5"/>
  <c r="K1" i="5"/>
  <c r="N167" i="2"/>
  <c r="K167" i="2"/>
  <c r="J167" i="2"/>
  <c r="I167" i="2"/>
  <c r="H167" i="2"/>
  <c r="G167" i="2"/>
  <c r="F167" i="2"/>
  <c r="N166" i="2"/>
  <c r="K166" i="2"/>
  <c r="J166" i="2"/>
  <c r="I166" i="2"/>
  <c r="H166" i="2"/>
  <c r="G166" i="2"/>
  <c r="F166" i="2"/>
  <c r="N165" i="2"/>
  <c r="K165" i="2"/>
  <c r="J165" i="2"/>
  <c r="I165" i="2"/>
  <c r="H165" i="2"/>
  <c r="G165" i="2"/>
  <c r="F165" i="2"/>
  <c r="N164" i="2"/>
  <c r="K164" i="2"/>
  <c r="J164" i="2"/>
  <c r="I164" i="2"/>
  <c r="H164" i="2"/>
  <c r="G164" i="2"/>
  <c r="F164" i="2"/>
  <c r="N163" i="2"/>
  <c r="K163" i="2"/>
  <c r="J163" i="2"/>
  <c r="I163" i="2"/>
  <c r="H163" i="2"/>
  <c r="G163" i="2"/>
  <c r="F163" i="2"/>
  <c r="N162" i="2"/>
  <c r="K162" i="2"/>
  <c r="J162" i="2"/>
  <c r="I162" i="2"/>
  <c r="H162" i="2"/>
  <c r="G162" i="2"/>
  <c r="F162" i="2"/>
  <c r="N161" i="2"/>
  <c r="K161" i="2"/>
  <c r="J161" i="2"/>
  <c r="I161" i="2"/>
  <c r="H161" i="2"/>
  <c r="G161" i="2"/>
  <c r="F161" i="2"/>
  <c r="N160" i="2"/>
  <c r="K160" i="2"/>
  <c r="J160" i="2"/>
  <c r="I160" i="2"/>
  <c r="H160" i="2"/>
  <c r="G160" i="2"/>
  <c r="F160" i="2"/>
  <c r="N159" i="2"/>
  <c r="K159" i="2"/>
  <c r="J159" i="2"/>
  <c r="I159" i="2"/>
  <c r="H159" i="2"/>
  <c r="G159" i="2"/>
  <c r="F159" i="2"/>
  <c r="N158" i="2"/>
  <c r="K158" i="2"/>
  <c r="J158" i="2"/>
  <c r="I158" i="2"/>
  <c r="H158" i="2"/>
  <c r="G158" i="2"/>
  <c r="F158" i="2"/>
  <c r="N157" i="2"/>
  <c r="K157" i="2"/>
  <c r="J157" i="2"/>
  <c r="I157" i="2"/>
  <c r="H157" i="2"/>
  <c r="G157" i="2"/>
  <c r="F157" i="2"/>
  <c r="N156" i="2"/>
  <c r="K156" i="2"/>
  <c r="J156" i="2"/>
  <c r="I156" i="2"/>
  <c r="H156" i="2"/>
  <c r="G156" i="2"/>
  <c r="F156" i="2"/>
  <c r="N155" i="2"/>
  <c r="K155" i="2"/>
  <c r="J155" i="2"/>
  <c r="I155" i="2"/>
  <c r="H155" i="2"/>
  <c r="G155" i="2"/>
  <c r="F155" i="2"/>
  <c r="N154" i="2"/>
  <c r="K154" i="2"/>
  <c r="J154" i="2"/>
  <c r="I154" i="2"/>
  <c r="H154" i="2"/>
  <c r="G154" i="2"/>
  <c r="F154" i="2"/>
  <c r="N153" i="2"/>
  <c r="K153" i="2"/>
  <c r="J153" i="2"/>
  <c r="I153" i="2"/>
  <c r="H153" i="2"/>
  <c r="G153" i="2"/>
  <c r="F153" i="2"/>
  <c r="N152" i="2"/>
  <c r="K152" i="2"/>
  <c r="J152" i="2"/>
  <c r="I152" i="2"/>
  <c r="H152" i="2"/>
  <c r="G152" i="2"/>
  <c r="F152" i="2"/>
  <c r="N151" i="2"/>
  <c r="K151" i="2"/>
  <c r="J151" i="2"/>
  <c r="I151" i="2"/>
  <c r="H151" i="2"/>
  <c r="G151" i="2"/>
  <c r="F151" i="2"/>
  <c r="N150" i="2"/>
  <c r="K150" i="2"/>
  <c r="J150" i="2"/>
  <c r="I150" i="2"/>
  <c r="H150" i="2"/>
  <c r="G150" i="2"/>
  <c r="F150" i="2"/>
  <c r="N149" i="2"/>
  <c r="K149" i="2"/>
  <c r="J149" i="2"/>
  <c r="I149" i="2"/>
  <c r="H149" i="2"/>
  <c r="G149" i="2"/>
  <c r="F149" i="2"/>
  <c r="N148" i="2"/>
  <c r="K148" i="2"/>
  <c r="J148" i="2"/>
  <c r="I148" i="2"/>
  <c r="H148" i="2"/>
  <c r="G148" i="2"/>
  <c r="F148" i="2"/>
  <c r="N147" i="2"/>
  <c r="K147" i="2"/>
  <c r="J147" i="2"/>
  <c r="I147" i="2"/>
  <c r="H147" i="2"/>
  <c r="G147" i="2"/>
  <c r="F147" i="2"/>
  <c r="N146" i="2"/>
  <c r="K146" i="2"/>
  <c r="J146" i="2"/>
  <c r="I146" i="2"/>
  <c r="H146" i="2"/>
  <c r="G146" i="2"/>
  <c r="F146" i="2"/>
  <c r="N145" i="2"/>
  <c r="K145" i="2"/>
  <c r="J145" i="2"/>
  <c r="I145" i="2"/>
  <c r="H145" i="2"/>
  <c r="G145" i="2"/>
  <c r="F145" i="2"/>
  <c r="N144" i="2"/>
  <c r="K144" i="2"/>
  <c r="J144" i="2"/>
  <c r="I144" i="2"/>
  <c r="H144" i="2"/>
  <c r="G144" i="2"/>
  <c r="F144" i="2"/>
  <c r="N143" i="2"/>
  <c r="K143" i="2"/>
  <c r="J143" i="2"/>
  <c r="I143" i="2"/>
  <c r="H143" i="2"/>
  <c r="G143" i="2"/>
  <c r="F143" i="2"/>
  <c r="N142" i="2"/>
  <c r="K142" i="2"/>
  <c r="J142" i="2"/>
  <c r="I142" i="2"/>
  <c r="H142" i="2"/>
  <c r="G142" i="2"/>
  <c r="F142" i="2"/>
  <c r="N141" i="2"/>
  <c r="K141" i="2"/>
  <c r="J141" i="2"/>
  <c r="I141" i="2"/>
  <c r="H141" i="2"/>
  <c r="G141" i="2"/>
  <c r="F141" i="2"/>
  <c r="N140" i="2"/>
  <c r="K140" i="2"/>
  <c r="J140" i="2"/>
  <c r="I140" i="2"/>
  <c r="H140" i="2"/>
  <c r="G140" i="2"/>
  <c r="F140" i="2"/>
  <c r="N139" i="2"/>
  <c r="K139" i="2"/>
  <c r="J139" i="2"/>
  <c r="I139" i="2"/>
  <c r="H139" i="2"/>
  <c r="G139" i="2"/>
  <c r="F139" i="2"/>
  <c r="N138" i="2"/>
  <c r="K138" i="2"/>
  <c r="J138" i="2"/>
  <c r="I138" i="2"/>
  <c r="H138" i="2"/>
  <c r="G138" i="2"/>
  <c r="F138" i="2"/>
  <c r="N137" i="2"/>
  <c r="K137" i="2"/>
  <c r="J137" i="2"/>
  <c r="I137" i="2"/>
  <c r="H137" i="2"/>
  <c r="G137" i="2"/>
  <c r="F137" i="2"/>
  <c r="N136" i="2"/>
  <c r="K136" i="2"/>
  <c r="J136" i="2"/>
  <c r="I136" i="2"/>
  <c r="H136" i="2"/>
  <c r="G136" i="2"/>
  <c r="F136" i="2"/>
  <c r="N135" i="2"/>
  <c r="K135" i="2"/>
  <c r="J135" i="2"/>
  <c r="I135" i="2"/>
  <c r="H135" i="2"/>
  <c r="G135" i="2"/>
  <c r="F135" i="2"/>
  <c r="N134" i="2"/>
  <c r="K134" i="2"/>
  <c r="J134" i="2"/>
  <c r="I134" i="2"/>
  <c r="H134" i="2"/>
  <c r="G134" i="2"/>
  <c r="F134" i="2"/>
  <c r="N133" i="2"/>
  <c r="K133" i="2"/>
  <c r="J133" i="2"/>
  <c r="I133" i="2"/>
  <c r="H133" i="2"/>
  <c r="G133" i="2"/>
  <c r="F133" i="2"/>
  <c r="N132" i="2"/>
  <c r="K132" i="2"/>
  <c r="J132" i="2"/>
  <c r="I132" i="2"/>
  <c r="H132" i="2"/>
  <c r="G132" i="2"/>
  <c r="F132" i="2"/>
  <c r="N131" i="2"/>
  <c r="K131" i="2"/>
  <c r="J131" i="2"/>
  <c r="I131" i="2"/>
  <c r="H131" i="2"/>
  <c r="G131" i="2"/>
  <c r="F131" i="2"/>
  <c r="N130" i="2"/>
  <c r="K130" i="2"/>
  <c r="J130" i="2"/>
  <c r="I130" i="2"/>
  <c r="H130" i="2"/>
  <c r="G130" i="2"/>
  <c r="F130" i="2"/>
  <c r="N129" i="2"/>
  <c r="K129" i="2"/>
  <c r="J129" i="2"/>
  <c r="I129" i="2"/>
  <c r="H129" i="2"/>
  <c r="G129" i="2"/>
  <c r="F129" i="2"/>
  <c r="N128" i="2"/>
  <c r="K128" i="2"/>
  <c r="J128" i="2"/>
  <c r="I128" i="2"/>
  <c r="H128" i="2"/>
  <c r="G128" i="2"/>
  <c r="F128" i="2"/>
  <c r="N127" i="2"/>
  <c r="K127" i="2"/>
  <c r="J127" i="2"/>
  <c r="I127" i="2"/>
  <c r="H127" i="2"/>
  <c r="G127" i="2"/>
  <c r="F127" i="2"/>
  <c r="N126" i="2"/>
  <c r="K126" i="2"/>
  <c r="J126" i="2"/>
  <c r="I126" i="2"/>
  <c r="H126" i="2"/>
  <c r="G126" i="2"/>
  <c r="F126" i="2"/>
  <c r="N125" i="2"/>
  <c r="K125" i="2"/>
  <c r="J125" i="2"/>
  <c r="I125" i="2"/>
  <c r="H125" i="2"/>
  <c r="G125" i="2"/>
  <c r="F125" i="2"/>
  <c r="N124" i="2"/>
  <c r="K124" i="2"/>
  <c r="J124" i="2"/>
  <c r="I124" i="2"/>
  <c r="H124" i="2"/>
  <c r="G124" i="2"/>
  <c r="F124" i="2"/>
  <c r="N123" i="2"/>
  <c r="K123" i="2"/>
  <c r="J123" i="2"/>
  <c r="I123" i="2"/>
  <c r="H123" i="2"/>
  <c r="G123" i="2"/>
  <c r="F123" i="2"/>
  <c r="N122" i="2"/>
  <c r="K122" i="2"/>
  <c r="J122" i="2"/>
  <c r="I122" i="2"/>
  <c r="H122" i="2"/>
  <c r="G122" i="2"/>
  <c r="F122" i="2"/>
  <c r="N121" i="2"/>
  <c r="K121" i="2"/>
  <c r="J121" i="2"/>
  <c r="I121" i="2"/>
  <c r="H121" i="2"/>
  <c r="G121" i="2"/>
  <c r="F121" i="2"/>
  <c r="N120" i="2"/>
  <c r="K120" i="2"/>
  <c r="J120" i="2"/>
  <c r="I120" i="2"/>
  <c r="H120" i="2"/>
  <c r="G120" i="2"/>
  <c r="F120" i="2"/>
  <c r="N119" i="2"/>
  <c r="K119" i="2"/>
  <c r="J119" i="2"/>
  <c r="I119" i="2"/>
  <c r="H119" i="2"/>
  <c r="G119" i="2"/>
  <c r="F119" i="2"/>
  <c r="N118" i="2"/>
  <c r="K118" i="2"/>
  <c r="J118" i="2"/>
  <c r="I118" i="2"/>
  <c r="H118" i="2"/>
  <c r="G118" i="2"/>
  <c r="F118" i="2"/>
  <c r="N117" i="2"/>
  <c r="K117" i="2"/>
  <c r="J117" i="2"/>
  <c r="I117" i="2"/>
  <c r="H117" i="2"/>
  <c r="G117" i="2"/>
  <c r="F117" i="2"/>
  <c r="N116" i="2"/>
  <c r="K116" i="2"/>
  <c r="J116" i="2"/>
  <c r="I116" i="2"/>
  <c r="H116" i="2"/>
  <c r="G116" i="2"/>
  <c r="F116" i="2"/>
  <c r="N115" i="2"/>
  <c r="K115" i="2"/>
  <c r="J115" i="2"/>
  <c r="I115" i="2"/>
  <c r="H115" i="2"/>
  <c r="G115" i="2"/>
  <c r="F115" i="2"/>
  <c r="N114" i="2"/>
  <c r="K114" i="2"/>
  <c r="J114" i="2"/>
  <c r="I114" i="2"/>
  <c r="H114" i="2"/>
  <c r="G114" i="2"/>
  <c r="F114" i="2"/>
  <c r="N113" i="2"/>
  <c r="K113" i="2"/>
  <c r="J113" i="2"/>
  <c r="I113" i="2"/>
  <c r="H113" i="2"/>
  <c r="G113" i="2"/>
  <c r="F113" i="2"/>
  <c r="N112" i="2"/>
  <c r="K112" i="2"/>
  <c r="J112" i="2"/>
  <c r="I112" i="2"/>
  <c r="H112" i="2"/>
  <c r="G112" i="2"/>
  <c r="F112" i="2"/>
  <c r="N111" i="2"/>
  <c r="K111" i="2"/>
  <c r="J111" i="2"/>
  <c r="I111" i="2"/>
  <c r="H111" i="2"/>
  <c r="G111" i="2"/>
  <c r="F111" i="2"/>
  <c r="N110" i="2"/>
  <c r="K110" i="2"/>
  <c r="J110" i="2"/>
  <c r="I110" i="2"/>
  <c r="H110" i="2"/>
  <c r="G110" i="2"/>
  <c r="F110" i="2"/>
  <c r="N109" i="2"/>
  <c r="K109" i="2"/>
  <c r="J109" i="2"/>
  <c r="I109" i="2"/>
  <c r="H109" i="2"/>
  <c r="G109" i="2"/>
  <c r="F109" i="2"/>
  <c r="N108" i="2"/>
  <c r="K108" i="2"/>
  <c r="J108" i="2"/>
  <c r="I108" i="2"/>
  <c r="H108" i="2"/>
  <c r="G108" i="2"/>
  <c r="F108" i="2"/>
  <c r="N107" i="2"/>
  <c r="K107" i="2"/>
  <c r="J107" i="2"/>
  <c r="I107" i="2"/>
  <c r="H107" i="2"/>
  <c r="G107" i="2"/>
  <c r="F107" i="2"/>
  <c r="N106" i="2"/>
  <c r="K106" i="2"/>
  <c r="J106" i="2"/>
  <c r="I106" i="2"/>
  <c r="H106" i="2"/>
  <c r="G106" i="2"/>
  <c r="F106" i="2"/>
  <c r="N105" i="2"/>
  <c r="K105" i="2"/>
  <c r="J105" i="2"/>
  <c r="I105" i="2"/>
  <c r="H105" i="2"/>
  <c r="G105" i="2"/>
  <c r="F105" i="2"/>
  <c r="N104" i="2"/>
  <c r="K104" i="2"/>
  <c r="J104" i="2"/>
  <c r="I104" i="2"/>
  <c r="H104" i="2"/>
  <c r="G104" i="2"/>
  <c r="F104" i="2"/>
  <c r="N103" i="2"/>
  <c r="K103" i="2"/>
  <c r="J103" i="2"/>
  <c r="I103" i="2"/>
  <c r="H103" i="2"/>
  <c r="G103" i="2"/>
  <c r="F103" i="2"/>
  <c r="N102" i="2"/>
  <c r="K102" i="2"/>
  <c r="J102" i="2"/>
  <c r="I102" i="2"/>
  <c r="H102" i="2"/>
  <c r="G102" i="2"/>
  <c r="F102" i="2"/>
  <c r="N101" i="2"/>
  <c r="K101" i="2"/>
  <c r="J101" i="2"/>
  <c r="I101" i="2"/>
  <c r="H101" i="2"/>
  <c r="G101" i="2"/>
  <c r="F101" i="2"/>
  <c r="N100" i="2"/>
  <c r="K100" i="2"/>
  <c r="J100" i="2"/>
  <c r="I100" i="2"/>
  <c r="H100" i="2"/>
  <c r="G100" i="2"/>
  <c r="F100" i="2"/>
  <c r="N99" i="2"/>
  <c r="K99" i="2"/>
  <c r="J99" i="2"/>
  <c r="I99" i="2"/>
  <c r="H99" i="2"/>
  <c r="G99" i="2"/>
  <c r="F99" i="2"/>
  <c r="N98" i="2"/>
  <c r="K98" i="2"/>
  <c r="J98" i="2"/>
  <c r="I98" i="2"/>
  <c r="H98" i="2"/>
  <c r="G98" i="2"/>
  <c r="F98" i="2"/>
  <c r="N97" i="2"/>
  <c r="K97" i="2"/>
  <c r="J97" i="2"/>
  <c r="I97" i="2"/>
  <c r="H97" i="2"/>
  <c r="G97" i="2"/>
  <c r="F97" i="2"/>
  <c r="N96" i="2"/>
  <c r="K96" i="2"/>
  <c r="J96" i="2"/>
  <c r="I96" i="2"/>
  <c r="H96" i="2"/>
  <c r="G96" i="2"/>
  <c r="F96" i="2"/>
  <c r="N95" i="2"/>
  <c r="K95" i="2"/>
  <c r="J95" i="2"/>
  <c r="I95" i="2"/>
  <c r="H95" i="2"/>
  <c r="G95" i="2"/>
  <c r="F95" i="2"/>
  <c r="N94" i="2"/>
  <c r="K94" i="2"/>
  <c r="J94" i="2"/>
  <c r="I94" i="2"/>
  <c r="H94" i="2"/>
  <c r="G94" i="2"/>
  <c r="F94" i="2"/>
  <c r="N93" i="2"/>
  <c r="K93" i="2"/>
  <c r="J93" i="2"/>
  <c r="I93" i="2"/>
  <c r="H93" i="2"/>
  <c r="G93" i="2"/>
  <c r="F93" i="2"/>
  <c r="N92" i="2"/>
  <c r="K92" i="2"/>
  <c r="J92" i="2"/>
  <c r="I92" i="2"/>
  <c r="H92" i="2"/>
  <c r="G92" i="2"/>
  <c r="F92" i="2"/>
  <c r="N91" i="2"/>
  <c r="K91" i="2"/>
  <c r="J91" i="2"/>
  <c r="I91" i="2"/>
  <c r="H91" i="2"/>
  <c r="G91" i="2"/>
  <c r="F91" i="2"/>
  <c r="N90" i="2"/>
  <c r="K90" i="2"/>
  <c r="J90" i="2"/>
  <c r="I90" i="2"/>
  <c r="H90" i="2"/>
  <c r="G90" i="2"/>
  <c r="F90" i="2"/>
  <c r="N89" i="2"/>
  <c r="K89" i="2"/>
  <c r="J89" i="2"/>
  <c r="I89" i="2"/>
  <c r="H89" i="2"/>
  <c r="G89" i="2"/>
  <c r="F89" i="2"/>
  <c r="N88" i="2"/>
  <c r="K88" i="2"/>
  <c r="J88" i="2"/>
  <c r="I88" i="2"/>
  <c r="H88" i="2"/>
  <c r="G88" i="2"/>
  <c r="F88" i="2"/>
  <c r="N87" i="2"/>
  <c r="K87" i="2"/>
  <c r="J87" i="2"/>
  <c r="I87" i="2"/>
  <c r="H87" i="2"/>
  <c r="G87" i="2"/>
  <c r="F87" i="2"/>
  <c r="N86" i="2"/>
  <c r="K86" i="2"/>
  <c r="J86" i="2"/>
  <c r="I86" i="2"/>
  <c r="H86" i="2"/>
  <c r="G86" i="2"/>
  <c r="F86" i="2"/>
  <c r="N85" i="2"/>
  <c r="K85" i="2"/>
  <c r="J85" i="2"/>
  <c r="I85" i="2"/>
  <c r="H85" i="2"/>
  <c r="G85" i="2"/>
  <c r="F85" i="2"/>
  <c r="N84" i="2"/>
  <c r="K84" i="2"/>
  <c r="J84" i="2"/>
  <c r="I84" i="2"/>
  <c r="H84" i="2"/>
  <c r="G84" i="2"/>
  <c r="F84" i="2"/>
  <c r="N83" i="2"/>
  <c r="K83" i="2"/>
  <c r="J83" i="2"/>
  <c r="I83" i="2"/>
  <c r="H83" i="2"/>
  <c r="G83" i="2"/>
  <c r="F83" i="2"/>
  <c r="N82" i="2"/>
  <c r="K82" i="2"/>
  <c r="J82" i="2"/>
  <c r="I82" i="2"/>
  <c r="H82" i="2"/>
  <c r="G82" i="2"/>
  <c r="F82" i="2"/>
  <c r="N81" i="2"/>
  <c r="K81" i="2"/>
  <c r="J81" i="2"/>
  <c r="I81" i="2"/>
  <c r="H81" i="2"/>
  <c r="G81" i="2"/>
  <c r="F81" i="2"/>
  <c r="N80" i="2"/>
  <c r="K80" i="2"/>
  <c r="J80" i="2"/>
  <c r="I80" i="2"/>
  <c r="H80" i="2"/>
  <c r="G80" i="2"/>
  <c r="F80" i="2"/>
  <c r="N79" i="2"/>
  <c r="K79" i="2"/>
  <c r="J79" i="2"/>
  <c r="I79" i="2"/>
  <c r="H79" i="2"/>
  <c r="G79" i="2"/>
  <c r="F79" i="2"/>
  <c r="N78" i="2"/>
  <c r="K78" i="2"/>
  <c r="J78" i="2"/>
  <c r="I78" i="2"/>
  <c r="H78" i="2"/>
  <c r="G78" i="2"/>
  <c r="F78" i="2"/>
  <c r="N77" i="2"/>
  <c r="K77" i="2"/>
  <c r="J77" i="2"/>
  <c r="I77" i="2"/>
  <c r="H77" i="2"/>
  <c r="G77" i="2"/>
  <c r="F77" i="2"/>
  <c r="N76" i="2"/>
  <c r="K76" i="2"/>
  <c r="J76" i="2"/>
  <c r="I76" i="2"/>
  <c r="H76" i="2"/>
  <c r="G76" i="2"/>
  <c r="F76" i="2"/>
  <c r="N75" i="2"/>
  <c r="K75" i="2"/>
  <c r="J75" i="2"/>
  <c r="I75" i="2"/>
  <c r="H75" i="2"/>
  <c r="G75" i="2"/>
  <c r="F75" i="2"/>
  <c r="N74" i="2"/>
  <c r="K74" i="2"/>
  <c r="J74" i="2"/>
  <c r="I74" i="2"/>
  <c r="H74" i="2"/>
  <c r="G74" i="2"/>
  <c r="F74" i="2"/>
  <c r="N73" i="2"/>
  <c r="K73" i="2"/>
  <c r="J73" i="2"/>
  <c r="I73" i="2"/>
  <c r="H73" i="2"/>
  <c r="G73" i="2"/>
  <c r="F73" i="2"/>
  <c r="N72" i="2"/>
  <c r="K72" i="2"/>
  <c r="J72" i="2"/>
  <c r="I72" i="2"/>
  <c r="H72" i="2"/>
  <c r="G72" i="2"/>
  <c r="F72" i="2"/>
  <c r="N71" i="2"/>
  <c r="K71" i="2"/>
  <c r="J71" i="2"/>
  <c r="I71" i="2"/>
  <c r="H71" i="2"/>
  <c r="G71" i="2"/>
  <c r="F71" i="2"/>
  <c r="N70" i="2"/>
  <c r="K70" i="2"/>
  <c r="J70" i="2"/>
  <c r="I70" i="2"/>
  <c r="H70" i="2"/>
  <c r="G70" i="2"/>
  <c r="F70" i="2"/>
  <c r="N69" i="2"/>
  <c r="K69" i="2"/>
  <c r="J69" i="2"/>
  <c r="I69" i="2"/>
  <c r="H69" i="2"/>
  <c r="G69" i="2"/>
  <c r="F69" i="2"/>
  <c r="N68" i="2"/>
  <c r="K68" i="2"/>
  <c r="J68" i="2"/>
  <c r="I68" i="2"/>
  <c r="H68" i="2"/>
  <c r="G68" i="2"/>
  <c r="F68" i="2"/>
  <c r="N67" i="2"/>
  <c r="K67" i="2"/>
  <c r="J67" i="2"/>
  <c r="I67" i="2"/>
  <c r="H67" i="2"/>
  <c r="G67" i="2"/>
  <c r="F67" i="2"/>
  <c r="N66" i="2"/>
  <c r="K66" i="2"/>
  <c r="J66" i="2"/>
  <c r="I66" i="2"/>
  <c r="H66" i="2"/>
  <c r="G66" i="2"/>
  <c r="F66" i="2"/>
  <c r="N65" i="2"/>
  <c r="K65" i="2"/>
  <c r="J65" i="2"/>
  <c r="I65" i="2"/>
  <c r="H65" i="2"/>
  <c r="G65" i="2"/>
  <c r="F65" i="2"/>
  <c r="N64" i="2"/>
  <c r="K64" i="2"/>
  <c r="J64" i="2"/>
  <c r="I64" i="2"/>
  <c r="H64" i="2"/>
  <c r="G64" i="2"/>
  <c r="F64" i="2"/>
  <c r="N63" i="2"/>
  <c r="K63" i="2"/>
  <c r="J63" i="2"/>
  <c r="I63" i="2"/>
  <c r="H63" i="2"/>
  <c r="G63" i="2"/>
  <c r="F63" i="2"/>
  <c r="N62" i="2"/>
  <c r="K62" i="2"/>
  <c r="J62" i="2"/>
  <c r="I62" i="2"/>
  <c r="H62" i="2"/>
  <c r="G62" i="2"/>
  <c r="F62" i="2"/>
  <c r="N61" i="2"/>
  <c r="K61" i="2"/>
  <c r="J61" i="2"/>
  <c r="I61" i="2"/>
  <c r="H61" i="2"/>
  <c r="G61" i="2"/>
  <c r="F61" i="2"/>
  <c r="N60" i="2"/>
  <c r="K60" i="2"/>
  <c r="J60" i="2"/>
  <c r="I60" i="2"/>
  <c r="H60" i="2"/>
  <c r="G60" i="2"/>
  <c r="F60" i="2"/>
  <c r="N59" i="2"/>
  <c r="K59" i="2"/>
  <c r="J59" i="2"/>
  <c r="I59" i="2"/>
  <c r="H59" i="2"/>
  <c r="G59" i="2"/>
  <c r="F59" i="2"/>
  <c r="N58" i="2"/>
  <c r="K58" i="2"/>
  <c r="J58" i="2"/>
  <c r="I58" i="2"/>
  <c r="H58" i="2"/>
  <c r="G58" i="2"/>
  <c r="F58" i="2"/>
  <c r="N57" i="2"/>
  <c r="K57" i="2"/>
  <c r="J57" i="2"/>
  <c r="I57" i="2"/>
  <c r="H57" i="2"/>
  <c r="G57" i="2"/>
  <c r="F57" i="2"/>
  <c r="N56" i="2"/>
  <c r="K56" i="2"/>
  <c r="J56" i="2"/>
  <c r="I56" i="2"/>
  <c r="H56" i="2"/>
  <c r="G56" i="2"/>
  <c r="F56" i="2"/>
  <c r="N55" i="2"/>
  <c r="K55" i="2"/>
  <c r="J55" i="2"/>
  <c r="I55" i="2"/>
  <c r="H55" i="2"/>
  <c r="G55" i="2"/>
  <c r="F55" i="2"/>
  <c r="N54" i="2"/>
  <c r="K54" i="2"/>
  <c r="J54" i="2"/>
  <c r="I54" i="2"/>
  <c r="H54" i="2"/>
  <c r="G54" i="2"/>
  <c r="F54" i="2"/>
  <c r="N53" i="2"/>
  <c r="K53" i="2"/>
  <c r="J53" i="2"/>
  <c r="I53" i="2"/>
  <c r="H53" i="2"/>
  <c r="G53" i="2"/>
  <c r="F53" i="2"/>
  <c r="N52" i="2"/>
  <c r="K52" i="2"/>
  <c r="J52" i="2"/>
  <c r="I52" i="2"/>
  <c r="H52" i="2"/>
  <c r="G52" i="2"/>
  <c r="F52" i="2"/>
  <c r="N51" i="2"/>
  <c r="K51" i="2"/>
  <c r="J51" i="2"/>
  <c r="I51" i="2"/>
  <c r="H51" i="2"/>
  <c r="G51" i="2"/>
  <c r="F51" i="2"/>
  <c r="N50" i="2"/>
  <c r="K50" i="2"/>
  <c r="J50" i="2"/>
  <c r="I50" i="2"/>
  <c r="H50" i="2"/>
  <c r="G50" i="2"/>
  <c r="F50" i="2"/>
  <c r="N49" i="2"/>
  <c r="K49" i="2"/>
  <c r="J49" i="2"/>
  <c r="I49" i="2"/>
  <c r="H49" i="2"/>
  <c r="G49" i="2"/>
  <c r="F49" i="2"/>
  <c r="N48" i="2"/>
  <c r="K48" i="2"/>
  <c r="J48" i="2"/>
  <c r="I48" i="2"/>
  <c r="H48" i="2"/>
  <c r="G48" i="2"/>
  <c r="F48" i="2"/>
  <c r="N47" i="2"/>
  <c r="K47" i="2"/>
  <c r="J47" i="2"/>
  <c r="I47" i="2"/>
  <c r="H47" i="2"/>
  <c r="G47" i="2"/>
  <c r="F47" i="2"/>
  <c r="N46" i="2"/>
  <c r="K46" i="2"/>
  <c r="J46" i="2"/>
  <c r="I46" i="2"/>
  <c r="H46" i="2"/>
  <c r="G46" i="2"/>
  <c r="F46" i="2"/>
  <c r="N45" i="2"/>
  <c r="K45" i="2"/>
  <c r="J45" i="2"/>
  <c r="I45" i="2"/>
  <c r="H45" i="2"/>
  <c r="G45" i="2"/>
  <c r="F45" i="2"/>
  <c r="N44" i="2"/>
  <c r="K44" i="2"/>
  <c r="J44" i="2"/>
  <c r="I44" i="2"/>
  <c r="H44" i="2"/>
  <c r="G44" i="2"/>
  <c r="F44" i="2"/>
  <c r="N43" i="2"/>
  <c r="K43" i="2"/>
  <c r="J43" i="2"/>
  <c r="I43" i="2"/>
  <c r="H43" i="2"/>
  <c r="G43" i="2"/>
  <c r="F43" i="2"/>
  <c r="N42" i="2"/>
  <c r="K42" i="2"/>
  <c r="J42" i="2"/>
  <c r="I42" i="2"/>
  <c r="H42" i="2"/>
  <c r="G42" i="2"/>
  <c r="F42" i="2"/>
  <c r="N41" i="2"/>
  <c r="K41" i="2"/>
  <c r="J41" i="2"/>
  <c r="I41" i="2"/>
  <c r="H41" i="2"/>
  <c r="G41" i="2"/>
  <c r="F41" i="2"/>
  <c r="N40" i="2"/>
  <c r="K40" i="2"/>
  <c r="J40" i="2"/>
  <c r="I40" i="2"/>
  <c r="H40" i="2"/>
  <c r="G40" i="2"/>
  <c r="F40" i="2"/>
  <c r="N39" i="2"/>
  <c r="K39" i="2"/>
  <c r="J39" i="2"/>
  <c r="I39" i="2"/>
  <c r="H39" i="2"/>
  <c r="G39" i="2"/>
  <c r="F39" i="2"/>
  <c r="N38" i="2"/>
  <c r="K38" i="2"/>
  <c r="J38" i="2"/>
  <c r="I38" i="2"/>
  <c r="H38" i="2"/>
  <c r="G38" i="2"/>
  <c r="F38" i="2"/>
  <c r="N37" i="2"/>
  <c r="K37" i="2"/>
  <c r="J37" i="2"/>
  <c r="I37" i="2"/>
  <c r="H37" i="2"/>
  <c r="G37" i="2"/>
  <c r="F37" i="2"/>
  <c r="N36" i="2"/>
  <c r="K36" i="2"/>
  <c r="J36" i="2"/>
  <c r="I36" i="2"/>
  <c r="H36" i="2"/>
  <c r="G36" i="2"/>
  <c r="F36" i="2"/>
  <c r="N35" i="2"/>
  <c r="K35" i="2"/>
  <c r="J35" i="2"/>
  <c r="I35" i="2"/>
  <c r="H35" i="2"/>
  <c r="G35" i="2"/>
  <c r="F35" i="2"/>
  <c r="N34" i="2"/>
  <c r="K34" i="2"/>
  <c r="J34" i="2"/>
  <c r="I34" i="2"/>
  <c r="H34" i="2"/>
  <c r="G34" i="2"/>
  <c r="F34" i="2"/>
  <c r="N33" i="2"/>
  <c r="K33" i="2"/>
  <c r="J33" i="2"/>
  <c r="I33" i="2"/>
  <c r="H33" i="2"/>
  <c r="G33" i="2"/>
  <c r="F33" i="2"/>
  <c r="N32" i="2"/>
  <c r="K32" i="2"/>
  <c r="J32" i="2"/>
  <c r="I32" i="2"/>
  <c r="H32" i="2"/>
  <c r="G32" i="2"/>
  <c r="F32" i="2"/>
  <c r="N31" i="2"/>
  <c r="K31" i="2"/>
  <c r="J31" i="2"/>
  <c r="I31" i="2"/>
  <c r="H31" i="2"/>
  <c r="G31" i="2"/>
  <c r="F31" i="2"/>
  <c r="N30" i="2"/>
  <c r="K30" i="2"/>
  <c r="J30" i="2"/>
  <c r="I30" i="2"/>
  <c r="H30" i="2"/>
  <c r="G30" i="2"/>
  <c r="F30" i="2"/>
  <c r="N29" i="2"/>
  <c r="K29" i="2"/>
  <c r="J29" i="2"/>
  <c r="I29" i="2"/>
  <c r="H29" i="2"/>
  <c r="G29" i="2"/>
  <c r="F29" i="2"/>
  <c r="N28" i="2"/>
  <c r="K28" i="2"/>
  <c r="J28" i="2"/>
  <c r="I28" i="2"/>
  <c r="H28" i="2"/>
  <c r="G28" i="2"/>
  <c r="F28" i="2"/>
  <c r="N27" i="2"/>
  <c r="K27" i="2"/>
  <c r="J27" i="2"/>
  <c r="I27" i="2"/>
  <c r="H27" i="2"/>
  <c r="G27" i="2"/>
  <c r="F27" i="2"/>
  <c r="N26" i="2"/>
  <c r="K26" i="2"/>
  <c r="J26" i="2"/>
  <c r="I26" i="2"/>
  <c r="H26" i="2"/>
  <c r="G26" i="2"/>
  <c r="F26" i="2"/>
  <c r="N25" i="2"/>
  <c r="K25" i="2"/>
  <c r="J25" i="2"/>
  <c r="I25" i="2"/>
  <c r="H25" i="2"/>
  <c r="G25" i="2"/>
  <c r="F25" i="2"/>
  <c r="N24" i="2"/>
  <c r="K24" i="2"/>
  <c r="J24" i="2"/>
  <c r="I24" i="2"/>
  <c r="H24" i="2"/>
  <c r="G24" i="2"/>
  <c r="F24" i="2"/>
  <c r="N23" i="2"/>
  <c r="K23" i="2"/>
  <c r="J23" i="2"/>
  <c r="I23" i="2"/>
  <c r="H23" i="2"/>
  <c r="G23" i="2"/>
  <c r="F23" i="2"/>
  <c r="N22" i="2"/>
  <c r="K22" i="2"/>
  <c r="J22" i="2"/>
  <c r="I22" i="2"/>
  <c r="H22" i="2"/>
  <c r="G22" i="2"/>
  <c r="F22" i="2"/>
  <c r="N21" i="2"/>
  <c r="K21" i="2"/>
  <c r="J21" i="2"/>
  <c r="I21" i="2"/>
  <c r="H21" i="2"/>
  <c r="G21" i="2"/>
  <c r="F21" i="2"/>
  <c r="N20" i="2"/>
  <c r="K20" i="2"/>
  <c r="J20" i="2"/>
  <c r="I20" i="2"/>
  <c r="H20" i="2"/>
  <c r="G20" i="2"/>
  <c r="F20" i="2"/>
  <c r="N19" i="2"/>
  <c r="K19" i="2"/>
  <c r="J19" i="2"/>
  <c r="I19" i="2"/>
  <c r="H19" i="2"/>
  <c r="G19" i="2"/>
  <c r="F19" i="2"/>
  <c r="N18" i="2"/>
  <c r="K18" i="2"/>
  <c r="J18" i="2"/>
  <c r="I18" i="2"/>
  <c r="H18" i="2"/>
  <c r="G18" i="2"/>
  <c r="F18" i="2"/>
  <c r="N17" i="2"/>
  <c r="K17" i="2"/>
  <c r="J17" i="2"/>
  <c r="I17" i="2"/>
  <c r="H17" i="2"/>
  <c r="G17" i="2"/>
  <c r="F17" i="2"/>
  <c r="N16" i="2"/>
  <c r="K16" i="2"/>
  <c r="J16" i="2"/>
  <c r="I16" i="2"/>
  <c r="H16" i="2"/>
  <c r="G16" i="2"/>
  <c r="F16" i="2"/>
  <c r="N15" i="2"/>
  <c r="K15" i="2"/>
  <c r="J15" i="2"/>
  <c r="I15" i="2"/>
  <c r="H15" i="2"/>
  <c r="G15" i="2"/>
  <c r="F15" i="2"/>
  <c r="N14" i="2"/>
  <c r="K14" i="2"/>
  <c r="J14" i="2"/>
  <c r="I14" i="2"/>
  <c r="H14" i="2"/>
  <c r="G14" i="2"/>
  <c r="F14" i="2"/>
  <c r="N13" i="2"/>
  <c r="K13" i="2"/>
  <c r="J13" i="2"/>
  <c r="I13" i="2"/>
  <c r="H13" i="2"/>
  <c r="G13" i="2"/>
  <c r="F13" i="2"/>
  <c r="N12" i="2"/>
  <c r="K12" i="2"/>
  <c r="J12" i="2"/>
  <c r="I12" i="2"/>
  <c r="H12" i="2"/>
  <c r="G12" i="2"/>
  <c r="F12" i="2"/>
  <c r="N11" i="2"/>
  <c r="K11" i="2"/>
  <c r="J11" i="2"/>
  <c r="I11" i="2"/>
  <c r="H11" i="2"/>
  <c r="G11" i="2"/>
  <c r="F11" i="2"/>
  <c r="N10" i="2"/>
  <c r="K10" i="2"/>
  <c r="J10" i="2"/>
  <c r="I10" i="2"/>
  <c r="H10" i="2"/>
  <c r="G10" i="2"/>
  <c r="F10" i="2"/>
  <c r="N9" i="2"/>
  <c r="K9" i="2"/>
  <c r="J9" i="2"/>
  <c r="I9" i="2"/>
  <c r="H9" i="2"/>
  <c r="G9" i="2"/>
  <c r="F9" i="2"/>
  <c r="N8" i="2"/>
  <c r="K8" i="2"/>
  <c r="J8" i="2"/>
  <c r="I8" i="2"/>
  <c r="H8" i="2"/>
  <c r="G8" i="2"/>
  <c r="F8" i="2"/>
  <c r="N7" i="2"/>
  <c r="K7" i="2"/>
  <c r="J7" i="2"/>
  <c r="I7" i="2"/>
  <c r="H7" i="2"/>
  <c r="G7" i="2"/>
  <c r="F7" i="2"/>
  <c r="N6" i="2"/>
  <c r="K6" i="2"/>
  <c r="J6" i="2"/>
  <c r="I6" i="2"/>
  <c r="H6" i="2"/>
  <c r="G6" i="2"/>
  <c r="F6" i="2"/>
  <c r="N5" i="2"/>
  <c r="K5" i="2"/>
  <c r="J5" i="2"/>
  <c r="I5" i="2"/>
  <c r="H5" i="2"/>
  <c r="G5" i="2"/>
  <c r="F5" i="2"/>
  <c r="N4" i="2"/>
  <c r="K4" i="2"/>
  <c r="J4" i="2"/>
  <c r="I4" i="2"/>
  <c r="H4" i="2"/>
  <c r="G4" i="2"/>
  <c r="F4" i="2"/>
  <c r="N3" i="2"/>
  <c r="K3" i="2"/>
  <c r="J3" i="2"/>
  <c r="I3" i="2"/>
  <c r="H3" i="2"/>
  <c r="G3" i="2"/>
  <c r="F3" i="2"/>
  <c r="N2" i="2"/>
  <c r="K2" i="2"/>
  <c r="J2" i="2"/>
  <c r="I2" i="2"/>
  <c r="H2" i="2"/>
  <c r="G2" i="2"/>
  <c r="F2" i="2"/>
  <c r="U143"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P143" i="1"/>
  <c r="F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X10" i="1"/>
  <c r="Z11" i="1"/>
  <c r="Z12" i="1"/>
  <c r="Z13" i="1" s="1"/>
  <c r="Z14" i="1" s="1"/>
  <c r="X14" i="1"/>
  <c r="R14" i="1"/>
  <c r="R13" i="1"/>
  <c r="R12" i="1"/>
  <c r="R11" i="1"/>
  <c r="R10" i="1"/>
  <c r="R9" i="1"/>
  <c r="R8" i="1"/>
  <c r="S1832" i="5" l="1"/>
  <c r="R1910" i="5"/>
  <c r="T1889" i="5"/>
  <c r="T1892" i="5" s="1"/>
  <c r="S1912" i="5"/>
  <c r="S1914" i="5" s="1"/>
  <c r="S1827" i="5"/>
  <c r="S1872" i="5"/>
  <c r="R1872" i="5"/>
  <c r="S1910" i="5"/>
</calcChain>
</file>

<file path=xl/sharedStrings.xml><?xml version="1.0" encoding="utf-8"?>
<sst xmlns="http://schemas.openxmlformats.org/spreadsheetml/2006/main" count="15989" uniqueCount="7057">
  <si>
    <t>BLM Fees</t>
  </si>
  <si>
    <t>Cold</t>
  </si>
  <si>
    <t>Competetive Bid Filing Fee</t>
  </si>
  <si>
    <t>Warm</t>
  </si>
  <si>
    <t>Min Bid $/acre</t>
  </si>
  <si>
    <t>Hot</t>
  </si>
  <si>
    <t>1st year rental $/acre</t>
  </si>
  <si>
    <t>BLM WY Jun 23, 2020 Sale Notes</t>
  </si>
  <si>
    <t>Serial numbers</t>
  </si>
  <si>
    <t>Parcel ID</t>
  </si>
  <si>
    <t>GIS Tract #</t>
  </si>
  <si>
    <t>Acres</t>
  </si>
  <si>
    <t>County</t>
  </si>
  <si>
    <t>Description</t>
  </si>
  <si>
    <t>BLM Comments</t>
  </si>
  <si>
    <t>Avinash Notes &amp; Target $/acre Price</t>
  </si>
  <si>
    <t>Cold/Warm/Hot</t>
  </si>
  <si>
    <t>Permitting Activity</t>
  </si>
  <si>
    <t>Leasing Activity</t>
  </si>
  <si>
    <t>Old Production</t>
  </si>
  <si>
    <t>Last 4 Years Production</t>
  </si>
  <si>
    <t>Magnum Won (Y/N)</t>
  </si>
  <si>
    <t>Winning Bid</t>
  </si>
  <si>
    <t>Total Bid (Number on BLM Bid Sheet)</t>
  </si>
  <si>
    <t>Min Due</t>
  </si>
  <si>
    <t>Total Due</t>
  </si>
  <si>
    <t>Rough Econ Notes</t>
  </si>
  <si>
    <t>Quick Econ Calculator</t>
  </si>
  <si>
    <t>WY-2020-06-0390</t>
  </si>
  <si>
    <t>Niobrara County, WY</t>
  </si>
  <si>
    <t>WY T0410N, R0600W, 6TH PMSection: 007 LOT 9 (EXCL 1.00 AC RSVR ROW IN WYN07031)</t>
  </si>
  <si>
    <t>Oil</t>
  </si>
  <si>
    <t># of wells in unit</t>
  </si>
  <si>
    <t>Tract ? Variables - Comments</t>
  </si>
  <si>
    <t>WY-2020-06-0391</t>
  </si>
  <si>
    <t>Weston County, WY</t>
  </si>
  <si>
    <t>WY T0420N, R0610W, 6TH PMSection: 025 E2E2</t>
  </si>
  <si>
    <t>Gas</t>
  </si>
  <si>
    <t>Oil Production per well (Mbbl)</t>
  </si>
  <si>
    <t>WY-2020-06-0392</t>
  </si>
  <si>
    <t>WY T0370N, R0660W, 6TH PMSection: 019 LOT 4;Section: 019 SENE, SESW, S2SE;Section: 020 SWNE, SWNW, S2S2, NESE;Section: 021 NE, E2NW, S2;Section: 028 N2, SW, W2SE;Section: 029 ALL SUBDIVISIONS;Section: 030 SENW;Section: 033 N2NW, SWNW</t>
  </si>
  <si>
    <t>BOE Price mcf/bbl $</t>
  </si>
  <si>
    <t>Gas Production per well (MMcf)</t>
  </si>
  <si>
    <t>WY-2020-06-0388</t>
  </si>
  <si>
    <t>WY T0380N, R0660W, 6TH PMSection: 001 SENE, SW;Section: 002 LOTS 3,4;Section: 002 S2NW,S2;Section: 003 LOTS 1-4;Section: 003 S2N2;Section: 010 NE,N2NW, SESW, NESE;Section: 011 NW, N2SW, SESW, SE</t>
  </si>
  <si>
    <t>Unit (acres)</t>
  </si>
  <si>
    <t>MBOE ($ Equivalency) per well</t>
  </si>
  <si>
    <t>WY-2020-06-0410</t>
  </si>
  <si>
    <t>WY T0380N, R0660W, 6TH PMSection: 001 LOT 3;Section: 001 SENW;Section: 006 LOT 1;Section: 006 SENE,NESE;Section: 012 E2NE;Section: 019 LOT 4;Section: 019 SESW,SWSE;Section: 032 E2;Section: 033 NE, SENW, SW;Section: 035 ALL SUBDIVISIONS</t>
  </si>
  <si>
    <t>ORRI</t>
  </si>
  <si>
    <t>Gross Revenue</t>
  </si>
  <si>
    <t>WY-2020-06-0420</t>
  </si>
  <si>
    <t>WY T0380N, R0660W, 6TH PMSection: 004 LOTS 1,3,4;Section: 004 SENE,S2NW;Section: 005 LOTS 1-4;Section: 005 S2N2,SESE;Section: 008 NENE;Section: 009 N2N2,SENW;Section: 018 SENE, E2SE;Section: 019 E2NE</t>
  </si>
  <si>
    <t>Lease Acres</t>
  </si>
  <si>
    <t>RI Revenue Pro rata (unit &amp; ORRI)</t>
  </si>
  <si>
    <t>WY-2020-06-0434</t>
  </si>
  <si>
    <t>WY T0380N, R0660W, 6TH PMSection: 006 LOTS 2-6;Section: 006 SWNE,SENW,NESW,NWSE;Section: 032 W2</t>
  </si>
  <si>
    <t>RI Pro rata (unit &amp; ORRI)</t>
  </si>
  <si>
    <t>Breakeven $/acre for Parcel in Sale</t>
  </si>
  <si>
    <t>WY-2020-06-0404</t>
  </si>
  <si>
    <t>WY T0380N, R0660W, 6TH PMSection: 013 N2NE, SENE, NENW, SW, S2SE;Section: 014 NWNE;Section: 015 E2;Section: 026 N2NE, SWNE</t>
  </si>
  <si>
    <t>WY-2020-06-0441</t>
  </si>
  <si>
    <t>WY T0380N, R0660W, 6TH PMSection: 018 LOTS 2-4;Section: 018 E2SW,W2SE;Section: 019 LOTS 1-3;Section: 019 W2NE,E2NW,NESW,NWSE,SESE;Section: 020 SWSW</t>
  </si>
  <si>
    <t>WY-2020-06-0451</t>
  </si>
  <si>
    <t>WY T0380N, R0660W, 6TH PMSection: 021 SENE, E2SE</t>
  </si>
  <si>
    <t>WY-2020-06-0455</t>
  </si>
  <si>
    <t>WY T0440N, R0680W, 6TH PMSection: 010 E2,NENW,S2NW,N2SW</t>
  </si>
  <si>
    <t>WY-2020-06-0458</t>
  </si>
  <si>
    <t>Crook County, WY</t>
  </si>
  <si>
    <t>WY T0520N, R0680W, 6TH PMSection: 007 LOTS 5,10</t>
  </si>
  <si>
    <t>WY-2020-06-0423</t>
  </si>
  <si>
    <t>Converse County, WY</t>
  </si>
  <si>
    <t>WY T0380N, R0700W, 6TH PMSection: 017 N2;Section: 018 LOTS 1,2;Section: 018 NE,E2NW;Section: 032 S2SE;</t>
  </si>
  <si>
    <t>WY-2020-06-6764</t>
  </si>
  <si>
    <t>WY T0380N, R0700W, 6TH PMSection: 020 ALL SUBDIVISIONS</t>
  </si>
  <si>
    <t>WY-2020-06-0432</t>
  </si>
  <si>
    <t>WY T0380N, R0700W, 6TH PMSection: 030 LOTS 1-4;Section: 030 E2W2</t>
  </si>
  <si>
    <t>WY-2020-06-0435</t>
  </si>
  <si>
    <t>WY T0390N, R0700W, 6TH PMSection: 001 LOTS 3,4;Section: 001 S2N2,S2;Section: 002 LOTS 1,2;Section: 002 S2NE,SE</t>
  </si>
  <si>
    <t>WY-2020-06-0442</t>
  </si>
  <si>
    <t>WY T0390N, R0700W, 6TH PMSection: 017 SE;Section: 018 LOTS 3,4;Section: 018 NENW,SESW;Section: 019 LOTS 2-4;Section: 019 E2,E2SW</t>
  </si>
  <si>
    <t>WY-2020-06-6765</t>
  </si>
  <si>
    <t>WY T0390N, R0700W, 6TH PMSection: 018 LOTS 1,2;Section: 018 SENW</t>
  </si>
  <si>
    <t>WY-2020-06-6766</t>
  </si>
  <si>
    <t>WY T0390N, R0700W, 6TH PMSection: 018 NESW</t>
  </si>
  <si>
    <t>WY-2020-06-0452</t>
  </si>
  <si>
    <t>WY T0390N, R0700W, 6TH PMSection: 021 NW</t>
  </si>
  <si>
    <t>WY-2020-06-6767</t>
  </si>
  <si>
    <t>WY T0390N, R0700W, 6TH PMSection: 033 E2W2,W2E2</t>
  </si>
  <si>
    <t>WY-2020-06-0453</t>
  </si>
  <si>
    <t>Campbell County, WY</t>
  </si>
  <si>
    <t>WY T0440N, R0700W, 6TH PMSection: 001 LOTS 6,8,9,12-15;Section: 002 LOTS 12,13,19</t>
  </si>
  <si>
    <t>WY-2020-06-0456</t>
  </si>
  <si>
    <t>WY T0440N, R0700W, 6TH PMSection: 001 LOT 16</t>
  </si>
  <si>
    <t>WY-2020-06-0457</t>
  </si>
  <si>
    <t>WY T0440N, R0700W, 6TH PMSection: 003 LOTS 6,11,13</t>
  </si>
  <si>
    <t>WY-2020-06-0459</t>
  </si>
  <si>
    <t>WY T0440N, R0700W, 6TH PMSection: 012 LOT 1</t>
  </si>
  <si>
    <t>WY-2020-06-0460</t>
  </si>
  <si>
    <t>WY T0440N, R0700W, 6TH PMSection: 013 LOTS 1,2,4-10;Section: 013 NENW</t>
  </si>
  <si>
    <t>WY-2020-06-0462</t>
  </si>
  <si>
    <t>WY T0500N, R0700W, 6TH PMSection: 017 LOTS 1, 2, 7, 8, 11, 13, 14</t>
  </si>
  <si>
    <t>WY-2020-06-0413</t>
  </si>
  <si>
    <t>WY T0380N, R0710W, 6TH PMSection: 014 NW</t>
  </si>
  <si>
    <t>WY-2020-06-0414</t>
  </si>
  <si>
    <t>WY T0380N, R0710W, 6TH PMSection: 014 SW;Section: 024 E2NE;Section: 025 N2N2;Section: 034 N2NW,SWNW</t>
  </si>
  <si>
    <t>WY-2020-06-6768</t>
  </si>
  <si>
    <t>WY T0380N, R0710W, 6TH PMSection: 014 E2;Section: 023 N2</t>
  </si>
  <si>
    <t>WY-2020-06-0415</t>
  </si>
  <si>
    <t>WY T0380N, R0710W, 6TH PMSection: 023 N2S2,S2SE</t>
  </si>
  <si>
    <t>WY-2020-06-0416</t>
  </si>
  <si>
    <t>WY T0380N, R0710W, 6TH PMSection: 023 S2SW</t>
  </si>
  <si>
    <t>WY-2020-06-0417</t>
  </si>
  <si>
    <t>WY T0380N, R0710W, 6TH PMSection: 024 W2NE,NW</t>
  </si>
  <si>
    <t>WY-2020-06-6769</t>
  </si>
  <si>
    <t>WY T0380N, R0710W, 6TH PMSection: 024 S2</t>
  </si>
  <si>
    <t>WY-2020-06-0418</t>
  </si>
  <si>
    <t>WY T0380N, R0710W, 6TH PMSection: 026 NE</t>
  </si>
  <si>
    <t>WY-2020-06-6770</t>
  </si>
  <si>
    <t>WY T0380N, R0710W, 6TH PMSection: 026 W2</t>
  </si>
  <si>
    <t>WY-2020-06-0419</t>
  </si>
  <si>
    <t>WY T0380N, R0710W, 6TH PMSection: 027 W2</t>
  </si>
  <si>
    <t>WY-2020-06-6771</t>
  </si>
  <si>
    <t>WY T0380N, R0710W, 6TH PMSection: 027 E2</t>
  </si>
  <si>
    <t>WY-2020-06-6729</t>
  </si>
  <si>
    <t>WY T0380N, R0710W, 6TH PMSection: 034 NE,SENW;Section: 035 S2</t>
  </si>
  <si>
    <t>WY-2020-06-6772</t>
  </si>
  <si>
    <t>WY T0380N, R0710W, 6TH PMSection: 034 S2</t>
  </si>
  <si>
    <t>WY-2020-06-6773</t>
  </si>
  <si>
    <t>WY T0380N, R0710W, 6TH PMSection: 035 N2</t>
  </si>
  <si>
    <t>WY-2020-06-0421</t>
  </si>
  <si>
    <t>WY T0380N, R0720W, 6TH PMSection: 030 SESE:WY T0380N, R0730W, 6TH PMSection: 025 SWNW</t>
  </si>
  <si>
    <t>WY-2020-06-0422</t>
  </si>
  <si>
    <t>WY T0330N, R0730W, 6TH PMSection: 013 SENW,NESW,S2SW,SE;Section: 024 N2,N2SW,SE</t>
  </si>
  <si>
    <t>WY-2020-06-0424</t>
  </si>
  <si>
    <t>WY T0340N, R0730W, 6TH PMSection: 032 NENE, N2NW, SENW, W2SW, E2SW (EXCL 3.00 AC IN RSVR ROW WYC041610);Section: 033 W2E2,SENE,E2SE (EXCL 1.00 AC IN RSVR ROW WYD05730)</t>
  </si>
  <si>
    <t>WY-2020-06-0425</t>
  </si>
  <si>
    <t>WY T0350N, R0730W, 6TH PMSection: 023 SENE,S2;Section: 024 SW</t>
  </si>
  <si>
    <t>WY-2020-06-0426</t>
  </si>
  <si>
    <t>WY T0520N, R0740W, 6TH PMSection: 011 LOTS 3-6, 9-16;Section: 012 LOTS 11-14;Section: 013 LOTS 10-13;Section: 014 LOTS 3-6, 9-16;Section: 015 LOT 16</t>
  </si>
  <si>
    <t>WY-2020-06-0427</t>
  </si>
  <si>
    <t>WY T0380N, R0750W, 6TH PMSection: 008 SWSE;Section: 009 E2</t>
  </si>
  <si>
    <t>WY-2020-06-6730</t>
  </si>
  <si>
    <t>WY T0380N, R0750W, 6TH PMSection: 008 SESW</t>
  </si>
  <si>
    <t>WY-2020-06-0428</t>
  </si>
  <si>
    <t>WY T0400N, R0750W, 6TH PMSection: 004 LOTS 1,2;Section: 004 SWSW</t>
  </si>
  <si>
    <t>WY-2020-06-0429</t>
  </si>
  <si>
    <t>WY T0540N, R0750W, 6TH PMSection: 005 LOTS 5-12,15-18;Section: 006 LOTS 8-10,13-15;Section: 007 LOTS 5-7,10-12,15,18;Section: 008 LOTS 1-7,9-11;Section: 008 SENE, SWSW;Section: 009 LOTS 13-16;Section: 017 LOTS 3-5;Section: 017 NENW;Section: 018 7,10,15,18;Section: 019 NENW;Section: 028 LOT 1</t>
  </si>
  <si>
    <t>WY-2020-06-0430</t>
  </si>
  <si>
    <t>Sheridan County, WY</t>
  </si>
  <si>
    <t>WY T0530N, R0760W, 6TH PMSection: 005 LOTS 15, 18;Section: 028 LOTS 1-16;Section: 029 LOTS 1-16;Section: 032 LOTS 1-10, 15, 16;Section: 034 LOTS 11-14</t>
  </si>
  <si>
    <t>WY-2020-06-0431</t>
  </si>
  <si>
    <t>Natrona County, WY</t>
  </si>
  <si>
    <t>WY T0380N, R0810W, 6TH PMSection: 015 SW;Section: 022 W2;Section: 027 NW;Section: 028 N2</t>
  </si>
  <si>
    <t>WY-2020-06-6731</t>
  </si>
  <si>
    <t>WY T0390N, R0810W, 6TH PMSection: 029 SW;Section: 030 LOTS 3,4;Section: 030 E2SW,SE;Section: 031 LOTS 1-4;Section: 031 E2,E2W2;Section: 032 W2</t>
  </si>
  <si>
    <t>WY-2020-06-0433</t>
  </si>
  <si>
    <t>Carbon County, WY</t>
  </si>
  <si>
    <t>WY T0210N, R0850W, 6TH PMSection: 002 LOTS 1,8,13-22;Section: 002 S2;Section: 012 ALL SUBDIVISIONS:WY T0220N, R0850W, 6TH PMSection: 022 S2;Section: 026 ALL SUBDIVISIONS</t>
  </si>
  <si>
    <t>WY-2020-06-6733</t>
  </si>
  <si>
    <t>WY T0130N, R0910W, 6TH PMSection: 024 LOTS 3,4;Section: 024 NW,W2SE;Section: 025 LOTS 4,5;Section: 025 NW,N2SW;Section: 026 LOT 1;Section: 026 SENE,NESE</t>
  </si>
  <si>
    <t>WY-2020-06-0436</t>
  </si>
  <si>
    <t>WY T0130N, R0910W, 6TH PMSection: 034 LOTS 1-3;Section: 034 S2NE,N2SE;Section: 035 LOTS 1-3,6,7;Section: 035 W2NE,NWSE</t>
  </si>
  <si>
    <t>WY-2020-06-0437</t>
  </si>
  <si>
    <t>Sweetwater County, WY</t>
  </si>
  <si>
    <t>WY T0200N, R0910W, 6TH PMSection: 020 ALL</t>
  </si>
  <si>
    <t>WY-2020-06-0438</t>
  </si>
  <si>
    <t>WY T0230N, R0930W, 6TH PMSection: 001 LOTS 1-4;Section: 012 ALL</t>
  </si>
  <si>
    <t>WY-2020-06-0440</t>
  </si>
  <si>
    <t>WY T0240N, R0930W, 6TH PMSection: 025 N2, W2SW, SESW, SE</t>
  </si>
  <si>
    <t>WY-2020-06-6734</t>
  </si>
  <si>
    <t>Washakie County, WY</t>
  </si>
  <si>
    <t>WY T0470N, R0940W, 6TH PMSection: 008 LOTS 1-8;Section: 009 LOTS 1-16;Section: 013 LOTS 1-4;Section: 014 S2NE, NW;Section: 018 LOTS 5-20</t>
  </si>
  <si>
    <t>WY-2020-06-0443</t>
  </si>
  <si>
    <t>WY T0480N, R0940W, 6TH PMSection: 006 LOTS 9-14;;Section: 006 SWNE,SENW,E2SW,W2SE,SESE;Section: 007 LOTS 5-8;Section: 007 E2,E2W2:WY T0480N, R0950W, 6TH PMSection: 001 LOTS 5-8;Section: 001 S2N2,S2;Section: 012 ALL SUBDIVISIONS</t>
  </si>
  <si>
    <t>WY-2020-06-6735</t>
  </si>
  <si>
    <t>WY T0480N, R0940W, 6TH PMSection: 011 ALL SUBDIVISIONS;Section: 031 LOTS 6-11,13-20</t>
  </si>
  <si>
    <t>WY-2020-06-6736</t>
  </si>
  <si>
    <t>WY T0480N, R0940W, 6TH PMSection: 018 LOTS 5-8;Section: 018 E2,E2W2;Section: 019 LOTS 5-8;Section: 019 E2,E2W2:WY T0480N, R0950W, 6TH PMSection: 013 ALL SUBDIVISIONS</t>
  </si>
  <si>
    <t>WY-2020-06-6862</t>
  </si>
  <si>
    <t>Big Horn County, WY</t>
  </si>
  <si>
    <t>WY T0490N, R0940W, 6TH PMSection: 019 SESE;Section: 020 SW,W2SE,SESE;Section: 021 S2SW,SWSE;Section: 027 NWNW,S2NW,SW,W2SE,SESE;Section: 029 ALL SUBDIVISIONS;Section: 030 E2E2</t>
  </si>
  <si>
    <t>WY-2020-06-6864</t>
  </si>
  <si>
    <t>WY T0490N, R0940W, 6TH PMSection: 019 SENE, NESE;Section: 020 N2, NESE;Section: 021 N2, N2S2,SESE;Section: 022 NWNW, S2NW, SW, W2SE, SESE;Section: 026 SW, W2SE, SESE;Section: 027 NESE;Section: 027 NE, NENW;Section: 030 SESW,W2SE;Section: 035 NE,NENW</t>
  </si>
  <si>
    <t>WY-2020-06-0668</t>
  </si>
  <si>
    <t>WY T0490N, R0940W, 6TH PMSection: 031 LOTS 1-4;Section: 031 E2,E2W2;Section: 032 N2, SW;Section: 035 NWNW,S2NW,S2</t>
  </si>
  <si>
    <t>WY-2020-06-6740</t>
  </si>
  <si>
    <t>WY T0470N, R0950W, 6TH PMSection: 001 LOTS 5-20;Section: 002 LOTS 5-20;Section: 011 LOTS 1-16</t>
  </si>
  <si>
    <t>WY-2020-06-6741</t>
  </si>
  <si>
    <t>WY T0470N, R0950W, 6TH PMSection: 003 LOTS 5-20;Section: 004 LOTS 5-20;Section: 010 LOTS 1-16</t>
  </si>
  <si>
    <t>WY-2020-06-6742</t>
  </si>
  <si>
    <t>WY T0470N, R0950W, 6TH PMSection: 005 LOTS 5-20;Section: 006 LOTS 8-23;Section: 007 LOTS 5-20</t>
  </si>
  <si>
    <t>WY-2020-06-6743</t>
  </si>
  <si>
    <t>WY T0470N, R0950W, 6TH PMSection: 015 LOTS 1-16;Section: 017 LOTS 1-16;Section: 021 LOTS 3-6;Section: 029 LOTS 2-6;Section: 030 LOTS 5-12</t>
  </si>
  <si>
    <t>WY-2020-06-6744</t>
  </si>
  <si>
    <t>WY T0470N, R0950W, 6TH PMSection: 018 LOTS 5-20;Section: 019 LOTS 5-20;Section: 020 LOTS 1-16</t>
  </si>
  <si>
    <t>WY-2020-06-0445</t>
  </si>
  <si>
    <t>WY T0480N, R0950W, 6TH PMSection: 002 LOTS 5-8;Section: 002 S2N2,S2Section: 003 LOTS 5-20;Section: 010 LOTS 1-16;Section: 011 ALL SUBDIVISIONS</t>
  </si>
  <si>
    <t>WY-2020-06-0446</t>
  </si>
  <si>
    <t>WY T0480N, R0950W, 6TH PMSection: 004 LOTS 5-20;Section: 005 LOTS 5-20;Section: 008 LOTS 1-16;Section: 009 LOTS 1-16</t>
  </si>
  <si>
    <t>WY-2020-06-0448</t>
  </si>
  <si>
    <t>WY T0480N, R0950W, 6TH PMSection: 006 LOTS 8-23;Section: 007 LOTS 5-20</t>
  </si>
  <si>
    <t>WY-2020-06-6746</t>
  </si>
  <si>
    <t>WY T0480N, R0950W, 6TH PMSection: 014 ALL SUBDIVISIONS;Section: 015 LOTS 1-16;Section: 023 ALL SUBDIVISIONS</t>
  </si>
  <si>
    <t>WY-2020-06-6747</t>
  </si>
  <si>
    <t>WY T0480N, R0950W, 6TH PMSection: 017 LOTS 1-16;Section: 018 LOTS 5-20;Section: 019 LOTS 5-20</t>
  </si>
  <si>
    <t>WY-2020-06-6748</t>
  </si>
  <si>
    <t>WY T0480N, R0950W, 6TH PMSection: 020 LOTS 1-16;Section: 021 LOTS 1-16;Section: 022 LOTS 1-16</t>
  </si>
  <si>
    <t>WY-2020-06-6749</t>
  </si>
  <si>
    <t>WY T0480N, R0950W, 6TH PMSection: 026 ALL SUBDIVISIONS;Section: 027 LOTS 1-16;Section: 035 ALL SUBDIVISIONS</t>
  </si>
  <si>
    <t>WY-2020-06-0454</t>
  </si>
  <si>
    <t>WY T0480N, R0950W, 6TH PMSection: 028 LOTS 1-16;Section: 033 LOTS 1-16;Section: 034 LOTS 1-16</t>
  </si>
  <si>
    <t>WY-2020-06-6750</t>
  </si>
  <si>
    <t>WY T0480N, R0950W, 6TH PMSection: 029 LOTS 1-16;Section: 030 LOTS 5-20;Section: 032 LOTS 1-16</t>
  </si>
  <si>
    <t>WY-2020-06-6751</t>
  </si>
  <si>
    <t>WY T0470N, R0960W, 6TH PMSection: 001 LOTS 5-20;Section: 002 LOTS 5-20;Section: 012 LOTS 1-16</t>
  </si>
  <si>
    <t>WY-2020-06-6776</t>
  </si>
  <si>
    <t>WY T0470N, R0960W, 6TH PMSection: 003 LOTS 5-20;Section: 004 LOTS 5,12,13,20;Section: 009 LOTS 1-3, 6-11, 13-16;Section: 010 LOTS 1-16</t>
  </si>
  <si>
    <t>WY-2020-06-6866</t>
  </si>
  <si>
    <t>WY T0470N, R0960W, 6TH PMSection: 004 LOTS 6-11, 14-19;Section: 005 LOTS 13, 14, 19, 20;Section: 009 LOTS 4,5,12;Section: 020 LOT 5;Section: 021 LOTS 5,16;Section: 021 LOTS 10-15;Section: 027 LOTS 1-3, 7, 8;Section: 027 LOT 4Section: 028 LOTS 1, 2;Section: 029 LOTS 1-4;Section: 031 LOTS 5-12</t>
  </si>
  <si>
    <t>WY-2020-06-6754</t>
  </si>
  <si>
    <t>WY T0470N, R0960W, 6TH PMSection: 011 LOTS 1-16;Section: 013 LOTS 1-16;Section: 014 LOTS 1-16</t>
  </si>
  <si>
    <t>WY-2020-06-6755</t>
  </si>
  <si>
    <t>WY T0470N, R0960W, 6TH PMSection: 015 LOTS 1-16;Section: 021 LOTS 1-4,6-9;Section: 022 LOTS 1-16</t>
  </si>
  <si>
    <t>WY-2020-06-0461</t>
  </si>
  <si>
    <t>WY T0470N, R0960W, 6TH PMSection: 023 LOTS 1-16;Section: 024 LOTS 1-16;Section: 025 LOTS 1-8;Section: 026 LOTS 1-8</t>
  </si>
  <si>
    <t>WY-2020-06-0449</t>
  </si>
  <si>
    <t>WY T0480N, R0960W, 6TH PMSection: 001 LOTS 5-20;Section: 012 LOTS 1-16</t>
  </si>
  <si>
    <t>WY-2020-06-6756</t>
  </si>
  <si>
    <t>WY T0480N, R0960W, 6TH PMSection: 002 LOTS 5-20;Section: 011 LOTS 1-16</t>
  </si>
  <si>
    <t>WY-2020-06-6757</t>
  </si>
  <si>
    <t>WY T0480N, R0960W, 6TH PMSection: 004 LOTS 5-20;Section: 005 LOTS 5-20;Section: 006 LOTS 8-18, 22, 23;Section: 008 LOTS 1-3, 7-9</t>
  </si>
  <si>
    <t>WY-2020-06-6775</t>
  </si>
  <si>
    <t>WY T0480N, R0960W, 6TH PMSection: 006 LOTS 19, 21;Section: 007 LOTS 5-7, 10-15, 18, 19;Section: 008 LOTS 4-6, 11, 12;Section: 019 LOTS 19, 20;Section: 020  LOTS 9, 10, 13-16;Section: 021 LOTS 6,11-13</t>
  </si>
  <si>
    <t>WY-2020-06-0464</t>
  </si>
  <si>
    <t>WY T0480N, R0960W, 6TH PMSection: 009 LOTS 1-16;Section: 010 LOTS 1-16;Section: 015 LOTS 1-16</t>
  </si>
  <si>
    <t>WY-2020-06-0465</t>
  </si>
  <si>
    <t>WY T0480N, R0960W, 6TH PMSection: 013 LOTS 1-16;Section: 014 LOTS 1-16;Section: 024 LOTS 1-16</t>
  </si>
  <si>
    <t>WY-2020-06-0466</t>
  </si>
  <si>
    <t>WY T0480N, R0960W, 6TH PMSection: 021 LOTS 1,2, 7-10, 14-16;Section: 022 LOTS 1-16;Section: 023 LOTS 1-16;Section: 027 LOTS 1-16</t>
  </si>
  <si>
    <t>WY-2020-06-0467</t>
  </si>
  <si>
    <t>WY T0480N, R0960W, 6TH PMSection: 025 LOTS 1-16;Section: 026 LOTS 1-16;Section: 031 LOTS 5-20</t>
  </si>
  <si>
    <t>WY-2020-06-0468</t>
  </si>
  <si>
    <t>WY T0480N, R0960W, 6TH PMSection: 028 LOTS 1-16;Section: 033 LOTS 1-11, 15, 16;Section: 034 LOTS 1-16;Section: 035 LOTS 1-16</t>
  </si>
  <si>
    <t>WY-2020-06-0469</t>
  </si>
  <si>
    <t>WY T0480N, R0960W, 6TH PMSection: 029 LOTS 1-16;Section: 030 LOTS 5-20;Section: 032 LOTS 1-16;Section: 033 LOTS 12-14</t>
  </si>
  <si>
    <t>WY-2020-06-0470</t>
  </si>
  <si>
    <t>WY T0490N, R0960W, 6TH PMSection: 001 LOT 8;Section: 001 S2N2,S2Section: 002 LOTS 5-8;Section: 002 S2N2,S2Section: 011 ALL SUBDIVISIONS;Section: 012 ALL SUBDIVISIONS</t>
  </si>
  <si>
    <t>WY-2020-06-6869</t>
  </si>
  <si>
    <t>WY T0490N, R0960W, 6TH PMSection: 001 LOTS 5-7;Section: 003 LOTS 6-8;Section: 003 SWNE,S2NW,SW,W2SE;Section: 004 LOST 5-8;Section: 004 S2N2,S2;Section: 008 ALL SUBDIVISIONS;Section: 009 NESW,NWSE;Section: 009 N2;Section: 010 N2NW</t>
  </si>
  <si>
    <t>WY-2020-06-0471</t>
  </si>
  <si>
    <t>WY T0490N, R0960W, 6TH PMSection: 003 LOT 5;Section: 003 SENE,E2SE;Section: 009 LOTS 1-4;Section: 009 39 LOTS 5-8;Section: 009 NESE;Section: 013 ALL SUBDIVISIONS;Section: 014 ALL SUBDIVISIONS;Section: 015 LOTS 1,4,5,8;Section: 015 39 LOTS 2,3,6,7;Section: 015 E2,E2W2</t>
  </si>
  <si>
    <t>WY-2020-06-0473</t>
  </si>
  <si>
    <t>WY T0490N, R0960W, 6TH PMSection: 005 LOTS 5-8;Section: 005 S2N2,S2;Section: 006 LOTS 8-14;Section: 006 S2NE,SENW,E2SW,SE;Section: 007 LOTS 5-8;Section: 007 E2,E2W2:WY T0490N, R0970W, 6TH PMSection: 001 5-8;Section: 001 S2N2,S2</t>
  </si>
  <si>
    <t>WY-2020-06-0474</t>
  </si>
  <si>
    <t>WY T0490N, R0960W, 6TH PMSection: 017 NENE,S2N2,S2;Section: 020 N2,E2SW,SE;Section: 021 ALL SUBDIVISIONS;Section: 029 E2,E2W2</t>
  </si>
  <si>
    <t>WY-2020-06-6870</t>
  </si>
  <si>
    <t>WY T0490N, R0960W, 6TH PMSection: 017 NWNE;Section: 017 N2NW;Section: 018  LOTS 5-8;Section: 018 E2,E2W2;Section: 019 LOST 5-8;Section: 019 E2,E2W2:WY T0490N, R0970W, 6TH PMSection: 013 ALL SUBDIVISIONS</t>
  </si>
  <si>
    <t>WY-2020-06-0674</t>
  </si>
  <si>
    <t>WY T0490N, R0970W, 6TH PMSection: 024 N2, SE;Section: 025 LOT 1;Section: 025 NE, NESE:WY T0490N, R0960W, 6TH PMSection: 020 W2SW;Section: 029 W2W2;Section: 030 LOTS 5-7;Section: 030 E2,E2NW,NESW;Section: 031 E2NE, NESE;Section: 032 W2W2</t>
  </si>
  <si>
    <t>WY-2020-06-0476</t>
  </si>
  <si>
    <t>WY T0490N, R0960W, 6TH PMSection: 022 ALL SUBDIVISIONS;Section: 023 ALL SUBDIVISIONS;Section: 027 ALL SUBDIVISIONS;Section: 028 ALL SUBDIVISIONS</t>
  </si>
  <si>
    <t>WY-2020-06-0477</t>
  </si>
  <si>
    <t>WY T0490N, R0960W, 6TH PMSection: 024 ALL SUBDIVISIONS;Section: 025 LOTS 1-4;Section: 025 TR 40 LOTS 5-8;Section: 025 N2,N2S2;Section: 026 ALL SUBDIVISIONS</t>
  </si>
  <si>
    <t>WY-2020-06-0479</t>
  </si>
  <si>
    <t>WY T0490N, R0960W, 6TH PMSection: 032 E2,E2W2;Section: 033 ALL SUBDIVISIONS;Section: 034 ALL SUBDIVISIONS;Section: 035 ALL SUBDIVISIONS</t>
  </si>
  <si>
    <t>WY-2020-06-0480</t>
  </si>
  <si>
    <t>WY T0470N, R0970W, 6TH PMSection: 001 LOTS 1-4;Section: 001 S2N2,S2;Section: 002 LOTS 1-4;Section: 002 S2N2,S2Section: 012 ALL SUBDIVISIONS</t>
  </si>
  <si>
    <t>WY-2020-06-0481</t>
  </si>
  <si>
    <t>WY T0470N, R0970W, 6TH PMSection: 003 LOTS 1, 2;Section: 003 S2NE,SESection: 010 NE;Section: 011 ALL SUBDIVISIONS;Section: 015 E2NE</t>
  </si>
  <si>
    <t>WY-2020-06-0482</t>
  </si>
  <si>
    <t>WY T0480N, R0970W, 6TH PMSection: 006 LOTS 8-16;Section: 006 S2;Section: 007 N2:WY T0480N, R0980W, 6TH PMSection: 011 NENE;Section: 012 NE, N2NW</t>
  </si>
  <si>
    <t>WY-2020-06-0485</t>
  </si>
  <si>
    <t>WY T0480N, R0970W, 6TH PMSection: 024 SWSE;Section: 025 LOTS 1-4;Section: 025 W2E2,W2;Section: 034 LOTS 1-3;Section: 034 NE,E2NW,NESW,N2SE;Section: 035 LOTS 1-4;Section: 035 N2,N2S2</t>
  </si>
  <si>
    <t>WY-2020-06-6758</t>
  </si>
  <si>
    <t>WY T0480N, R0970W, 6TH PMSection: 026 NE,E2NW,SWNW,S2;Section: 027 S2N2,S2</t>
  </si>
  <si>
    <t>WY-2020-06-0487</t>
  </si>
  <si>
    <t>Park and Big Horn, WY</t>
  </si>
  <si>
    <t>WY T0490N, R0970W, 6TH PMSection: 031 LOTS 5-8;Section: 031 E2,E2W2:WY T0480N, R0980W, 6TH PMSection: 001 5-16;Section: 001 S2;Section: 002 LOTS 5-16;Section: 002 S2</t>
  </si>
  <si>
    <t>WY-2020-06-0486</t>
  </si>
  <si>
    <t>WY T0490N, R0970W, 6TH PMSection: 032 ALL SUBDIVISIONS</t>
  </si>
  <si>
    <t>WY-2020-06-0488</t>
  </si>
  <si>
    <t>WY T0120N, R1000W, 6TH PMSection: 005 LOTS 3,4;Section: 005 S2NW;Section: 006 LOTS 1-3, 10, 11;Section: 006 S2NE,SENW,E2SW,SE:WY T0130N, R1000W, 6TH PMSection: 029 SESW,SE;Section: 032 ALL;Section: 033 SE</t>
  </si>
  <si>
    <t>WY-2020-06-0489</t>
  </si>
  <si>
    <t>WY T0130N, R1000W, 6TH PMSection: 006 LOTS 10, 11;Section: 006 NESW,SE;Section: 007 E2;Section: 008 N2,N2S2,SWSW,SWSE</t>
  </si>
  <si>
    <t>WY-2020-06-0490</t>
  </si>
  <si>
    <t>WY T0130N, R1000W, 6TH PMSection: 014 SE;Section: 023 NE,S2;Section: 026 N2,SW,N2SE;Section: 027 N2,SW,N2SE;Section: 028 ALL;Section: 029 NE</t>
  </si>
  <si>
    <t>WY-2020-06-0491</t>
  </si>
  <si>
    <t>Park County, WY</t>
  </si>
  <si>
    <t>WY T0480N, R1010W, 6TH PMSection: 005 SW;Section: 006 LOTS 1-7;Section: 006 S2NE,SENW,E2SW,SE</t>
  </si>
  <si>
    <t>WY-2020-06-0492</t>
  </si>
  <si>
    <t>WY T0480N, R1010W, 6TH PMSection: 007 E2;Section: 008 W2NE,SENE,W2,SE</t>
  </si>
  <si>
    <t>WY-2020-06-0493</t>
  </si>
  <si>
    <t>WY T0480N, R1010W, 6TH PMSection: 009 S2;Section: 010 S2</t>
  </si>
  <si>
    <t>WY-2020-06-6759</t>
  </si>
  <si>
    <t>WY T0480N, R1010W, 6TH PMSection: 010 N2</t>
  </si>
  <si>
    <t>WY-2020-06-0495</t>
  </si>
  <si>
    <t>WY T0480N, R1010W, 6TH PMSection: 015 E2</t>
  </si>
  <si>
    <t>WY-2020-06-0496</t>
  </si>
  <si>
    <t>WY T0560N, R1010W, 6TH PMSection: 028 LOTS 2-4</t>
  </si>
  <si>
    <t>WY-2020-06-0504</t>
  </si>
  <si>
    <t>WY T0150N, R1100W, 6TH PMSection: 018 N2NE,NENW,SE;Section: 019 LOTS 5-8;Section: 019 E2,E2W2;Section: 020 ALL SUBDIVISIONS;Section: 021 W2;Section: 030 LOTS 5-8;Section: 030 E2,E2W2</t>
  </si>
  <si>
    <t>WY-2020-06-0498</t>
  </si>
  <si>
    <t>WY T0140N, R1110W, 6TH PMSection: 014 ALL SUBDIVISIONS;Section: 015 ALL SUBDIVISIONS;Section: 022 LOT 1;Section: 022 TR LOT 2 OF TRACT 38;Section: 022 N2NE,SWNE,W2,W2SE,SESE;Section: 023 LOTS 3,6,18;Section: 023 LOTS 2,4 OF TRACT 38;Section: 023 W2NE,N2NW</t>
  </si>
  <si>
    <t>WY-2020-06-0511</t>
  </si>
  <si>
    <t>WY T0150N, R1110W, 6TH PMSection: 024 ALL SUBDIVISIONS;Section: 025 ALL SUBDIVISIONS;Section: 026 ALL SUBDIVISIONS;Section: 035 ALL SUBDIVISIONS</t>
  </si>
  <si>
    <t>WY-2020-06-6760</t>
  </si>
  <si>
    <t>Sublette County, WY</t>
  </si>
  <si>
    <t>WY T0300N, R1120W, 6TH PMSection: 001 LOTS 1-4;Section: 001 S2N2,SW;Section: 002 LOTS 1,2;Section: 002 S2NE;Section: 004 LOTS 1-4;Section: 004 S2N2;Section: 012 SENW,SWNE;Section: 013 SENE;Section: 014 NENW;Section: 017 NWNW;Section: 017 NENW (EXCL 2.00 AC IN RSVR ROW WYE02052;Section: 018 LOT 5;Section: 020 E2SW,W2SE;Section: 020 SWNE,SENW (EXCL 5.00 AC IN RSVR ROW WYE02052)</t>
  </si>
  <si>
    <t>WY-2020-06-6761</t>
  </si>
  <si>
    <t>WY T0300N, R1120W, 6TH PMSection: 003 LOTS 2-4;Section: 003 S2N2, E2SE;Section: 010 NE;Section: 011 N2, N2S2, SESW;Section: 012 W2NW, N2S2, SWSW, SESE;Section: 013 NENE</t>
  </si>
  <si>
    <t>WY-2020-06-0506</t>
  </si>
  <si>
    <t>Uinta County, WY</t>
  </si>
  <si>
    <t>WY T0150N, R1130W, 6TH PMSection: 008 E2, NWSW;Section: 016 W2NW, N2SW;Section: 017 NE, S2</t>
  </si>
  <si>
    <t>WY-2020-06-6762</t>
  </si>
  <si>
    <t>Lincoln County, WY</t>
  </si>
  <si>
    <t>WY T0210N, R1130W, 6TH PMSection: 020 LOTS 1-4, 7-10;Section: 020 LOT 6 (EXCL 1.37 AC IN RR ROW WYW0294446);Section: 022 LOTS 1, 2, 5;Section: 022 N2N2,S2NE;Section: 024 LOTS 1-4;Section: 024 W2E2;Section: 028 ALL SUBDIVISIONS;Section: 032 1-4;Section: 032 E2,E2W2</t>
  </si>
  <si>
    <t>WY-2020-06-0508</t>
  </si>
  <si>
    <t>WY T0200N, R1140W, 6TH PMSection: 004 LOTS 1-4;Section: 004 S2;Section: 006 LOTS 1-6;Section: 006 E2SW,SE;Section: 018 LOTS 1-4;Section: 018 E2W2:WY T0200N, R1150W, 6TH PMSection: 034 ALL SUBDIVISIONS</t>
  </si>
  <si>
    <t>WY-2020-06-0513</t>
  </si>
  <si>
    <t>WY T0200N, R1140W, 6TH PMSection: 012 W2W2;Section: 014 W2, SESE;Section: 022 W2</t>
  </si>
  <si>
    <t>WY-2020-06-0510</t>
  </si>
  <si>
    <t>WY T0210N, R1140W, 6TH PMSection: 016 LOTS 1-5</t>
  </si>
  <si>
    <t>WY-2020-06-6763</t>
  </si>
  <si>
    <t>WY T0250N, R1140W, 6TH PMSection: 019 N2, SW, S2SE;Section: 020 N2, NWSW, S2S2, NESE</t>
  </si>
  <si>
    <t>WY-2020-06-0515</t>
  </si>
  <si>
    <t>WY T0250N, R1140W, 6TH PMSection: 021 ALL SUBDIVISIONS;Section: 028 ALL SUBDIVISIONS;Section: 029 N2, NESW, S2SW, SE;Section: 030 NE, N2NW, SWNW, SW, W2SE, SESE,</t>
  </si>
  <si>
    <t>WY-2020-06-0514</t>
  </si>
  <si>
    <t>WY T0210N, R1150W, 6TH PMSection: 006 LOTS 1-7;Section: 006 S2NE,SENW,E2SW,SE;Section: 007 LOTS 1,2;Section: 007 E2,E2NW;Section: 018 E2,SENW,SESW;Section: 019 LOTS 1-3;Section: 019 N2NE,E2NW,NESW;Section: 030 LOTS 1-4;Section: 030 E2,E2W2</t>
  </si>
  <si>
    <t>Parcel</t>
  </si>
  <si>
    <t>Legal Description</t>
  </si>
  <si>
    <t>Bid Status</t>
  </si>
  <si>
    <t>Closing Information</t>
  </si>
  <si>
    <t>Counties Find</t>
  </si>
  <si>
    <t>Acres Find</t>
  </si>
  <si>
    <t>Township Find</t>
  </si>
  <si>
    <t>Serial # Find</t>
  </si>
  <si>
    <t>Parcel ID Find</t>
  </si>
  <si>
    <t>Section Find</t>
  </si>
  <si>
    <t>Section Values</t>
  </si>
  <si>
    <t>Justified Fills</t>
  </si>
  <si>
    <t>Lease #</t>
  </si>
  <si>
    <t>Parcel ID: 8405</t>
  </si>
  <si>
    <t>Weld County, CO</t>
  </si>
  <si>
    <t>Opening Bid: $2/acre</t>
  </si>
  <si>
    <t>Open for Bidding:</t>
  </si>
  <si>
    <t>Serial #: COC79285</t>
  </si>
  <si>
    <t>T.0080N.,R.0580W.,6TH PM </t>
  </si>
  <si>
    <t>12/13/18 10:00 AM CST</t>
  </si>
  <si>
    <t>Parcel Info</t>
  </si>
  <si>
    <t>Section 17: S2SW; </t>
  </si>
  <si>
    <t>View on Map</t>
  </si>
  <si>
    <t>U.S. Interest 67.11%</t>
  </si>
  <si>
    <t>Note: Bidding is calculated using gross acres</t>
  </si>
  <si>
    <t>Acres: 80.00</t>
  </si>
  <si>
    <t>Parcel ID: 8406</t>
  </si>
  <si>
    <t>Serial #: COC79286</t>
  </si>
  <si>
    <t>12/13/18 10:02 AM CST</t>
  </si>
  <si>
    <t>Section 20: SW; </t>
  </si>
  <si>
    <t>U.S. Interest 4.17%</t>
  </si>
  <si>
    <t>Sec. 005 E2E2SE;</t>
  </si>
  <si>
    <t>Sec. 005 E2E2SE; Sec. 007 W2E2;</t>
  </si>
  <si>
    <t>Acres: 160.00</t>
  </si>
  <si>
    <t>Parcel ID: 8410</t>
  </si>
  <si>
    <t>Serial #: COC79287</t>
  </si>
  <si>
    <t>T.0110N.,R.0590W.,6TH PM </t>
  </si>
  <si>
    <t>12/13/18 10:04 AM CST</t>
  </si>
  <si>
    <t>Section 2: Lot 2-4; U.S. Interest 100.00%</t>
  </si>
  <si>
    <t>Section 2: S2N2; U.S. Interest 100.00%</t>
  </si>
  <si>
    <t>Sec. 021 NENE;</t>
  </si>
  <si>
    <t>Sec. 021 NENE; Sec. 025 S2SWSE (EXCL 2.00 AC Sec. 025 IN RSVR ROW WYC041614);</t>
  </si>
  <si>
    <t>Section 2: LOT 1 EXCL 6.351 AC; U.S. Interest 100.00%</t>
  </si>
  <si>
    <t>Sec. 025 S2SWSE (EXCL 2.00 AC</t>
  </si>
  <si>
    <t>Sec. 025 IN RSVR ROW WYC041614);</t>
  </si>
  <si>
    <t>Acres: 315.64</t>
  </si>
  <si>
    <t>Parcel ID: 8347</t>
  </si>
  <si>
    <t>Serial #: COC79288</t>
  </si>
  <si>
    <t>T.0090N.,R.0600W.,6TH PM </t>
  </si>
  <si>
    <t>12/13/18 10:06 AM CST</t>
  </si>
  <si>
    <t>Section 21: W2; </t>
  </si>
  <si>
    <t>Sec. 025 N2SWSE (EXCL 2.00 AC IN</t>
  </si>
  <si>
    <t>Sec. 025 N2SWSE (EXCL 2.00 AC IN Sec. 025 RSVR ROW WYC041614);</t>
  </si>
  <si>
    <t>U.S. Interest 50.00%</t>
  </si>
  <si>
    <t>Acres: 320.00</t>
  </si>
  <si>
    <t>Parcel ID: 8411</t>
  </si>
  <si>
    <t>Serial #: COC79289</t>
  </si>
  <si>
    <t>T.0110N.,R.0600W.,6TH PM </t>
  </si>
  <si>
    <t>12/13/18 10:08 AM CST</t>
  </si>
  <si>
    <t>Sec. 014 SW;</t>
  </si>
  <si>
    <t>Section 34: N2; </t>
  </si>
  <si>
    <t>U.S. Interest 100.00%</t>
  </si>
  <si>
    <t>Sec. 029 NENE;</t>
  </si>
  <si>
    <t>Parcel ID: 8412</t>
  </si>
  <si>
    <t>Serial #: COC79290</t>
  </si>
  <si>
    <t>T.0110N.,R.0610W.,6TH PM </t>
  </si>
  <si>
    <t>12/13/18 10:10 AM CST</t>
  </si>
  <si>
    <t>Section 13: N2; </t>
  </si>
  <si>
    <t>Sec. 028 SWSW;</t>
  </si>
  <si>
    <t>Sec. 028 SWSW; Sec. 029 E2SW,S2SE; Sec. 032 NWNE,NENW;</t>
  </si>
  <si>
    <t>Sec. 032 NWNE,NENW;</t>
  </si>
  <si>
    <t>Parcel ID: 8136</t>
  </si>
  <si>
    <t>Mesa County, CO</t>
  </si>
  <si>
    <t>Serial #: COC79300</t>
  </si>
  <si>
    <t>T.0090S.,R.0940W.,6TH PM </t>
  </si>
  <si>
    <t>12/13/18 10:30 AM CST</t>
  </si>
  <si>
    <t>Section 4: Lot 2-4; </t>
  </si>
  <si>
    <t>Section 5: Lot 1;</t>
  </si>
  <si>
    <t>Acres: 164.73</t>
  </si>
  <si>
    <t>Sec. 011 LOTS 3,4,7,8;</t>
  </si>
  <si>
    <t>Parcel ID: 8137</t>
  </si>
  <si>
    <t>Sec. 012 ALL;</t>
  </si>
  <si>
    <t>Serial #: COC79301</t>
  </si>
  <si>
    <t>12/13/18 10:32 AM CST</t>
  </si>
  <si>
    <t>Sec. 013 W2W2;</t>
  </si>
  <si>
    <t>Section 21: SWSW;</t>
  </si>
  <si>
    <t>Sec. 014 LOTS 4,8;</t>
  </si>
  <si>
    <t>Acres: 40.00</t>
  </si>
  <si>
    <t>Sec. 014 SWSE;</t>
  </si>
  <si>
    <t>Parcel ID: 8353</t>
  </si>
  <si>
    <t>Rio Blanco County, CO</t>
  </si>
  <si>
    <t>Sec. 023 LOTS 1,2,5,6;</t>
  </si>
  <si>
    <t>Serial #: COC79305</t>
  </si>
  <si>
    <t>T.0030S.,R.0970W.,6TH PM </t>
  </si>
  <si>
    <t>12/13/18 10:40 AM CST</t>
  </si>
  <si>
    <t>Section 11: E2; </t>
  </si>
  <si>
    <t>Section 12: ALL;</t>
  </si>
  <si>
    <t>Acres: 960.00</t>
  </si>
  <si>
    <t>Parcel ID: 8408</t>
  </si>
  <si>
    <t>Sec. 004 LOTS 1-4;</t>
  </si>
  <si>
    <t>Sec. 004 LOTS 1-4; Sec. 004 S2N2; Sec. 005 LOTS 1-4; Sec. 005 S2N2,S2;</t>
  </si>
  <si>
    <t>Serial #: COC79320</t>
  </si>
  <si>
    <t>T.0100N.,R.0590W.,6TH PM </t>
  </si>
  <si>
    <t>12/13/18 11:08 AM CST</t>
  </si>
  <si>
    <t>Section 4: Lot 15-18; </t>
  </si>
  <si>
    <t>Sec. 005 LOTS 1-4;</t>
  </si>
  <si>
    <t>Section 6: Lot 8-11; </t>
  </si>
  <si>
    <t>Sec. 005 S2N2,S2;</t>
  </si>
  <si>
    <t>Section 10: S2SE; </t>
  </si>
  <si>
    <t>Section 23: S2NE;</t>
  </si>
  <si>
    <t>Acres: 456.44</t>
  </si>
  <si>
    <t>Parcel ID: 8407</t>
  </si>
  <si>
    <t>Sec. 007 NE,E2SE;</t>
  </si>
  <si>
    <t>Sec. 007 NE,E2SE; Sec. 018 LOTS 1-3; Sec. 018 E2NE,SE;</t>
  </si>
  <si>
    <t>Serial #: COC79321</t>
  </si>
  <si>
    <t>12/13/18 11:10 AM CST</t>
  </si>
  <si>
    <t>Sec. 018 LOTS 1-3;</t>
  </si>
  <si>
    <t>Section 2: N2SE;</t>
  </si>
  <si>
    <t>Sec. 018 E2NE,SE;</t>
  </si>
  <si>
    <t>Parcel ID: 8373</t>
  </si>
  <si>
    <t>Serial #: COC79322</t>
  </si>
  <si>
    <t>T.0040N.,R.0610W.,6TH PM </t>
  </si>
  <si>
    <t>12/13/18 11:12 AM CST</t>
  </si>
  <si>
    <t>Section 5: SWSE EXCL C0123882; </t>
  </si>
  <si>
    <t>Sec. 019 E2;</t>
  </si>
  <si>
    <t>Section 7: LOT 3 EXCL C0123882;</t>
  </si>
  <si>
    <t>Acres: 1.49</t>
  </si>
  <si>
    <t>Parcel ID: 8409</t>
  </si>
  <si>
    <t>Serial #: COC79323</t>
  </si>
  <si>
    <t>T.0100N.,R.0610W.,6TH PM </t>
  </si>
  <si>
    <t>12/13/18 11:14 AM CST</t>
  </si>
  <si>
    <t>Section 29: SWNE, N2SE;</t>
  </si>
  <si>
    <t>Acres: 120.00</t>
  </si>
  <si>
    <t>Parcel ID: 8257</t>
  </si>
  <si>
    <t>Jackson County, CO</t>
  </si>
  <si>
    <t>Serial #: COC79324</t>
  </si>
  <si>
    <t>T.0050N.,R.0770W.,6TH PM </t>
  </si>
  <si>
    <t>12/13/18 11:16 AM CST</t>
  </si>
  <si>
    <t>Sec. 030 LOTS 1-10;</t>
  </si>
  <si>
    <t>Sec. 030 LOTS 1-10; Sec. 030 NE,E2NW;</t>
  </si>
  <si>
    <t>Section 18: Lot 2; </t>
  </si>
  <si>
    <t>Section 18: S2NE, SENW;</t>
  </si>
  <si>
    <t>Acres: 160.21</t>
  </si>
  <si>
    <t>Parcel ID: 8298</t>
  </si>
  <si>
    <t>Serial #: COC79325</t>
  </si>
  <si>
    <t>T.0080N.,R.0770W.,6TH PM </t>
  </si>
  <si>
    <t>12/13/18 11:18 AM CST</t>
  </si>
  <si>
    <t>Sec. 031 LOTS 1,2;</t>
  </si>
  <si>
    <t>Sec. 031 LOTS 1,2; Sec. 031 NENW;</t>
  </si>
  <si>
    <t>Section 29: S2SE; </t>
  </si>
  <si>
    <t>Section 32: NENE;</t>
  </si>
  <si>
    <t>Parcel ID: 8258</t>
  </si>
  <si>
    <t>Serial #: COC79326</t>
  </si>
  <si>
    <t>T.0050N.,R.0780W.,6TH PM </t>
  </si>
  <si>
    <t>12/13/18 11:20 AM CST</t>
  </si>
  <si>
    <t>Sec. 031 SESE;</t>
  </si>
  <si>
    <t>Sec. 031 SESE; Sec. 032 SWNW,W2SW;</t>
  </si>
  <si>
    <t>Section 9: SESW;</t>
  </si>
  <si>
    <t>Sec. 032 SWNW,W2SW;</t>
  </si>
  <si>
    <t>Parcel ID: 8290</t>
  </si>
  <si>
    <t>Serial #: COC79327</t>
  </si>
  <si>
    <t>T.0060N.,R.0780W.,6TH PM </t>
  </si>
  <si>
    <t>12/13/18 11:22 AM CST</t>
  </si>
  <si>
    <t>Section 25: E2W2, NWNW, SWSW; </t>
  </si>
  <si>
    <t>Sec. 033 SWSE;</t>
  </si>
  <si>
    <t>Section 26: N2NE, W2, SE; </t>
  </si>
  <si>
    <t>Section 27: E2E2, NWNE, N2NW; </t>
  </si>
  <si>
    <t>Section 28: NENE; </t>
  </si>
  <si>
    <t>Section 35: NE, SENW, NESE;</t>
  </si>
  <si>
    <t>Sec. 001 LOTS 3,4;</t>
  </si>
  <si>
    <t>Sec. 001 LOTS 3,4; Sec. 001 S2NW,SW;</t>
  </si>
  <si>
    <t>Acres: 1,360.00</t>
  </si>
  <si>
    <t>Sec. 001 S2NW,SW;</t>
  </si>
  <si>
    <t>Parcel ID: 8222</t>
  </si>
  <si>
    <t>Routt County, CO</t>
  </si>
  <si>
    <t>Serial #: COC79330</t>
  </si>
  <si>
    <t>T.0030N.,R.0870W.,6TH PM </t>
  </si>
  <si>
    <t>12/13/18 11:28 AM CST</t>
  </si>
  <si>
    <t>Section 1: Lot 1-14; </t>
  </si>
  <si>
    <t>Section 1: S2NW, N2SW; </t>
  </si>
  <si>
    <t>Sec. 011 LOTS 1-4;</t>
  </si>
  <si>
    <t>Sec. 011 LOTS 1-4; Sec. 011 N2;</t>
  </si>
  <si>
    <t>T.0040N.,R.0870W.,6TH PM </t>
  </si>
  <si>
    <t>Sec. 011 N2;</t>
  </si>
  <si>
    <t>Section 36: ALL;</t>
  </si>
  <si>
    <t>Acres: 1,371.66</t>
  </si>
  <si>
    <t>Parcel ID: 8243</t>
  </si>
  <si>
    <t>Serial #: COC79331</t>
  </si>
  <si>
    <t>12/13/18 11:30 AM CST</t>
  </si>
  <si>
    <t>Sec. 012 NENE,S2NE,SENW,S2;</t>
  </si>
  <si>
    <t>Sec. 012 NENE,S2NE,SENW,S2; Sec. 013 N2NE,SENE; Sec. 014 LOTS 1,2,5,6; Sec. 014 SWNE;</t>
  </si>
  <si>
    <t>Section 23: S2N2, S2;</t>
  </si>
  <si>
    <t>Sec. 013 N2NE,SENE;</t>
  </si>
  <si>
    <t>Acres: 480.00</t>
  </si>
  <si>
    <t>Sec. 014 LOTS 1,2,5,6;</t>
  </si>
  <si>
    <t>Parcel ID: 8394</t>
  </si>
  <si>
    <t>Serial #: COC79338</t>
  </si>
  <si>
    <t>T.0020N.,R.0960W.,6TH PM </t>
  </si>
  <si>
    <t>12/13/18 11:44 AM CST</t>
  </si>
  <si>
    <t>Section 1: Lot 5-8, 11, 14, 15, 20; </t>
  </si>
  <si>
    <t>Section 1: Lot 21, 23, 26; </t>
  </si>
  <si>
    <t>Section 1: SENE, SWNW, NWSW, E2SE; </t>
  </si>
  <si>
    <t>Sec. 014 NWNW;</t>
  </si>
  <si>
    <t>Section 12: Lot 1, 4, 10; </t>
  </si>
  <si>
    <t>Section 12: NENE, S2NE, S2;</t>
  </si>
  <si>
    <t>Acres: 977.08</t>
  </si>
  <si>
    <t>Sec. 019 N2NE,E2W2,SWSE;</t>
  </si>
  <si>
    <t>Sec. 020 SWNE,NW,NWSW;</t>
  </si>
  <si>
    <t>Sec. 031 LOTS 4;</t>
  </si>
  <si>
    <t>Sec. 034 NE,S2NW,SW;</t>
  </si>
  <si>
    <t>Sec. 034 NE,S2NW,SW; Sec. 035 SWNW;</t>
  </si>
  <si>
    <t>Sec. 035 SWNW;</t>
  </si>
  <si>
    <t>Sec. 015 W2NE,SENE,NW,N2SE;</t>
  </si>
  <si>
    <t>Sec. 015 W2NE,SENE,NW,N2SE; Sec. 017 NWNW,SESW,NESE,S2SE; Sec. 018 LOTS 1-3; Sec. 018 N2NE,E2NW,SESW; Sec. 019 LOTS 1-4; Sec. 019 E2,E2W2; Sec. 020 N2NE,W2;</t>
  </si>
  <si>
    <t>Sec. 017 NWNW,SESW,NESE,S2SE;</t>
  </si>
  <si>
    <t>Sec. 018 N2NE,E2NW,SESW;</t>
  </si>
  <si>
    <t>Sec. 019 LOTS 1-4;</t>
  </si>
  <si>
    <t>Sec. 019 E2,E2W2;</t>
  </si>
  <si>
    <t>Sec. 020 N2NE,W2;</t>
  </si>
  <si>
    <t>Sec. 030 LOTS 1,2;</t>
  </si>
  <si>
    <t>Sec. 030 LOTS 1,2; Sec. 030 E2NW; Sec. 031 SESW; Sec. 032 NE,NESW,SESE; Sec. 033 NESW;</t>
  </si>
  <si>
    <t>Sec. 030 E2NW;</t>
  </si>
  <si>
    <t>Sec. 031 SESW;</t>
  </si>
  <si>
    <t>Sec. 033 NESW;</t>
  </si>
  <si>
    <t>Sec. 005 NESE(EXCL 3.00 AC IN RSVR ROW WYC012356);</t>
  </si>
  <si>
    <t>Sec. 005 NESE(EXCL 3.00 AC IN RSVR ROW WYC012356); Sec. 007 LOTS 2-4; Sec. 007 SENW,E2SW,SE; Sec. 007 SWNE(EXCL 4.00 AC IN RSVR ROW WYC012356); Sec. 008 SENW,S2NE; Sec. 008 NWNE,NENW,SWNW(EXCL 8.00 AC IN RSVR ROW WYC012356); Sec.</t>
  </si>
  <si>
    <t>Sec. 007 LOTS 2-4;</t>
  </si>
  <si>
    <t>009 S2NW; Sec. 011 SESE; Sec. 017 SWSW,NESE,S2SE; Sec. 018 LOTS 1,2; Sec. 018 S2NE,E2NW; Sec. 019 LOTS 3; Sec. 023 SWSE; Sec. 025 NWNE,E2SE; Sec. 034 NENE,NWSE; Sec. 035 N2NE,E2NW,W2SW;</t>
  </si>
  <si>
    <t>Sec. 007 SENW,E2SW,SE;</t>
  </si>
  <si>
    <t>Sec. 007 SWNE(EXCL 4.00 AC IN RSVR ROW WYC012356);</t>
  </si>
  <si>
    <t>Sec. 008 SENW,S2NE;</t>
  </si>
  <si>
    <t>Sec. 008 NWNE,NENW,SWNW(EXCL 8.00 AC IN RSVR ROW WYC012356);</t>
  </si>
  <si>
    <t>Sec. 009 S2NW;</t>
  </si>
  <si>
    <t>Sec. 017 SWSW,NESE,S2SE;</t>
  </si>
  <si>
    <t>Sec. 018 LOTS 1,2;</t>
  </si>
  <si>
    <t>Sec. 018 S2NE,E2NW;</t>
  </si>
  <si>
    <t>Sec. 019 LOTS 3;</t>
  </si>
  <si>
    <t>Sec. 025 NWNE,E2SE;</t>
  </si>
  <si>
    <t>Sec. 034 NENE,NWSE;</t>
  </si>
  <si>
    <t>Sec. 035 N2NE,E2NW,W2SW;</t>
  </si>
  <si>
    <t>Sec. 028 SWSW; Sec. 029 S2S2; Sec. 033 NWNW;</t>
  </si>
  <si>
    <t>Row Labels</t>
  </si>
  <si>
    <t>Sum of Acres</t>
  </si>
  <si>
    <t>Grand Total</t>
  </si>
  <si>
    <t>BLM LEASE DATABASE</t>
  </si>
  <si>
    <t>Today's Date</t>
  </si>
  <si>
    <t>R &amp; R ROYALTY, LTD. &amp; MAGNUM PRODUCING, LP</t>
  </si>
  <si>
    <t xml:space="preserve">CURRENT AS OF September 20, 2018 ES SALE </t>
  </si>
  <si>
    <t>Lease Details</t>
  </si>
  <si>
    <t>Sale Purchase Information</t>
  </si>
  <si>
    <t>Rental Payment Information</t>
  </si>
  <si>
    <t>Partner Interests</t>
  </si>
  <si>
    <t>Recording &amp; ORRI</t>
  </si>
  <si>
    <t>LEASE NO.</t>
  </si>
  <si>
    <t>PLOTTED</t>
  </si>
  <si>
    <t>GRANTEE</t>
  </si>
  <si>
    <t>SALE DATE</t>
  </si>
  <si>
    <t>EFFECTIVE DATE OF LEASE</t>
  </si>
  <si>
    <t>EXPIRATION DATE</t>
  </si>
  <si>
    <t xml:space="preserve"> ACRES</t>
  </si>
  <si>
    <t>COUNTY</t>
  </si>
  <si>
    <t>ST</t>
  </si>
  <si>
    <t>STATUS/COMMENTS</t>
  </si>
  <si>
    <t>EXPIRATION YEAR</t>
  </si>
  <si>
    <t>TOWNSHIP</t>
  </si>
  <si>
    <t>RANGE</t>
  </si>
  <si>
    <t>DESCRIPTION I</t>
  </si>
  <si>
    <t>DESCRIPTION II</t>
  </si>
  <si>
    <t>DESCRIPTION III</t>
  </si>
  <si>
    <t>PARCEL NO</t>
  </si>
  <si>
    <t>DUE AT SALE</t>
  </si>
  <si>
    <t>DUE AFTER SALE (REFUNDED)</t>
  </si>
  <si>
    <t>TOTAL  PAID</t>
  </si>
  <si>
    <t>AMOUNT OF RENTAL</t>
  </si>
  <si>
    <t>YEARS RENEWED</t>
  </si>
  <si>
    <t>ADDITIONAL RENTALS PAID UP TO DATE</t>
  </si>
  <si>
    <t>TOTAL INVESTMENT (BONUS + RENTALS)</t>
  </si>
  <si>
    <t>UA %</t>
  </si>
  <si>
    <t>RA%</t>
  </si>
  <si>
    <t>KA%</t>
  </si>
  <si>
    <t xml:space="preserve">RECORDED </t>
  </si>
  <si>
    <t>Assignment of ORRI</t>
  </si>
  <si>
    <t>TXNM096140</t>
  </si>
  <si>
    <t>R&amp;R Royalty</t>
  </si>
  <si>
    <t xml:space="preserve">MONTGOMERY </t>
  </si>
  <si>
    <t>TX</t>
  </si>
  <si>
    <t>Expired 2005</t>
  </si>
  <si>
    <t>ASSIGNMENT REC'D FROM DAN</t>
  </si>
  <si>
    <t>TRACTS J22, J22A, J22B</t>
  </si>
  <si>
    <t xml:space="preserve"> </t>
  </si>
  <si>
    <t>TXNM103231</t>
  </si>
  <si>
    <t xml:space="preserve">HOUSTON </t>
  </si>
  <si>
    <t>Expired 2009 - Bought from Dan Gonzales</t>
  </si>
  <si>
    <t>SAM HOUSTON NATL FOREST</t>
  </si>
  <si>
    <t>TXNM091527</t>
  </si>
  <si>
    <t>KLEBERG</t>
  </si>
  <si>
    <t>Expired 2003</t>
  </si>
  <si>
    <t xml:space="preserve">KINGSVILLE NAS </t>
  </si>
  <si>
    <t>J MINDIOLOA SURVEY</t>
  </si>
  <si>
    <t>LOTS &amp; TRACTS IN SEC 23 &amp; 30</t>
  </si>
  <si>
    <t>TXNM102849</t>
  </si>
  <si>
    <t xml:space="preserve">KLEBERG </t>
  </si>
  <si>
    <t>Expired 2009</t>
  </si>
  <si>
    <t>TEXAS A&amp;M UNIVERSITY</t>
  </si>
  <si>
    <t>LOTS 2-8, BLK 5, KING ADDITION-EX 47.75 A</t>
  </si>
  <si>
    <t>TXNM103276</t>
  </si>
  <si>
    <t>Expired 2009 -  sold</t>
  </si>
  <si>
    <t>DAVY CROCKETT NATL FOREST</t>
  </si>
  <si>
    <t>TRACT K-1g</t>
  </si>
  <si>
    <t>TXNM103277</t>
  </si>
  <si>
    <t>TRACT K-1h PARCEL #1</t>
  </si>
  <si>
    <t>SEE EXHIBIT K FOR M&amp;B</t>
  </si>
  <si>
    <t>TXNM103278</t>
  </si>
  <si>
    <t>HOUSTON</t>
  </si>
  <si>
    <t>TRACT K-1i</t>
  </si>
  <si>
    <t>TXNM103285</t>
  </si>
  <si>
    <t>TRACT K-6</t>
  </si>
  <si>
    <t>TXNM103286</t>
  </si>
  <si>
    <t>TRACT K-18</t>
  </si>
  <si>
    <t>TXNM103287</t>
  </si>
  <si>
    <t>TRACT K-31</t>
  </si>
  <si>
    <t>TXNM103288</t>
  </si>
  <si>
    <t>TRACT K-119</t>
  </si>
  <si>
    <t>TXNM103292</t>
  </si>
  <si>
    <t xml:space="preserve">SABINE </t>
  </si>
  <si>
    <t>SABINE NATL FOREST</t>
  </si>
  <si>
    <t>TRACT S1Av</t>
  </si>
  <si>
    <t>TXNM103293</t>
  </si>
  <si>
    <t>TRACT S-1Bb</t>
  </si>
  <si>
    <t>SEE EXHIBIT L FOR M&amp;B</t>
  </si>
  <si>
    <t>TXNM103296</t>
  </si>
  <si>
    <t>SAN AUGUSTINE</t>
  </si>
  <si>
    <t>ANGELINA NATL FOREST</t>
  </si>
  <si>
    <t>TRACT A-22a PARCEL #2</t>
  </si>
  <si>
    <t>TXNM103297</t>
  </si>
  <si>
    <t>TRACT A-22d</t>
  </si>
  <si>
    <t>TXNM103301</t>
  </si>
  <si>
    <t>SAN AUGUSTINE/SABINE</t>
  </si>
  <si>
    <t>TRACT S-1An</t>
  </si>
  <si>
    <t>TXNM103314</t>
  </si>
  <si>
    <t>TRACT K-1a-II PARCEL #1</t>
  </si>
  <si>
    <t>SEE EXHIBIT G FOR M&amp;B</t>
  </si>
  <si>
    <t>TXNM103315</t>
  </si>
  <si>
    <t>TRACT K-1a-II PARCEL #2</t>
  </si>
  <si>
    <t>SEE EXHIBIT H FOR M&amp;B</t>
  </si>
  <si>
    <t>ARES50476</t>
  </si>
  <si>
    <t>SEBASTIAN</t>
  </si>
  <si>
    <t>AR</t>
  </si>
  <si>
    <t>Expired 2009 - May be part of 16,327.47 acre Explo. Unit ARES05528x - Ross Explorations, Inc. (OPR)</t>
  </si>
  <si>
    <t>OUICHATA NATL FOREST</t>
  </si>
  <si>
    <t>T4N, R31W, 5TH PRINCIPAL MERIDIAN</t>
  </si>
  <si>
    <t>SEC 32, SWNW</t>
  </si>
  <si>
    <t>ES-09/99 48</t>
  </si>
  <si>
    <t>LAES50481</t>
  </si>
  <si>
    <t>CALCASIEU</t>
  </si>
  <si>
    <t>LA</t>
  </si>
  <si>
    <t>NONE</t>
  </si>
  <si>
    <t>T8S, R10W,  LOUISIANA MERIDIAN</t>
  </si>
  <si>
    <t>SEC 1, SWNE</t>
  </si>
  <si>
    <t>ES-09/99 53</t>
  </si>
  <si>
    <t>MSES50483</t>
  </si>
  <si>
    <t>FORREST</t>
  </si>
  <si>
    <t>MS</t>
  </si>
  <si>
    <t>DESOTO NATL FOREST</t>
  </si>
  <si>
    <t>T1S, R13W, ST. STEPHENS MERIDIAN</t>
  </si>
  <si>
    <t>SEC 25</t>
  </si>
  <si>
    <t>ES-09/99 55</t>
  </si>
  <si>
    <t>LAES50520</t>
  </si>
  <si>
    <t>WEBSTER</t>
  </si>
  <si>
    <t>Expired 2010</t>
  </si>
  <si>
    <t>T17N, R10W, LOUISIANA MERIDIAN</t>
  </si>
  <si>
    <t>SEC 20, SENE, N2SW, N2SE</t>
  </si>
  <si>
    <t>ES-12/99 03</t>
  </si>
  <si>
    <t>MSES50524</t>
  </si>
  <si>
    <t>WAYNE</t>
  </si>
  <si>
    <t>Expired 2010 - SUBLEASE TERMINATED O/A 11-14-02</t>
  </si>
  <si>
    <t>T7N, R8W, ST, STEPHENS MERIDIAN</t>
  </si>
  <si>
    <t>SEC 4, SWNE, W2, W2SE</t>
  </si>
  <si>
    <t>ES-12/99 07</t>
  </si>
  <si>
    <t>MSES50526</t>
  </si>
  <si>
    <t>CHICKASAW</t>
  </si>
  <si>
    <t xml:space="preserve">HBP-Gibraltar pays Royalty - Shut-in payment should be billed to Gibraltar for joint a/c rebill. Gibralter USA 5-12 #1 drilled and completed on SW/4 Sec 5.  </t>
  </si>
  <si>
    <t>TOMBIGBEE NATL FOREST</t>
  </si>
  <si>
    <t>T12S, R4E, CHICKASAW MERIDIAN</t>
  </si>
  <si>
    <t>SEC 5, SW, E20ac OF SESE, 7ac IN SE  CORNER OF NESE; SEC 8, S2/3 NE*, NW*  (* 50% US MIN INT)</t>
  </si>
  <si>
    <t>ES-12/99 09</t>
  </si>
  <si>
    <t>Indirect Acquisation Cost</t>
  </si>
  <si>
    <t>Unsuccesful Bid Fees</t>
  </si>
  <si>
    <t>MSES050634</t>
  </si>
  <si>
    <t>Refunded 3-16-01. Bid Refunded</t>
  </si>
  <si>
    <t>MSES050635</t>
  </si>
  <si>
    <t>Refunded 7-10-00. Bid Refunded</t>
  </si>
  <si>
    <t>MSES050636</t>
  </si>
  <si>
    <t>ADAMS</t>
  </si>
  <si>
    <t>HOMOCHITTO NATL FOREST</t>
  </si>
  <si>
    <t>T5N, R1W, WASHINGTON MERIDIAN</t>
  </si>
  <si>
    <t>SEC 6, ALL</t>
  </si>
  <si>
    <t>ES-03/00 31</t>
  </si>
  <si>
    <t>MSES050637</t>
  </si>
  <si>
    <t xml:space="preserve">Bid Refunded 7-10-00 </t>
  </si>
  <si>
    <t>N/A</t>
  </si>
  <si>
    <t>MSES050642</t>
  </si>
  <si>
    <t>SEC 21, LOTS 5 THRU 8</t>
  </si>
  <si>
    <t>ES-03/00 37</t>
  </si>
  <si>
    <t>MSES050646</t>
  </si>
  <si>
    <t>T6N, R7W, ST, STEPHENS MERIDIAN</t>
  </si>
  <si>
    <t>SEC 30, SWSW</t>
  </si>
  <si>
    <t>ES-03/00 41</t>
  </si>
  <si>
    <t>LAES050702</t>
  </si>
  <si>
    <t>ST BERNARD</t>
  </si>
  <si>
    <t>T14S, R16E, ST HELENA MERIDIAN</t>
  </si>
  <si>
    <t>SEC 13, N2SW</t>
  </si>
  <si>
    <t>ES-06/00 29</t>
  </si>
  <si>
    <t>MSES050710</t>
  </si>
  <si>
    <t>T6N,R7W, ST STEPHENS MERIDIAN</t>
  </si>
  <si>
    <t>SEC 11, NWNE, S2NE,W2,SE</t>
  </si>
  <si>
    <t>ES-06/00 37</t>
  </si>
  <si>
    <t>MSES050711</t>
  </si>
  <si>
    <t>SEC 27, SENE, W2NW, NESE</t>
  </si>
  <si>
    <t>ES-06/00 38</t>
  </si>
  <si>
    <t>MSES050712</t>
  </si>
  <si>
    <t>SEC 34,NWNE, S2NE,W2, N2SE, SWSE</t>
  </si>
  <si>
    <t>ES-06/00 39</t>
  </si>
  <si>
    <t>MSES050713</t>
  </si>
  <si>
    <t>T6N,R8W, ST STEPHENS MERIDIAN</t>
  </si>
  <si>
    <t>SEC 1, ALL</t>
  </si>
  <si>
    <t>ES-06/00 40</t>
  </si>
  <si>
    <t>MSES050714</t>
  </si>
  <si>
    <t>SEC 2, N2NE,W2,W2SE</t>
  </si>
  <si>
    <t>ES-06/00 41</t>
  </si>
  <si>
    <t>MSES050715</t>
  </si>
  <si>
    <t>SEC 4, W2NE,NW,SW, -EX. 1AC</t>
  </si>
  <si>
    <t>ES-06/00 42</t>
  </si>
  <si>
    <t>MSES050716</t>
  </si>
  <si>
    <t>SEC 5,NE, SWNW, SW, N2SE</t>
  </si>
  <si>
    <t>ES-06/00 43</t>
  </si>
  <si>
    <t>MSES050717</t>
  </si>
  <si>
    <t>SEC 5, SWSE (25% US MI ONLY)</t>
  </si>
  <si>
    <t>ES-06/00 44</t>
  </si>
  <si>
    <t>MSES050718</t>
  </si>
  <si>
    <t>SEC 6, NWNE. S2N2,SW,W2SE,SESE</t>
  </si>
  <si>
    <t>ES-06/00 45</t>
  </si>
  <si>
    <t>MSES050719</t>
  </si>
  <si>
    <t>SEC 10, S2NW, N2SW, SWSW</t>
  </si>
  <si>
    <t>ES-06/00 46</t>
  </si>
  <si>
    <t>MSES050720</t>
  </si>
  <si>
    <t>SEC 13, ALL</t>
  </si>
  <si>
    <t>ES-06/00 47</t>
  </si>
  <si>
    <t>MSES050721</t>
  </si>
  <si>
    <t>SEC 19, ALL</t>
  </si>
  <si>
    <t>ES-06/00 48</t>
  </si>
  <si>
    <t>MSES050722</t>
  </si>
  <si>
    <t>SEC 20, ALL</t>
  </si>
  <si>
    <t>ES-06/00 49</t>
  </si>
  <si>
    <t>MSES050723</t>
  </si>
  <si>
    <t>SEC 22, ALL</t>
  </si>
  <si>
    <t>ES-06/00 50</t>
  </si>
  <si>
    <t>MSES050724</t>
  </si>
  <si>
    <t>SEC 23, NE, S2SE</t>
  </si>
  <si>
    <t>ES-06/00 51</t>
  </si>
  <si>
    <t>MSES050725</t>
  </si>
  <si>
    <t>SEC 24, ALL</t>
  </si>
  <si>
    <t>ES-06/00 52</t>
  </si>
  <si>
    <t>MSES050726</t>
  </si>
  <si>
    <t>SEC 26, NWNW, SWNW, -EX 10A</t>
  </si>
  <si>
    <t>ES-06/00 53</t>
  </si>
  <si>
    <t>MSES050727</t>
  </si>
  <si>
    <t>SEC 27, NENE,W2E2, W2, NESE</t>
  </si>
  <si>
    <t>ES-06/00 54</t>
  </si>
  <si>
    <t>MSES050728</t>
  </si>
  <si>
    <t>SEC 28, ALL</t>
  </si>
  <si>
    <t>ES-06/00 55</t>
  </si>
  <si>
    <t>MSES050729</t>
  </si>
  <si>
    <t>SEC 32, N2,SESW,N2SE</t>
  </si>
  <si>
    <t>ES-06/00 56</t>
  </si>
  <si>
    <t>MSES050730</t>
  </si>
  <si>
    <t>SEC 33, E2, N2NW, SWNW</t>
  </si>
  <si>
    <t>ES-06/00 57</t>
  </si>
  <si>
    <t>MSES050731</t>
  </si>
  <si>
    <t>SEC 35, W2NE, NWNW, NESW, S2SW, W2SE</t>
  </si>
  <si>
    <t>ES-06/00 58</t>
  </si>
  <si>
    <t>OKNM105178</t>
  </si>
  <si>
    <t>CUSTER</t>
  </si>
  <si>
    <t>OK</t>
  </si>
  <si>
    <t>T15N,R14W, IM MERIDIAN</t>
  </si>
  <si>
    <t>SEC 05, LOT 4</t>
  </si>
  <si>
    <t>TXNM105180</t>
  </si>
  <si>
    <t>JACKSON</t>
  </si>
  <si>
    <t>NPRI O/S ON PART OF ACREAGE</t>
  </si>
  <si>
    <t>TR I-C-141; FRAC TR I-C-138,142-2, TR 142-3</t>
  </si>
  <si>
    <t>50% M.I. TRACT 142-2, 142-3</t>
  </si>
  <si>
    <t>TXNM105181</t>
  </si>
  <si>
    <t>Expired 2010 - * 5O acres in San Jacinto County</t>
  </si>
  <si>
    <t>TRACT J-5, J-6B</t>
  </si>
  <si>
    <t>TXNM105584</t>
  </si>
  <si>
    <t>SAN JACINTO</t>
  </si>
  <si>
    <t>TRACT J-1e</t>
  </si>
  <si>
    <t>TXNM105585</t>
  </si>
  <si>
    <t>TRACT J-2-VIII</t>
  </si>
  <si>
    <t>TXNM105586</t>
  </si>
  <si>
    <t>TRACT J-2-IX</t>
  </si>
  <si>
    <t>TXNM105587</t>
  </si>
  <si>
    <t>TRACT J-2-XI</t>
  </si>
  <si>
    <t>TXNM105588</t>
  </si>
  <si>
    <t>TRACT J-2-XII</t>
  </si>
  <si>
    <t>TXNM105590</t>
  </si>
  <si>
    <t>TRACT J-8a</t>
  </si>
  <si>
    <t>TXNM105591</t>
  </si>
  <si>
    <t>TRACT J-38a PARCEL #2</t>
  </si>
  <si>
    <t>SEE EXHIBIT "F" &amp; MAP</t>
  </si>
  <si>
    <t>TXNM105598</t>
  </si>
  <si>
    <t xml:space="preserve">SHELBY </t>
  </si>
  <si>
    <t>Sold to Chk July 2008</t>
  </si>
  <si>
    <t>TRACT S-1b-I PARCEL #3</t>
  </si>
  <si>
    <t>SEE EXHIBIT "H" &amp; MAP</t>
  </si>
  <si>
    <t>TXNM105601</t>
  </si>
  <si>
    <t>WALKER</t>
  </si>
  <si>
    <t>TRACT J-1-I PARCEL #1</t>
  </si>
  <si>
    <t>SEE EXHIBIT "J" FOR M &amp; B</t>
  </si>
  <si>
    <t>TXNM105602</t>
  </si>
  <si>
    <t>TRACT J-10b</t>
  </si>
  <si>
    <t>TXNM105603</t>
  </si>
  <si>
    <t>TRACT J-69</t>
  </si>
  <si>
    <t>TXNM105609</t>
  </si>
  <si>
    <t>WASHINGTON</t>
  </si>
  <si>
    <t>CORPS OF ENGINEERS - SOMMERVILLE LAKE</t>
  </si>
  <si>
    <t>TRACTS 308,330</t>
  </si>
  <si>
    <t>TXNM105610</t>
  </si>
  <si>
    <t>Expired 2010 -Refunded 1-3-01. Write off Administrative Fee</t>
  </si>
  <si>
    <t>LAES50956</t>
  </si>
  <si>
    <t>VERMILION PARISH</t>
  </si>
  <si>
    <t>Expired 2011</t>
  </si>
  <si>
    <t>T16S,R1E, LA MERIDIAN</t>
  </si>
  <si>
    <t>SEC 2,LOT 2;SEC 3,LOT 2;SEC10,LOT 2;SEC 11,LOT 1</t>
  </si>
  <si>
    <t>ES-03/01 14</t>
  </si>
  <si>
    <t>MSES50958</t>
  </si>
  <si>
    <t>COVINGTON</t>
  </si>
  <si>
    <t>T8N,R14W, ST. STEPHENS MEDIDIAN</t>
  </si>
  <si>
    <t>SEC 4 NENE</t>
  </si>
  <si>
    <t>ES-03/01 16</t>
  </si>
  <si>
    <t>MSES50960</t>
  </si>
  <si>
    <t>T3N,R13W, ST. STEPHENS MERIDIAN</t>
  </si>
  <si>
    <t>SEC 15 SWNE NWSW</t>
  </si>
  <si>
    <t>ES-03/01 18</t>
  </si>
  <si>
    <t>MSES50962</t>
  </si>
  <si>
    <t>T5N,R1W, WASHINGTON MERIDIAN</t>
  </si>
  <si>
    <t>SEC 14, TRACT H-20b</t>
  </si>
  <si>
    <t>ES-03/01 20</t>
  </si>
  <si>
    <t>MSES50965</t>
  </si>
  <si>
    <t>PEARL RIVER</t>
  </si>
  <si>
    <t>Expired 2011 -HBP CA MSES55705,6; PAR MINERALS, PER BLM. HAUSER #1 &amp; WHITE #1</t>
  </si>
  <si>
    <t>T1S,R14W, ST. STEPHENS MERIDIAN</t>
  </si>
  <si>
    <t>SEC 13, W2 LESS.86A - SEE LSE FOR M&amp;B</t>
  </si>
  <si>
    <t>ES-03/01 23</t>
  </si>
  <si>
    <t>ARES50943</t>
  </si>
  <si>
    <t>YELL</t>
  </si>
  <si>
    <t>5TH PRINCIPAL MERIDIAN</t>
  </si>
  <si>
    <t>T3N,R25W</t>
  </si>
  <si>
    <t>ALL OF SEC 6; PORTIONS OF SEC 1,3,4,5,7,8,9,18</t>
  </si>
  <si>
    <t>ES-03/01 01</t>
  </si>
  <si>
    <t>ARES50944</t>
  </si>
  <si>
    <t>T3W,R25W</t>
  </si>
  <si>
    <t>ALL OF SEC 2; PORTIONS OF SEC 1,3,4,5,7,8</t>
  </si>
  <si>
    <t>ES-03/01 02</t>
  </si>
  <si>
    <t>ARES50945</t>
  </si>
  <si>
    <t>PORTIONS OF SEC 9,10,11,12,17,18,35,36</t>
  </si>
  <si>
    <t>ES-03/01 03</t>
  </si>
  <si>
    <t>ARES50946</t>
  </si>
  <si>
    <t>T4W,R25W</t>
  </si>
  <si>
    <t>PORTIONS OF SEC 1,2,3</t>
  </si>
  <si>
    <t>ES-03/01 04</t>
  </si>
  <si>
    <t>ARES50947</t>
  </si>
  <si>
    <t>PORTIONS OF SEC 4,8,9</t>
  </si>
  <si>
    <t>ES-03/01 05</t>
  </si>
  <si>
    <t>ARES50949</t>
  </si>
  <si>
    <t>Bid Refunded 4-2-2002</t>
  </si>
  <si>
    <t>ARES50951</t>
  </si>
  <si>
    <t>SCOTT</t>
  </si>
  <si>
    <t>T2N,R32W</t>
  </si>
  <si>
    <t>PORTIONS OF SEC 22,23,24,25,26</t>
  </si>
  <si>
    <t>ES-03/01 09</t>
  </si>
  <si>
    <t>ARES50952</t>
  </si>
  <si>
    <t>PORTIONS OF SEC 27,28,29,30,33,34,35,36</t>
  </si>
  <si>
    <t>ES-03/01 10</t>
  </si>
  <si>
    <t>ARES50953</t>
  </si>
  <si>
    <t>PORTIONS OF SEC 22,23,24,25,26,27</t>
  </si>
  <si>
    <t>ES-03/01 11</t>
  </si>
  <si>
    <t>ARES50954</t>
  </si>
  <si>
    <t>Bid Refunded 1-9-2002</t>
  </si>
  <si>
    <t>ARES50955</t>
  </si>
  <si>
    <t>PORTIONS OF SEC 27,35</t>
  </si>
  <si>
    <t>ES-03/01 13</t>
  </si>
  <si>
    <t>LAES51089</t>
  </si>
  <si>
    <t>BEAUREGARD</t>
  </si>
  <si>
    <t>T7S,R9W, LOUISIANA MERIDIAN</t>
  </si>
  <si>
    <t>SEC 33, SENW</t>
  </si>
  <si>
    <t>ES-06/01 81</t>
  </si>
  <si>
    <t>Administrative fees written off</t>
  </si>
  <si>
    <t xml:space="preserve">Indirect Costs written off </t>
  </si>
  <si>
    <t>BALANCE 12-31-01</t>
  </si>
  <si>
    <t>ALES51293</t>
  </si>
  <si>
    <t>LAMAR</t>
  </si>
  <si>
    <t>AL</t>
  </si>
  <si>
    <t>Expired 2012</t>
  </si>
  <si>
    <t>SEE STIPULATIONS &amp; LSE NOTICE</t>
  </si>
  <si>
    <t>T16S,R16W HUNTSVILLE MERIDIAN</t>
  </si>
  <si>
    <t>SEC 5, N2NE</t>
  </si>
  <si>
    <t>ES-03/02   8</t>
  </si>
  <si>
    <t>ALES51294</t>
  </si>
  <si>
    <t>SEC 11, NESW; SEC 20, NWNE</t>
  </si>
  <si>
    <t>ES-03/02   9</t>
  </si>
  <si>
    <t>LAES51350</t>
  </si>
  <si>
    <t>DESOTO</t>
  </si>
  <si>
    <t>ES-03/02  65</t>
  </si>
  <si>
    <t>LAES51351</t>
  </si>
  <si>
    <t>CADDO &amp; DESOTO</t>
  </si>
  <si>
    <t>Expired 2012 - Part of Ha Ra Suh - OPR Encore/Enduro. D/O Decimal .04301310</t>
  </si>
  <si>
    <t>WALLACE LAKE</t>
  </si>
  <si>
    <t>SEE NOTICE</t>
  </si>
  <si>
    <t>SIX (6) TRACTS, SEE NOTICE</t>
  </si>
  <si>
    <t>ES-03/02  66</t>
  </si>
  <si>
    <t>LAES51356</t>
  </si>
  <si>
    <t>RAPIDES PARISH</t>
  </si>
  <si>
    <t>Chesapeake pays Royalty - Subleased - Assigned</t>
  </si>
  <si>
    <t>T1N, R3W LOUISIANA MERIDIAN</t>
  </si>
  <si>
    <t>SEC 36, E2SE (TRACT E-10)</t>
  </si>
  <si>
    <t>ES-03/02  71</t>
  </si>
  <si>
    <t>LAES51357</t>
  </si>
  <si>
    <t>SEC 1, W2NW</t>
  </si>
  <si>
    <t>ES-03/02  72</t>
  </si>
  <si>
    <t>MSES51358</t>
  </si>
  <si>
    <t>AMITE</t>
  </si>
  <si>
    <t>T1N, R4E, WASHINGTON MERIDIAN</t>
  </si>
  <si>
    <t>SEC 26, E2NW; SEC 39 ALL</t>
  </si>
  <si>
    <t>ES-03/02  73</t>
  </si>
  <si>
    <t>MSES51360</t>
  </si>
  <si>
    <t>DE SOTO NATIONAL FOREST</t>
  </si>
  <si>
    <t>T6N, R7W ST STEPHENS MERIDIAN</t>
  </si>
  <si>
    <t>SEC 1, W2NW, NWSW; SEC 2, W2NE, W2</t>
  </si>
  <si>
    <t>ES-03/02  75</t>
  </si>
  <si>
    <t>MSES51361</t>
  </si>
  <si>
    <t>SEC 6, NE, W2NW, S2; SEC 8 NWNE</t>
  </si>
  <si>
    <t>ES-03/02  76</t>
  </si>
  <si>
    <t>MSES51362</t>
  </si>
  <si>
    <t>SEC 13, NWNW, S2NW, NWSW, S2SW</t>
  </si>
  <si>
    <t>ES-03/02  77</t>
  </si>
  <si>
    <t>MSES51363</t>
  </si>
  <si>
    <t>SEC 14 SENE, NENW, S2NW, N2SW, SESW</t>
  </si>
  <si>
    <t>ES-03/02  78</t>
  </si>
  <si>
    <t>MSES51364</t>
  </si>
  <si>
    <t>Bid Refunded</t>
  </si>
  <si>
    <t>ES-03/02  79</t>
  </si>
  <si>
    <t>MSES51365</t>
  </si>
  <si>
    <t>SEC 33, W2SW</t>
  </si>
  <si>
    <t>ES-03/02  80</t>
  </si>
  <si>
    <t>MSES51366</t>
  </si>
  <si>
    <t>T6N, R8W ST STEPHENS MERIDIAN</t>
  </si>
  <si>
    <t>SEC 4, W2SE</t>
  </si>
  <si>
    <t>ES-03/02  81</t>
  </si>
  <si>
    <t>MSES51367</t>
  </si>
  <si>
    <t>SEC 9, NE, SENW, SW, NWSE</t>
  </si>
  <si>
    <t>ES-03/02  82</t>
  </si>
  <si>
    <t>MSES51368</t>
  </si>
  <si>
    <t>SEC 14, ALL</t>
  </si>
  <si>
    <t>ES-03/02  83</t>
  </si>
  <si>
    <t>MSES51370</t>
  </si>
  <si>
    <t>SEC 17, E2SE</t>
  </si>
  <si>
    <t>ES-03/02  85</t>
  </si>
  <si>
    <t>MSES51371</t>
  </si>
  <si>
    <t>SEC 21, N2, N2S2, SWSW</t>
  </si>
  <si>
    <t>ES-03/02  86</t>
  </si>
  <si>
    <t>MSES51391</t>
  </si>
  <si>
    <t>T7N, R9W ST STEPHENS MERIDIAN</t>
  </si>
  <si>
    <t>SEC 3, SWNW, SWSW</t>
  </si>
  <si>
    <t>ES-03/02 106</t>
  </si>
  <si>
    <t>MSES51434</t>
  </si>
  <si>
    <t>STONE</t>
  </si>
  <si>
    <t>T5S, R10W ST STEPHENS MERIDIAN</t>
  </si>
  <si>
    <t>SEC 34 ALL</t>
  </si>
  <si>
    <t>ES-03/02 136</t>
  </si>
  <si>
    <t>MSES51461</t>
  </si>
  <si>
    <t>HARRSION</t>
  </si>
  <si>
    <t>T6S, R11W ST STEPHENS MERIDIAN</t>
  </si>
  <si>
    <t>SEC 5, E2, N2NW, SENW</t>
  </si>
  <si>
    <t>ES-03/02 163</t>
  </si>
  <si>
    <t>MSES51462</t>
  </si>
  <si>
    <t>SEC 8, E2, NENE, NESW, S2SW, LESS 6.64 ACRES SE</t>
  </si>
  <si>
    <t>ES-03/02 164</t>
  </si>
  <si>
    <t>MSES51571</t>
  </si>
  <si>
    <t>SEE LSE NOTICE &amp; STIPULATIONS</t>
  </si>
  <si>
    <t>T7N, R8W ST STEPHENS MERIDIAN</t>
  </si>
  <si>
    <t>SEC 6, SESW, SE; SEC 7, N2, E2SW</t>
  </si>
  <si>
    <t>ES-07/02 056</t>
  </si>
  <si>
    <t>MSES51572</t>
  </si>
  <si>
    <t>SEC 12, S2NE, SE; SEC 13, NENW, SW</t>
  </si>
  <si>
    <t>ES-07/02 057</t>
  </si>
  <si>
    <t>MSES51573</t>
  </si>
  <si>
    <t>SEC 20, ALL; SEC 21, NE</t>
  </si>
  <si>
    <t>ES-07/02 058</t>
  </si>
  <si>
    <t>MSES51574</t>
  </si>
  <si>
    <t>SEC 25, E2NE, E2SW, SWSW, SE; SEC 26 S2NW, N2SW</t>
  </si>
  <si>
    <t>ES-07/02 059</t>
  </si>
  <si>
    <t>MSES51575</t>
  </si>
  <si>
    <t>SEC 29, NW, S2; SEC 30, S2NE</t>
  </si>
  <si>
    <t>ES-07/02 060</t>
  </si>
  <si>
    <t>MSES51576</t>
  </si>
  <si>
    <t>SEC 31, NESE, S2SE; SEC 32, N2, N2S2, SWSE</t>
  </si>
  <si>
    <t>ES-07/02 061</t>
  </si>
  <si>
    <t>MSES51577</t>
  </si>
  <si>
    <t>SEC 33, ALL; SEC 34, W2NE, NW, W2SW, S2SESW</t>
  </si>
  <si>
    <t>ES-07/02 062</t>
  </si>
  <si>
    <t>MSES51579</t>
  </si>
  <si>
    <t>JONES</t>
  </si>
  <si>
    <t>T7N, R10W ST STEPHENS MERIDIAN</t>
  </si>
  <si>
    <t>SEC 26, NENE, S2NE, NW, S2</t>
  </si>
  <si>
    <t>ES-07/02 064</t>
  </si>
  <si>
    <t>MSES51580</t>
  </si>
  <si>
    <t>SEC 29, ALL; SEC 30, N2, NESESW, N2SWSE, NWSE, SESE</t>
  </si>
  <si>
    <t>ES-07/02 065</t>
  </si>
  <si>
    <t>MSES51581</t>
  </si>
  <si>
    <t>TXNM108849</t>
  </si>
  <si>
    <t>MONTGOMERY</t>
  </si>
  <si>
    <t>SAM HOUSTON NAT'L FOREST</t>
  </si>
  <si>
    <t>TRACT J-16</t>
  </si>
  <si>
    <t>SEE STIPULATIONS IN LEASE</t>
  </si>
  <si>
    <t>TXNM108855</t>
  </si>
  <si>
    <t>TRACT J-2c</t>
  </si>
  <si>
    <t>TXNM108857</t>
  </si>
  <si>
    <t>TRACT J-5a</t>
  </si>
  <si>
    <t>TXNM108858</t>
  </si>
  <si>
    <t>TRACT J-6a</t>
  </si>
  <si>
    <t>TXNM108869</t>
  </si>
  <si>
    <t>TRACT J-77</t>
  </si>
  <si>
    <t>American Express under bill</t>
  </si>
  <si>
    <t>BALANCE 12-31-02</t>
  </si>
  <si>
    <t>TXNM110866</t>
  </si>
  <si>
    <t>Expired 2013</t>
  </si>
  <si>
    <t>TRACT J-1-I PARCEL #2</t>
  </si>
  <si>
    <t>SEE LEASE FOR METES AND BOUNDS</t>
  </si>
  <si>
    <t>NM200307116</t>
  </si>
  <si>
    <t>YES</t>
  </si>
  <si>
    <t>TXNM110867</t>
  </si>
  <si>
    <t>TRACT J-1-I PARCEL #3</t>
  </si>
  <si>
    <t>NM200307117</t>
  </si>
  <si>
    <t>TXNM110868</t>
  </si>
  <si>
    <t>TRACT J-1-I PARCEL #5</t>
  </si>
  <si>
    <t>NM200307119</t>
  </si>
  <si>
    <t>TXNM110869</t>
  </si>
  <si>
    <t>TRACT J 1-I PARCEL #6</t>
  </si>
  <si>
    <t>NM200307120</t>
  </si>
  <si>
    <t>BALANCE 12-31-03</t>
  </si>
  <si>
    <t>MSES52218</t>
  </si>
  <si>
    <t>Expired 2014</t>
  </si>
  <si>
    <t>HOMOCHITO NATIONAL FOREST</t>
  </si>
  <si>
    <t>SEC 2, TRACT H-82</t>
  </si>
  <si>
    <t>ES-057-06/04</t>
  </si>
  <si>
    <t>MSES52219</t>
  </si>
  <si>
    <t>FRANKLIN</t>
  </si>
  <si>
    <t>T5N, R2E, WASHINGTON MERIDIAN</t>
  </si>
  <si>
    <t xml:space="preserve">SEC 6, E2, NENW, SENW, E2SW;  SEC 7, S2N2, E2SW, W2NWSE </t>
  </si>
  <si>
    <t>ES-058-06/04</t>
  </si>
  <si>
    <t>MSES52405</t>
  </si>
  <si>
    <t>PERRY</t>
  </si>
  <si>
    <t>DESOTO NATIONAL FOREST</t>
  </si>
  <si>
    <t>T1S,R11W, ST. STEPHENS MERIDIAN</t>
  </si>
  <si>
    <t>SEC 4, SESW, NWSE; SEC 5, NENE, NWNE, SWNE, S2NW, S2</t>
  </si>
  <si>
    <t>ES-072-09/04</t>
  </si>
  <si>
    <t>MSES52406</t>
  </si>
  <si>
    <t>SEC. 6, W2NE, NW, N2S2, SWSE; SEC 7, SENE, NENW, NESE, NWSW</t>
  </si>
  <si>
    <t>ES-073-09/04</t>
  </si>
  <si>
    <t>MSES52407</t>
  </si>
  <si>
    <t>SEC 8, N2, N2S2, SWSW</t>
  </si>
  <si>
    <t>ES-074-09/04</t>
  </si>
  <si>
    <t>MSES52408</t>
  </si>
  <si>
    <t>SEC 17, NWNW, SENW, NESW; SEC 18, NE, S2NW, SWSE, SW; SEC 20,NE, N2NW, SENW, E2SE</t>
  </si>
  <si>
    <t>ES-075-09/04</t>
  </si>
  <si>
    <t>MSES52409</t>
  </si>
  <si>
    <t>T1S,R12W, ST. STEPHENS MERIDIAN</t>
  </si>
  <si>
    <t>SEC 1, S2SE, NWSE, N2SW, SWSW; SEC 2, N2, N2N2; SEC 3, S2S2, PT. NENE (LESS SWNENE)</t>
  </si>
  <si>
    <t>ES-076-09/04</t>
  </si>
  <si>
    <t>MSES52410</t>
  </si>
  <si>
    <t>SEC 11, W2NE, E2NW, SWNW, SE, E2SW; SEC 12, SESE; SEC 13, E2, E2W2, NWNW; SEC 14, N2NE,SENW, NESW, SWSW</t>
  </si>
  <si>
    <t>ES-077-09/04</t>
  </si>
  <si>
    <t>MSES52411</t>
  </si>
  <si>
    <t>SEC 23, SESW, W2SW; SEC 24, N2NE, E2NW, N2SE</t>
  </si>
  <si>
    <t>ES-078-09/04</t>
  </si>
  <si>
    <t>MSES52412</t>
  </si>
  <si>
    <t xml:space="preserve">SEC 26, NWNE, NWNW, S2N2, S2; SEC 27, NWSE, SWNW, SW; SEC 28, S2, S2NE, N2NW, SWNW </t>
  </si>
  <si>
    <t>ES-079-09/04</t>
  </si>
  <si>
    <t>MSES52413</t>
  </si>
  <si>
    <t>Lease not received - Sale was rescinded on 11-17-04; Administrative fee not refunded - was expensed 2-3-05</t>
  </si>
  <si>
    <t>ES-080-09/04</t>
  </si>
  <si>
    <t>MSES52414</t>
  </si>
  <si>
    <t>SEC11, SE; SEC 12, SW, SWSE</t>
  </si>
  <si>
    <t>ES-081-09/04</t>
  </si>
  <si>
    <t>MSES52415</t>
  </si>
  <si>
    <t>SEC 25, NE, W2NW, E2SW, E2SE; SEC 26, N2NE</t>
  </si>
  <si>
    <t>ES-082-09/04</t>
  </si>
  <si>
    <t>MSES52416</t>
  </si>
  <si>
    <t>Lease Amendment 1 - 7/29/2008 Rents (4@274.50) $1,098; Bonus $1448) - Reduced by 181 acres. Lease Amendment 2 - 6/30/2009 (Refunds Due - Rents 382.50 ($76.50 X 5); Bonus 408.00) Reduced by 51.23 acres. Expired in 2014</t>
  </si>
  <si>
    <t xml:space="preserve">SEC 35, ALL; SEC 36, W2, NE </t>
  </si>
  <si>
    <t>ES-083-09/04</t>
  </si>
  <si>
    <t>MSES52418</t>
  </si>
  <si>
    <t>BLM</t>
  </si>
  <si>
    <t>T6N, R7W, ST. STEPHENS MERIDIAN</t>
  </si>
  <si>
    <t>SEC 1, E2, E2W2</t>
  </si>
  <si>
    <t>ES-085-09/04</t>
  </si>
  <si>
    <t>MSES52419</t>
  </si>
  <si>
    <t>T7N, R7W, ST. STEPHENS MERIDIAN</t>
  </si>
  <si>
    <t>SEC 2, W2NWNW; SEC 3, E2NENE, SENE</t>
  </si>
  <si>
    <t>ES-086-09/04</t>
  </si>
  <si>
    <t>MSES52420</t>
  </si>
  <si>
    <t>T8N, R9W, ST. STEPHENS MERIDIAN</t>
  </si>
  <si>
    <t>SEC 4, NWSW; SEC 19, SWNE -50% U.S. MINERALS OWNERSHIP</t>
  </si>
  <si>
    <t>ES-087-09/04</t>
  </si>
  <si>
    <t>GROUP TOTAL</t>
  </si>
  <si>
    <t>NMNM112924</t>
  </si>
  <si>
    <t>EDDY</t>
  </si>
  <si>
    <t>NM</t>
  </si>
  <si>
    <t>T210S, R300E, NMPM MERIDIAN</t>
  </si>
  <si>
    <t>Sec 34 SE</t>
  </si>
  <si>
    <t>NM-200410-052</t>
  </si>
  <si>
    <t>NMNM112946</t>
  </si>
  <si>
    <t>CURRY</t>
  </si>
  <si>
    <t>T60N, R370E, NMPM MERIDIAN</t>
  </si>
  <si>
    <t>SEC 5, LOTS 5, 6;  SEC 8, LOTS 1, 2</t>
  </si>
  <si>
    <t>NM-200410-075</t>
  </si>
  <si>
    <t>NMNM112963</t>
  </si>
  <si>
    <t>SAN JUAN</t>
  </si>
  <si>
    <t>BUREAU OF INDIAN AFFAIRS IS SURF. MGR.</t>
  </si>
  <si>
    <t>T300N, R160W, NMPM MERIDIAN</t>
  </si>
  <si>
    <t>SEC 11 NWNE</t>
  </si>
  <si>
    <t>NM-200410-092</t>
  </si>
  <si>
    <t>OKNM112972</t>
  </si>
  <si>
    <t>ROGER MILLS</t>
  </si>
  <si>
    <t>USDA FOREST SVC IS SURF. MGR.</t>
  </si>
  <si>
    <t>T150N, R240W, IM MERIDIAN</t>
  </si>
  <si>
    <t>SEC 26 E2,S2SW</t>
  </si>
  <si>
    <t>NM-200410-101</t>
  </si>
  <si>
    <t>TXNM112975</t>
  </si>
  <si>
    <t>ZAPATA</t>
  </si>
  <si>
    <t>INT'L BOUNDARY &amp; WATER COMM IS SURF. MGR.</t>
  </si>
  <si>
    <t>TRACT Z-279-A, Z-280-A</t>
  </si>
  <si>
    <t>SEE EXHIBIT FOR METES &amp; BOUNDS</t>
  </si>
  <si>
    <t>NM-200410-104</t>
  </si>
  <si>
    <t>BALANCE 12-31-2004</t>
  </si>
  <si>
    <t>BALANCE 12-31-2005</t>
  </si>
  <si>
    <t>TXNM116082</t>
  </si>
  <si>
    <t>SAM HOUSTON NATIONAL FOREST</t>
  </si>
  <si>
    <t>TR J-38A PARCEL #1 (SEE LEASE)</t>
  </si>
  <si>
    <t>SEE LEASE</t>
  </si>
  <si>
    <t>NM-200604093</t>
  </si>
  <si>
    <t>KSNM117097</t>
  </si>
  <si>
    <t>RUSSELL</t>
  </si>
  <si>
    <t>KS</t>
  </si>
  <si>
    <t>Expired 2016</t>
  </si>
  <si>
    <t>WILSON LAKE</t>
  </si>
  <si>
    <t>T130S,R120W,6TH MERIDIAN</t>
  </si>
  <si>
    <t>SEC 006,SE</t>
  </si>
  <si>
    <t>NM200610-001</t>
  </si>
  <si>
    <t>NMNM117106</t>
  </si>
  <si>
    <t>LINCOLN NATIONAL FOREST</t>
  </si>
  <si>
    <t>T220S,R210E,NMPM MERIDIAN</t>
  </si>
  <si>
    <t>SEC 033 ALL, SEC 034 ALL</t>
  </si>
  <si>
    <t>NM200610-011</t>
  </si>
  <si>
    <t>NMNM117136</t>
  </si>
  <si>
    <t>SANDOVAL</t>
  </si>
  <si>
    <t>T160N,R30W,NMPM MERIDIAN</t>
  </si>
  <si>
    <t>SEC 15,LOT1; SEC 15,NWNE,S2NE,W2SE</t>
  </si>
  <si>
    <t>NM200610-042</t>
  </si>
  <si>
    <t>NMNM117141</t>
  </si>
  <si>
    <t>MCKINLEY</t>
  </si>
  <si>
    <t>T160N,R70W,NMPM MERIDIAN</t>
  </si>
  <si>
    <t>SEC 26,LOTS1-8; SEC 26,N2,N2S2; SEC 34,LOTS1-8; SEC 34,E2,E2W2</t>
  </si>
  <si>
    <t>NM200610-049</t>
  </si>
  <si>
    <t>NMNM117144</t>
  </si>
  <si>
    <t>T170N,R90W,NMPM MERIDIAN</t>
  </si>
  <si>
    <t>SEC 30,LOTS1-4; SEC 30 E2.E2W2; SEC 34 ALL</t>
  </si>
  <si>
    <t>NM200610-054</t>
  </si>
  <si>
    <t>NMNM117145</t>
  </si>
  <si>
    <t>GRANT</t>
  </si>
  <si>
    <t>T180S,R130W,NMPM MERIDIAN</t>
  </si>
  <si>
    <t>SEC 6,LOT3; SEC 6,NESW; SEC20,LOTS1-9; SEC20 NWNW,SWSW,NESE</t>
  </si>
  <si>
    <t>NM200610-055</t>
  </si>
  <si>
    <t>NMNM117151</t>
  </si>
  <si>
    <t>T180S,R140W,NMPM MERIDIAN</t>
  </si>
  <si>
    <t>SEC 23,S2SW,W2SE; SEC 26,SENW,SE</t>
  </si>
  <si>
    <t>NM200610-064</t>
  </si>
  <si>
    <t>TXNM117165</t>
  </si>
  <si>
    <t>MONTGOMERY&amp;WALKER</t>
  </si>
  <si>
    <t>TR J-1-II PARCEL #1;TR SEE EXHIBIT C W/MAP</t>
  </si>
  <si>
    <t>NM200610-078</t>
  </si>
  <si>
    <t>TXNM117166</t>
  </si>
  <si>
    <t>TR J-1-II PARCEL #3;TR SEE EXHIBIT D W/MAP</t>
  </si>
  <si>
    <t>NM200610-079</t>
  </si>
  <si>
    <t>TXNM117167</t>
  </si>
  <si>
    <t>SAM HOUSTON NATIONAL FOREST-50% INT.</t>
  </si>
  <si>
    <t>TR J-1-II PARCEL #4;TR SEE EXHIBIT E W/MAP</t>
  </si>
  <si>
    <t>NM200610-080</t>
  </si>
  <si>
    <t>TXNM117168</t>
  </si>
  <si>
    <t>TR J-1-II PARCEL#5</t>
  </si>
  <si>
    <t>TR SEE EXHIBIT F W/MAP</t>
  </si>
  <si>
    <t>NM200610-081</t>
  </si>
  <si>
    <t>TXNM117169</t>
  </si>
  <si>
    <t>TR J-1-II PARCEL#6</t>
  </si>
  <si>
    <t>TR SEE EXHIBIT G W/MAP</t>
  </si>
  <si>
    <t>NM200610-082</t>
  </si>
  <si>
    <t>TXNM117170</t>
  </si>
  <si>
    <t>TR J-1-V</t>
  </si>
  <si>
    <t>TR SEE EXHIBIT H W/MAP</t>
  </si>
  <si>
    <t>NM200610-083</t>
  </si>
  <si>
    <t>TXNM117171</t>
  </si>
  <si>
    <t>TR J-72</t>
  </si>
  <si>
    <t>TR SEE EXHIBIT I W/MAP</t>
  </si>
  <si>
    <t>NM200610-084</t>
  </si>
  <si>
    <t>TXNM117173</t>
  </si>
  <si>
    <t>WISE</t>
  </si>
  <si>
    <t>LBJ NATIONAL GRASSLANDS</t>
  </si>
  <si>
    <t>TR 689</t>
  </si>
  <si>
    <t>NM200610-086</t>
  </si>
  <si>
    <t>TXNM117174</t>
  </si>
  <si>
    <t>TR 751</t>
  </si>
  <si>
    <t>TR SEE EXHIBIT L W/MAP</t>
  </si>
  <si>
    <t>NM200610-087</t>
  </si>
  <si>
    <t xml:space="preserve">GROUP TOTAL </t>
  </si>
  <si>
    <t>ARES54409</t>
  </si>
  <si>
    <t>OUACHITA NATL FOREST</t>
  </si>
  <si>
    <t>5TH PRINCIPAL MERIDIAN, T1N, R30W</t>
  </si>
  <si>
    <t>SEC 3, NENW,SW</t>
  </si>
  <si>
    <t>ES016-12/06</t>
  </si>
  <si>
    <t>ARES54410</t>
  </si>
  <si>
    <t>SEC 3, TRACT A5481 LYING IN THE NE</t>
  </si>
  <si>
    <t>ARES54411</t>
  </si>
  <si>
    <t>Notice received on 12-18-09. Lease cancelled. '$1,905.00+ 3-YR Rent $762.00 = Total $3,048.0 Received 8-31-10</t>
  </si>
  <si>
    <t>TRACT A-3089b IN THE W2NW, TRACT A-531 IN E2NW, TRACT A-531a IN SWNE, TRACT A-3064b in SW</t>
  </si>
  <si>
    <t>ES018-12/06</t>
  </si>
  <si>
    <t>ARES54412</t>
  </si>
  <si>
    <t>SEC 17 SWSW; SEC 18 SENW, E2SW, Fr. NWSW, W2SE, SESE</t>
  </si>
  <si>
    <t>ES019-12/06</t>
  </si>
  <si>
    <t>ARES54445</t>
  </si>
  <si>
    <t>CRAWFORD</t>
  </si>
  <si>
    <t>OZARK NATL FOREST</t>
  </si>
  <si>
    <t>5TH PRINCIPAL MERIDIAN, T11N,R32W</t>
  </si>
  <si>
    <t>SEC 4 NENE, SEC 6 NWNW,SWSW, SEC 8 SWNE, SEC 12 SWSW</t>
  </si>
  <si>
    <t>ES052-12/06</t>
  </si>
  <si>
    <t>ARES54446</t>
  </si>
  <si>
    <t>SEC 14 S2SE; SEC 20 SWNW; SEC 24 W2NWNW, W2E2NWNW, S2NW, E2E2NWNW</t>
  </si>
  <si>
    <t>ES053-12/06</t>
  </si>
  <si>
    <t>ARES54499</t>
  </si>
  <si>
    <t>LOGAN &amp; YELL</t>
  </si>
  <si>
    <t>5TH PRINCIPAL MERIDIAN, T6N,R24W</t>
  </si>
  <si>
    <t>SEC 30 ALL</t>
  </si>
  <si>
    <t>ES106-12/06</t>
  </si>
  <si>
    <t>ARES54508</t>
  </si>
  <si>
    <t>HBP CA with ARES55530 since 8-2-08.  20 acres in unit -3.1179%. Lease is in unit ARES 55530; Wolf Exploration, Inc Operator (479-478-9610) Frank E Patton-Landman; first prod 1-2-2009</t>
  </si>
  <si>
    <t>5TH PRINCIPAL MERIDIAN, T11N,R26W</t>
  </si>
  <si>
    <t xml:space="preserve">SEC 2 S2SW  </t>
  </si>
  <si>
    <t>ES115-12/06</t>
  </si>
  <si>
    <t>ARES54509</t>
  </si>
  <si>
    <t>SEC 2 S2 SWNW LESS 2.5A, SEC 3 NE E2NW NWSW, SEC 4 NWNE SENE NENW PART SWNE CONT. +/-34.69A</t>
  </si>
  <si>
    <t>ES116-12/06</t>
  </si>
  <si>
    <t>ARES54510</t>
  </si>
  <si>
    <t>SEC 5 NW; SEC 6 E2, E2W2, SWNW, NWSW</t>
  </si>
  <si>
    <t>ES117-12/06</t>
  </si>
  <si>
    <t>ARES54511</t>
  </si>
  <si>
    <t>SEC 9 TR B-3184 SENW OF NE +/-141.74A; 3 OTHER SMALL TRACTS; SEC.10 0.31 A IN 2 TRACTS</t>
  </si>
  <si>
    <t>ES118-12/06</t>
  </si>
  <si>
    <t>ARES54512</t>
  </si>
  <si>
    <t>TRACTS IN SEC 13, 14, 19, 20, 21 22, 23, 24, 25; SEE LSE; TOTAL 1670.37 A</t>
  </si>
  <si>
    <t>ES119-12/06</t>
  </si>
  <si>
    <t>ARES54513</t>
  </si>
  <si>
    <t>SEC 29 ALL, SEC 30 E2 E2NW SWNW S2NESW, SEC 32 E2, SEC 33 W2NE N2NW SWNW W2SW, SEC 34 W2NE W2 NWSE</t>
  </si>
  <si>
    <t>ES120-12/06</t>
  </si>
  <si>
    <t>ARES54514</t>
  </si>
  <si>
    <t xml:space="preserve">FRANKLIN </t>
  </si>
  <si>
    <t>5TH PRINCIPAL MERIDIAN, T12N,R26W</t>
  </si>
  <si>
    <t>SEC 9 E2NE NWNE N2SWNE E2SW SE</t>
  </si>
  <si>
    <t>ES121-12/06</t>
  </si>
  <si>
    <t>ARES54515</t>
  </si>
  <si>
    <t>SEC 16 S2</t>
  </si>
  <si>
    <t>ES122-12/06</t>
  </si>
  <si>
    <t>LAES54518</t>
  </si>
  <si>
    <t>CLAIBORNE PARISH</t>
  </si>
  <si>
    <t>KISATCHIE NATL FOREST</t>
  </si>
  <si>
    <t>LOUISIANA MERIDIAN, T22N,R6W</t>
  </si>
  <si>
    <t>SEC 28 ALL</t>
  </si>
  <si>
    <t>ES125-12/06</t>
  </si>
  <si>
    <t>LAES54519</t>
  </si>
  <si>
    <t>SEC 29 ALL</t>
  </si>
  <si>
    <t>ES129-12/06</t>
  </si>
  <si>
    <t>LAES54520</t>
  </si>
  <si>
    <t>SEC 3 , S2N2SENE, S2SENE, NESE, S2S2NWSE, S2SE</t>
  </si>
  <si>
    <t>ES127-12/06</t>
  </si>
  <si>
    <t>MSES54527</t>
  </si>
  <si>
    <t>SMITH</t>
  </si>
  <si>
    <t>BIENVILLE NATL FOREST</t>
  </si>
  <si>
    <t>CHOCTAW MERIDIAN, T3N,R7E</t>
  </si>
  <si>
    <t>SEC 22, S2SW,SE</t>
  </si>
  <si>
    <t>ES134-12/06</t>
  </si>
  <si>
    <t>MSES54528</t>
  </si>
  <si>
    <t>CHOCTAW MERIDIAN, T4N,R6E</t>
  </si>
  <si>
    <t>SEC 1, N2NE, SEC 2, SWNE</t>
  </si>
  <si>
    <t>ES135-12/06</t>
  </si>
  <si>
    <t>MSES54529</t>
  </si>
  <si>
    <t>CHOCTAW MERIDIAN, T4N,R7E</t>
  </si>
  <si>
    <t>SEC 6, W2E2, NW, N2SW, SESW</t>
  </si>
  <si>
    <t>ES136-12/06</t>
  </si>
  <si>
    <t>MSES54530</t>
  </si>
  <si>
    <t>CHOCTAW MERIDIAN, T4N,R8E</t>
  </si>
  <si>
    <t>SEC 1, PART, SEC 3, PART, SEC 5, E2E2 (SEE LEASE ATTACHMENT  FOR SEC 1 &amp; 3 DETAILS)</t>
  </si>
  <si>
    <t>ES137-12/06</t>
  </si>
  <si>
    <t>MSES54531</t>
  </si>
  <si>
    <t xml:space="preserve">SEC 2, W2W2,SESW,S2SE; SEC 4, NWNE,NENW,N2SENW,W2W2,SESW </t>
  </si>
  <si>
    <t>ES138-12/06</t>
  </si>
  <si>
    <t>MSES54532</t>
  </si>
  <si>
    <t>SEC 9, W2NW,E2SW,N2NWSW,E2SWSW,S2SE; SEC 10 SEE LEASE ATTACHMENT</t>
  </si>
  <si>
    <t>ES139-12/06</t>
  </si>
  <si>
    <t>MSES54533</t>
  </si>
  <si>
    <t>SEC 11, NENE,N2SENE,W2NE,W2,NWSE,E2SWSE; SEC12 SWNE, W2NW,S2SE</t>
  </si>
  <si>
    <t>ES140-12/06</t>
  </si>
  <si>
    <t>MSES54534</t>
  </si>
  <si>
    <t>SEC 13, W2NE,S2NW,W2SW,SESW,N2SE; SEC 14 W2,NESE,S2SE; SEC 15 SEE LEASE ATTCHMENT</t>
  </si>
  <si>
    <t>ES141-12/06</t>
  </si>
  <si>
    <t>MSES54535</t>
  </si>
  <si>
    <t>SEC 22, SEE LEASE ATTACHMENT; SEC 23, W2NESE</t>
  </si>
  <si>
    <t>ES142-12/06</t>
  </si>
  <si>
    <t>MSES54536</t>
  </si>
  <si>
    <t>SEC 25, W2E2(?),EAST 10 AC OF NENW,NWNW,S2NW.NENSW,E2NWSW</t>
  </si>
  <si>
    <t>ES143-12/06</t>
  </si>
  <si>
    <t>MSES54537</t>
  </si>
  <si>
    <t>SEC 27, SENE, NWNW, E2SE, EAST 30 A OF NWSE</t>
  </si>
  <si>
    <t>ES144-12/06</t>
  </si>
  <si>
    <t>MSES54538</t>
  </si>
  <si>
    <t>ST STEPHENS MERIDIAN, T6N,R7W</t>
  </si>
  <si>
    <t>SEC 12, SWNW</t>
  </si>
  <si>
    <t>ES145-12/06</t>
  </si>
  <si>
    <t>MSES54539</t>
  </si>
  <si>
    <t>SEC 5, ALL</t>
  </si>
  <si>
    <t>ES146-12/06</t>
  </si>
  <si>
    <t>MSES54540</t>
  </si>
  <si>
    <t>SEC 7, N2,N2SW,SWSW,SE</t>
  </si>
  <si>
    <t>ES147-12/06</t>
  </si>
  <si>
    <t>MSES54541</t>
  </si>
  <si>
    <t>SEC 9, E2,N2NW,SW</t>
  </si>
  <si>
    <t>ES148-12/06</t>
  </si>
  <si>
    <t>MSES54542</t>
  </si>
  <si>
    <t>SEC 10, ALL</t>
  </si>
  <si>
    <t>ES149-12/06</t>
  </si>
  <si>
    <t>MSES54543</t>
  </si>
  <si>
    <t>SEC 12, SW,W2SE,SESE</t>
  </si>
  <si>
    <t>ES150-12/06</t>
  </si>
  <si>
    <t>MSES54544</t>
  </si>
  <si>
    <t>SEC 21, ALL</t>
  </si>
  <si>
    <t>ES151-12/06</t>
  </si>
  <si>
    <t>MSES54545</t>
  </si>
  <si>
    <t>SEC 23, NWNE,N2NW,SWNW,NESW,S2SE,SWSW</t>
  </si>
  <si>
    <t>ES152-12/06</t>
  </si>
  <si>
    <t>MSES54546</t>
  </si>
  <si>
    <t>SEC 26, N2,N2S2,S2SW,SWSE</t>
  </si>
  <si>
    <t>ES153-12/06</t>
  </si>
  <si>
    <t>MSES54547</t>
  </si>
  <si>
    <t>SEC 31, NENE</t>
  </si>
  <si>
    <t>ES154-12/06</t>
  </si>
  <si>
    <t>MSES54548</t>
  </si>
  <si>
    <t>SEC 32, N 17A OF NWNW, SWNE</t>
  </si>
  <si>
    <t>ES155-12/06</t>
  </si>
  <si>
    <t>MSES54549</t>
  </si>
  <si>
    <t>SEC 36, ALL</t>
  </si>
  <si>
    <t>ES156-12/06</t>
  </si>
  <si>
    <t>MSES54550</t>
  </si>
  <si>
    <t>ST STEPHENS MERIDIAN, T6N,R10W</t>
  </si>
  <si>
    <t>SEC 1, SENE</t>
  </si>
  <si>
    <t>ES157-12/06</t>
  </si>
  <si>
    <t>MSES54551</t>
  </si>
  <si>
    <t>SEC 2, NWNE,S2NE,NENW,W2NW,W2SW,SESW,NESW LESS 60 A (SEE LSE ATTACHMENT FOR M&amp;B), W2SE</t>
  </si>
  <si>
    <t>ES158-12/06</t>
  </si>
  <si>
    <t>MSES54552</t>
  </si>
  <si>
    <t>SEC 4, ALL</t>
  </si>
  <si>
    <t>ES159-12/06</t>
  </si>
  <si>
    <t>MSES54553</t>
  </si>
  <si>
    <t>ES160-12/06</t>
  </si>
  <si>
    <t>MSES54554</t>
  </si>
  <si>
    <t>SEC 23, SENE, NESE</t>
  </si>
  <si>
    <t>ES161-12/06</t>
  </si>
  <si>
    <t>MSES54557</t>
  </si>
  <si>
    <t>SOLD TO REAGAN SMITH MAY 2015</t>
  </si>
  <si>
    <t>ST STEPHENS MERIDIAN, T2S,R10W</t>
  </si>
  <si>
    <t>SEC 3, N2NE,SWNE,E2SW</t>
  </si>
  <si>
    <t>ES164-12/06</t>
  </si>
  <si>
    <t>MSES54558</t>
  </si>
  <si>
    <t>SEC 17, ALL LESS 0.92 A DESCRIBED IN M&amp;B IN LSE ATTACHMENT</t>
  </si>
  <si>
    <t>ES165-12/06</t>
  </si>
  <si>
    <t>MSES54562</t>
  </si>
  <si>
    <t>ST STEPHENS MERIDIAN, T4S,R9W</t>
  </si>
  <si>
    <t>ES169-12/06</t>
  </si>
  <si>
    <t>MSES54563</t>
  </si>
  <si>
    <t>SEC 5, S2,W2NW,NENW</t>
  </si>
  <si>
    <t>ES170-12/06</t>
  </si>
  <si>
    <t>MSES54564</t>
  </si>
  <si>
    <t>SEC 6, NE LESS 14 A IN SENE; E2NW, SWNW, S2</t>
  </si>
  <si>
    <t>ES171-12/06</t>
  </si>
  <si>
    <t>MSES54565</t>
  </si>
  <si>
    <t>SEC 7 ALL  (642.40 A ?)</t>
  </si>
  <si>
    <t>ES172-12/06</t>
  </si>
  <si>
    <t>MSES54566</t>
  </si>
  <si>
    <t>SEC 8, ALL</t>
  </si>
  <si>
    <t>ES173-12/06</t>
  </si>
  <si>
    <t>MSES54567</t>
  </si>
  <si>
    <t>SEC 9, ALL</t>
  </si>
  <si>
    <t>ES174-12/06</t>
  </si>
  <si>
    <t>MSES54568</t>
  </si>
  <si>
    <t>SEC 15, ALL</t>
  </si>
  <si>
    <t>ES175-12/06</t>
  </si>
  <si>
    <t>MSES54569</t>
  </si>
  <si>
    <t>SEC 17, W2SW,E2NE,SWNE,N2SE,N2NW</t>
  </si>
  <si>
    <t>ES176-12/06</t>
  </si>
  <si>
    <t>MSES54570</t>
  </si>
  <si>
    <t>SEC 18, ALL</t>
  </si>
  <si>
    <t>ES177-12/06</t>
  </si>
  <si>
    <t>MSES54571</t>
  </si>
  <si>
    <t>ES178-12/06</t>
  </si>
  <si>
    <t>MSES54572</t>
  </si>
  <si>
    <t>SEC 20, S2NE,NW,E2SW,SE; SEC21, N2</t>
  </si>
  <si>
    <t>ES179-12/06</t>
  </si>
  <si>
    <t>MSES54573</t>
  </si>
  <si>
    <t>ES180-12/06</t>
  </si>
  <si>
    <t>MSES54574</t>
  </si>
  <si>
    <t>SEC 23, NE, S2</t>
  </si>
  <si>
    <t>ES181-12/06</t>
  </si>
  <si>
    <t>MSES54575</t>
  </si>
  <si>
    <t>ES182-12/06</t>
  </si>
  <si>
    <t>MSES54576</t>
  </si>
  <si>
    <t>SEC 25, ALL</t>
  </si>
  <si>
    <t>ES183-12/06</t>
  </si>
  <si>
    <t>MSES54577</t>
  </si>
  <si>
    <t>HARRISON</t>
  </si>
  <si>
    <t>SEC 29, NE,E2NW,SWNW,E2SW,S2SE</t>
  </si>
  <si>
    <t>ES184-12/06</t>
  </si>
  <si>
    <t>MSES54578</t>
  </si>
  <si>
    <t>SEC 30, ALL</t>
  </si>
  <si>
    <t>ES185-12/06</t>
  </si>
  <si>
    <t>MSES54579</t>
  </si>
  <si>
    <t>SEC 31, W2NW,SW,W2SE</t>
  </si>
  <si>
    <t>ES186-12/06</t>
  </si>
  <si>
    <t>MSES54580</t>
  </si>
  <si>
    <t>SEC 32, N2,SW,N2SE,SESE</t>
  </si>
  <si>
    <t>ES187-12/06</t>
  </si>
  <si>
    <t>MSES54581</t>
  </si>
  <si>
    <t>SEC 35, ALL</t>
  </si>
  <si>
    <t>ES188-12/06</t>
  </si>
  <si>
    <t>MSES54582</t>
  </si>
  <si>
    <t>ST STEPHENS MERIDIAN, T5S,R9W</t>
  </si>
  <si>
    <t>SEC 12, W2SW</t>
  </si>
  <si>
    <t>ES189-12/06</t>
  </si>
  <si>
    <t>MSES54584</t>
  </si>
  <si>
    <t>WASHINGTON MERIDIAN, T6N,R4E</t>
  </si>
  <si>
    <t>SEC 5, N2NE; SEC 6 SWSW, LESS PART DESCRIBED IN M&amp;B; SEC 7, W2NW,NWSW</t>
  </si>
  <si>
    <t>ES191-12-06</t>
  </si>
  <si>
    <t>MSES54585</t>
  </si>
  <si>
    <t>SEC 8, S2NWNE; SEC 9, NE,N2NW,SENW,NESW,N2SE,SESE; SEC 10, W2NW</t>
  </si>
  <si>
    <t>ES192-12/06</t>
  </si>
  <si>
    <t>MSES54586</t>
  </si>
  <si>
    <t>SEC 32, SWNE,SESW,S2SE</t>
  </si>
  <si>
    <t>ES193-12/06</t>
  </si>
  <si>
    <t>MSES54587</t>
  </si>
  <si>
    <t>SEC 33, S2SE</t>
  </si>
  <si>
    <t>ES194-12/06</t>
  </si>
  <si>
    <t>Cost of ORRI's &amp; Leases sold to GST &amp; Hunt</t>
  </si>
  <si>
    <t>TXNM117613</t>
  </si>
  <si>
    <t>HOUSTON &amp; TRINITY</t>
  </si>
  <si>
    <t>TRACT K-2v - "TRINITY CO LUMBER CO TRACT"</t>
  </si>
  <si>
    <t>SEE LEASE FOR M&amp;B &amp; MAP</t>
  </si>
  <si>
    <t>NM200701091</t>
  </si>
  <si>
    <t>TXNM117620</t>
  </si>
  <si>
    <t>SABINE</t>
  </si>
  <si>
    <t xml:space="preserve">TR S-17, S-48-50% MI; TR S-2K-IX,25% MI </t>
  </si>
  <si>
    <t>NM200701098</t>
  </si>
  <si>
    <t>TXNM117621</t>
  </si>
  <si>
    <t>SHELBY</t>
  </si>
  <si>
    <t>TR S-1B-I PARCEL #2</t>
  </si>
  <si>
    <t xml:space="preserve">SEE LEASE FOR M&amp;B </t>
  </si>
  <si>
    <t>NM200701099</t>
  </si>
  <si>
    <t>TXNM117622</t>
  </si>
  <si>
    <t>TRINITY</t>
  </si>
  <si>
    <t>TR K-2F- "TRINITY CO LUMBER CO TRACTS"</t>
  </si>
  <si>
    <t>NM200701100</t>
  </si>
  <si>
    <t>TXNM117623</t>
  </si>
  <si>
    <t>TR K-2D- "TRINITY CO LUMBER CO TRACT"</t>
  </si>
  <si>
    <t>NM200701101</t>
  </si>
  <si>
    <t>TXNM117626</t>
  </si>
  <si>
    <t>TR K-2C PARCEL #1</t>
  </si>
  <si>
    <t>NM200701104</t>
  </si>
  <si>
    <t>TXNM117627</t>
  </si>
  <si>
    <t>TR K-2C PARCEL #2</t>
  </si>
  <si>
    <t>NM200701105</t>
  </si>
  <si>
    <t>TXNM117628</t>
  </si>
  <si>
    <t>TR K-2AG,K-2AH,K-2AR,K-2AS,K-2ASI</t>
  </si>
  <si>
    <t>NM200701-106</t>
  </si>
  <si>
    <t>TXNM117633</t>
  </si>
  <si>
    <t>MCMULLEN</t>
  </si>
  <si>
    <t xml:space="preserve">SUNDANCE ENERGY REASSIGNING TO R&amp;R. WE HAVE TO PAY RENTALS. </t>
  </si>
  <si>
    <t>NUECES RIVER PROJECT - NPRI OUTSTANDING</t>
  </si>
  <si>
    <t>TR NR-68A, NR-68B - 78.125 MI</t>
  </si>
  <si>
    <t>NM200701111</t>
  </si>
  <si>
    <t>NMNM118115</t>
  </si>
  <si>
    <t>CHAVES</t>
  </si>
  <si>
    <t>PUBLIC DOMAIN LANDS</t>
  </si>
  <si>
    <t>NMPM MERIDIAN, T60S,R31E</t>
  </si>
  <si>
    <t>SEC 17, S2SW</t>
  </si>
  <si>
    <t>NM200704011</t>
  </si>
  <si>
    <t>NMNM118125</t>
  </si>
  <si>
    <t>LEA</t>
  </si>
  <si>
    <t>ORRI - 6.25 % UNIFIED, 6.25% AHUJA CHILDREN 2012 LT TRUST</t>
  </si>
  <si>
    <t>NMPM MERIDIAN, T100S,R360E</t>
  </si>
  <si>
    <t>SEC 28, S2S2</t>
  </si>
  <si>
    <t>NM200704021</t>
  </si>
  <si>
    <t xml:space="preserve">YES </t>
  </si>
  <si>
    <t>Instrument#50522 Book 1806 Page 286</t>
  </si>
  <si>
    <t>NMNM118129</t>
  </si>
  <si>
    <t>RIO ARRIBA</t>
  </si>
  <si>
    <t>NMPM MERIDIAN, T230N,R70W</t>
  </si>
  <si>
    <t xml:space="preserve">SEC 7, LOTS 1-4; SEC 7, E2W2,SE; SEC 8, SW </t>
  </si>
  <si>
    <t>NM200704026</t>
  </si>
  <si>
    <t>NMNM118131</t>
  </si>
  <si>
    <t>McKINLEY</t>
  </si>
  <si>
    <t>NMPM MERIDIAN, T160N,R80W</t>
  </si>
  <si>
    <t>SEC 2, LOTS1,3,4, S2NW,S2; SEC4, LOTS 1-4, S2N2,S2; SEC 6, LOTS 1-7, S2NE,SENW,E2SW,SE</t>
  </si>
  <si>
    <t>NM200704028</t>
  </si>
  <si>
    <t>OKNM118143</t>
  </si>
  <si>
    <t>BEAVER</t>
  </si>
  <si>
    <t xml:space="preserve">CA AGRMT. WITH OKNM127227 - UNIT PETRO OPR. ASGN REC. 50% - BUTKA #1-H-X </t>
  </si>
  <si>
    <t>CM MERIDIAN, T20N,R220E</t>
  </si>
  <si>
    <t>SEC 13, SESW</t>
  </si>
  <si>
    <t>OK200704041</t>
  </si>
  <si>
    <t>OKNM118144</t>
  </si>
  <si>
    <t>CA AGRMT. WITH OKNM128709 - UNIT PETRO OPR. STATE OF OKLAHOMA B #1-1H</t>
  </si>
  <si>
    <t>CM MERIDIAN, T10N,R230E</t>
  </si>
  <si>
    <t>SEC 1, NESW</t>
  </si>
  <si>
    <t>OK200704042</t>
  </si>
  <si>
    <t>OKNM118145</t>
  </si>
  <si>
    <t>CM MERIDIAN, T60N,R240E</t>
  </si>
  <si>
    <t>SEC 8, SESW; SEC 28, NWNE</t>
  </si>
  <si>
    <t>OK200704043</t>
  </si>
  <si>
    <t>OKNM118146</t>
  </si>
  <si>
    <t>CM MERIDIAN, T60N,R250E</t>
  </si>
  <si>
    <t xml:space="preserve">SEC 8, LOTS 3,4; SEC 9, LOT3; SEC 15, NWNW; SEC22, SENE </t>
  </si>
  <si>
    <t>OK200704044</t>
  </si>
  <si>
    <t>OKNM118149</t>
  </si>
  <si>
    <t>CADDO PARISH</t>
  </si>
  <si>
    <t>IM MERIDIAN, T50N,R120W</t>
  </si>
  <si>
    <t>SEC 32, SE</t>
  </si>
  <si>
    <t>OK200704047</t>
  </si>
  <si>
    <t>OKNM118156</t>
  </si>
  <si>
    <t>DEWEY</t>
  </si>
  <si>
    <t>IM MERIDIAN, T170N,R160W</t>
  </si>
  <si>
    <t>SEC 29 NENW; SEC 30, LOT 2</t>
  </si>
  <si>
    <t>OK200704054</t>
  </si>
  <si>
    <t>I-2017-002282 Book 1659 Page(s) 0494-0498</t>
  </si>
  <si>
    <t>OKNM118157</t>
  </si>
  <si>
    <t>IM MERIDIAN, T180N,R160W</t>
  </si>
  <si>
    <t>SEC 11, NESE,SWSE</t>
  </si>
  <si>
    <t>OK200704055</t>
  </si>
  <si>
    <t>OKNM118161</t>
  </si>
  <si>
    <t>TILLMAN</t>
  </si>
  <si>
    <t>IM MERIDIAN, T40S,R170W</t>
  </si>
  <si>
    <t>SEC 10, LOTS 1A, 1B, 2A, 2B; SEC15, LOTS A, B</t>
  </si>
  <si>
    <t>OK200704059</t>
  </si>
  <si>
    <t>OKNM118168</t>
  </si>
  <si>
    <t>IM MERIDIAN, T20S,R190W</t>
  </si>
  <si>
    <t>SEC 6, LOTS 3,4; SEC 7, LOTS 9,10; SEC 17, LOT 4; SEC 20, LOT 1</t>
  </si>
  <si>
    <t>OK200704066</t>
  </si>
  <si>
    <t>OKNM118175</t>
  </si>
  <si>
    <t>ELLIS</t>
  </si>
  <si>
    <t xml:space="preserve">CA AGRMT. WITH OKNM127519 - PLANO PETROLEUM. ASGN REC. 50% - LOUISE 1-30 </t>
  </si>
  <si>
    <t>IM MERIDIAN, T170N,R230W</t>
  </si>
  <si>
    <t>SEC 30, NWNE</t>
  </si>
  <si>
    <t>OK200704073</t>
  </si>
  <si>
    <t>OKNM118176</t>
  </si>
  <si>
    <t>IM MERIDIAN, T190N, R230W</t>
  </si>
  <si>
    <t>SEC 24, W2SW; SEC 25, SWSW</t>
  </si>
  <si>
    <t>OK200704074</t>
  </si>
  <si>
    <t>OKNM118181</t>
  </si>
  <si>
    <t>CA AGRMT. WITH OKNM128116 - CHESAPEAKE OPER. GLENDA 9-16-25 #1H</t>
  </si>
  <si>
    <t>IM MERIDIAN, T160N,R250W</t>
  </si>
  <si>
    <t>SEC 1, LOT 1; SEC 9, NWSW</t>
  </si>
  <si>
    <t>OK200704079</t>
  </si>
  <si>
    <t>OKNM118182</t>
  </si>
  <si>
    <t>ASGN REC. 50%</t>
  </si>
  <si>
    <t>IM MERIDIAN, T170N,R250W</t>
  </si>
  <si>
    <t>SEC 34, NENE, SWNE, SENW, NESW</t>
  </si>
  <si>
    <t>OK200704080</t>
  </si>
  <si>
    <t>OKNM118185</t>
  </si>
  <si>
    <t>IM MERIDIAN, T220N,R250W</t>
  </si>
  <si>
    <t>SEC 30 SENW</t>
  </si>
  <si>
    <t>OK200704083</t>
  </si>
  <si>
    <t>OKNM118186</t>
  </si>
  <si>
    <t>HARPER</t>
  </si>
  <si>
    <t>IM MERIDIAN, T290N,R250W</t>
  </si>
  <si>
    <t>SEC 14, LOT 7; SWSW; SEC17, LOT 8; NWSE; SEC 21 LOT 1; SEC 22, LOT 4, SEC 23, LOST 1,5,6</t>
  </si>
  <si>
    <t>OK200704084</t>
  </si>
  <si>
    <t>OKNM118190</t>
  </si>
  <si>
    <t>IM MERIDIAN, T130N,R190W</t>
  </si>
  <si>
    <t>SEC 23, NW</t>
  </si>
  <si>
    <t>OK200704089</t>
  </si>
  <si>
    <t>OKNM118192</t>
  </si>
  <si>
    <t>WOODWARD</t>
  </si>
  <si>
    <t xml:space="preserve">IM MERIDIAN, R240N,R220W </t>
  </si>
  <si>
    <t>SEC 31, SESE; SEC 32, ALL</t>
  </si>
  <si>
    <t>OK200704091</t>
  </si>
  <si>
    <t>OKNM118195</t>
  </si>
  <si>
    <t>IM MERIDIAN, T140N,R250W</t>
  </si>
  <si>
    <t>SEC 12, NWNW</t>
  </si>
  <si>
    <t>OK200704094</t>
  </si>
  <si>
    <t>TXNM118196</t>
  </si>
  <si>
    <t>NUECES RIVER PROJECT</t>
  </si>
  <si>
    <t>TR 57, (153.8 A) TR65M (844 A)</t>
  </si>
  <si>
    <t xml:space="preserve">TR 57 - 78.125% MINERAL INTEREST; TR 65M - 100% MI </t>
  </si>
  <si>
    <t>TX200704095</t>
  </si>
  <si>
    <t>TXNM118197</t>
  </si>
  <si>
    <t>DAVY CROCKETT NAT'L FOREST</t>
  </si>
  <si>
    <t>TR K-10; TR SEE EXHIBIT A FOR M&amp;B W/MAP</t>
  </si>
  <si>
    <t>TX200704096</t>
  </si>
  <si>
    <t>TXNM118198</t>
  </si>
  <si>
    <t>TR K-10B; TR SEE EXHIBIT B FOR M&amp;B W/MAP</t>
  </si>
  <si>
    <t>TX200704097</t>
  </si>
  <si>
    <t>TXNM118199</t>
  </si>
  <si>
    <t>TR K-10E; TR SEE EXHIBIT C FOR M&amp;B W/MAP</t>
  </si>
  <si>
    <t>TX200704098</t>
  </si>
  <si>
    <t>TXNM118204</t>
  </si>
  <si>
    <t>TR K-52; TR SEE EXHIBIT H FOR M&amp;B W/MAP</t>
  </si>
  <si>
    <t>TX200704103</t>
  </si>
  <si>
    <t>TXNM118205</t>
  </si>
  <si>
    <t>TR K-67; TR SEE EXHIBIT I FOR M&amp;B W/MAP</t>
  </si>
  <si>
    <t>50% INTEREST</t>
  </si>
  <si>
    <t>TX200704104</t>
  </si>
  <si>
    <t>TXNM118206</t>
  </si>
  <si>
    <t>TR K-84; TR SEE EXHIBIT J FOR M&amp;B W/MAP</t>
  </si>
  <si>
    <t>50% NPRI RESERVED</t>
  </si>
  <si>
    <t>TX200704105</t>
  </si>
  <si>
    <t>TXNM118214</t>
  </si>
  <si>
    <t>TR K-1Q; TR SEE EXHIBIT R FOR M&amp;B W/MAP</t>
  </si>
  <si>
    <t>TX200704113</t>
  </si>
  <si>
    <t>ARES54668</t>
  </si>
  <si>
    <t>OUACHITA NATIONAL FOREST</t>
  </si>
  <si>
    <t>T3N 21W SEC 35 S2S2</t>
  </si>
  <si>
    <t>ES-2007-06-62</t>
  </si>
  <si>
    <t>ARES54670</t>
  </si>
  <si>
    <t>5TH PRINCIPAL MERIDIAN, T3N,R21W</t>
  </si>
  <si>
    <t>SEC 31, TRACT A-818b IN NWSE (29.08A); SEC 36, TRACT A-3784 (181.11A)</t>
  </si>
  <si>
    <t>ES-2007-06-64</t>
  </si>
  <si>
    <t>ARES54672</t>
  </si>
  <si>
    <t>5TH PRINCIPAL MERIDIAN, T5N,R25W</t>
  </si>
  <si>
    <t>SEC 28, NENE, S2NE,SENW,W2SW,SESW,NESE,S2SE</t>
  </si>
  <si>
    <t>ES-2007-06-66</t>
  </si>
  <si>
    <t>ARES54673</t>
  </si>
  <si>
    <t>SEC 28, SWNW,NESW,NWSE</t>
  </si>
  <si>
    <t>ES-2007-06-67</t>
  </si>
  <si>
    <t>ARES54681</t>
  </si>
  <si>
    <t>VAN BUREN</t>
  </si>
  <si>
    <t>OZARK NATIONAL FOREST</t>
  </si>
  <si>
    <t>5TH PRINCIPAL MERIDIAN, T11N,R16W</t>
  </si>
  <si>
    <t>SEC 29, N2NE, NENW; SEC 30, E2, NW; SEC 31, NENE, SWNE, N2SE, SESE; SEC 32 W2NW, NWSW, SESE</t>
  </si>
  <si>
    <t>ES-2007-06-75</t>
  </si>
  <si>
    <t>ARES54683</t>
  </si>
  <si>
    <t>POPE</t>
  </si>
  <si>
    <t>5TH PRINCIPAL MERIDIAN, T12N,R17W</t>
  </si>
  <si>
    <t>SEC 31, SWNE, NESW, W2SE</t>
  </si>
  <si>
    <t>ES-2007-06-77</t>
  </si>
  <si>
    <t>LAES54696</t>
  </si>
  <si>
    <t>KISATCHIE NATIONAL FOREST</t>
  </si>
  <si>
    <t>SEC 12, SENW, E2SW, E2SWNE, SE, S2SW</t>
  </si>
  <si>
    <t>ES-2007-06-90</t>
  </si>
  <si>
    <t>MIES54700</t>
  </si>
  <si>
    <t>LAKE</t>
  </si>
  <si>
    <t>MI</t>
  </si>
  <si>
    <t>MANISTEE NATIONAL FOREST</t>
  </si>
  <si>
    <t>MICHIGAN MERIDIAN, T18N,R14W</t>
  </si>
  <si>
    <t>SEC 13, NW; SEC 14, S2NE, E2SENW, N2SW, SWSW</t>
  </si>
  <si>
    <t>ES-2007-06-94</t>
  </si>
  <si>
    <t>MIES54701</t>
  </si>
  <si>
    <t>SEC 22, SENE; SEC 23, NENW, S2NW, E2SE; SEC 24, PT. W2NW, E2SW, SWSW, SE</t>
  </si>
  <si>
    <t>ES-2007-06-95</t>
  </si>
  <si>
    <t>MIES54702</t>
  </si>
  <si>
    <t>SEC 25, SW; SEC 26, N2NE, SE; SEC 27, E2NWSE, PART OF E2SSE EXC 100' PMRR ROW</t>
  </si>
  <si>
    <t>ES-2007-06-96</t>
  </si>
  <si>
    <t>MSES54711</t>
  </si>
  <si>
    <t>HOMOCHITTO NATIONAL FOREST</t>
  </si>
  <si>
    <t>WASHINGTON MERIDIAN, T5N, R1E</t>
  </si>
  <si>
    <t>SEC 19, LOTS 1,2,3,6,7,8 (TRACT H-1)</t>
  </si>
  <si>
    <t>ES-2007-06-105</t>
  </si>
  <si>
    <t>MSES54712</t>
  </si>
  <si>
    <t>ACREAGE AMENDED</t>
  </si>
  <si>
    <t>SEC 20, NE, S2SE (TRACT H-1)</t>
  </si>
  <si>
    <t>ES-2007-06-106</t>
  </si>
  <si>
    <t>MSES54713</t>
  </si>
  <si>
    <t>SEC 20, S2NW</t>
  </si>
  <si>
    <t>ES-2007-06-107</t>
  </si>
  <si>
    <t>MSES54714</t>
  </si>
  <si>
    <t>SEC 34, W2NE, SENE, W2, SE (TRACT H-1, H-146)</t>
  </si>
  <si>
    <t>ES-2007-06-108</t>
  </si>
  <si>
    <t>MSES54715</t>
  </si>
  <si>
    <t>SEC 35, TRACT H-1: ALL</t>
  </si>
  <si>
    <t>ES-2007-06-109</t>
  </si>
  <si>
    <t>MSES54716</t>
  </si>
  <si>
    <t>SEC 46, TRACT H-13: LOT 1; LOTS 5 &amp; 6 LESS 100 ACRES OFF S END</t>
  </si>
  <si>
    <t>ES-2007-06-110</t>
  </si>
  <si>
    <t>MSES54719</t>
  </si>
  <si>
    <t>WASHINGTON MERIDIAN, T5N, R2E</t>
  </si>
  <si>
    <t>SEC 17, N2, SW</t>
  </si>
  <si>
    <t>ES-2007-06-113</t>
  </si>
  <si>
    <t>MSES54720</t>
  </si>
  <si>
    <t>SEC 17, SE</t>
  </si>
  <si>
    <t>ES-2007-06-114</t>
  </si>
  <si>
    <t>MSES54721</t>
  </si>
  <si>
    <t>SEC 19, SE</t>
  </si>
  <si>
    <t>ES-2007-06-115</t>
  </si>
  <si>
    <t>MSES54723</t>
  </si>
  <si>
    <t>WASHINGTON MERIDIAN, T6N, R2E</t>
  </si>
  <si>
    <t>SEC 31, LOTS 13 AND 14</t>
  </si>
  <si>
    <t>ES-2007-06-117</t>
  </si>
  <si>
    <t>MSES54730</t>
  </si>
  <si>
    <t>EXPLORATION AGRMT. MEADVILLE 3D - PETROHUNT</t>
  </si>
  <si>
    <t>WASHINGTON MERIDIAN, T5N, R3E</t>
  </si>
  <si>
    <t>SEC 33, ALL; SEC 34, W2NE, NW</t>
  </si>
  <si>
    <t>ES-2007-06-124</t>
  </si>
  <si>
    <t>MSES54731</t>
  </si>
  <si>
    <t>SEC 35, NWSW, S2SW, SWSE</t>
  </si>
  <si>
    <t>ES-2007-06-125</t>
  </si>
  <si>
    <t>MSES54732</t>
  </si>
  <si>
    <t>SEC 36, SE</t>
  </si>
  <si>
    <t>ES-2007-06-126</t>
  </si>
  <si>
    <t>MSES54733</t>
  </si>
  <si>
    <t xml:space="preserve">SEC 37, NE, NESW, S2SW, N2SE </t>
  </si>
  <si>
    <t>ES-2007-06-127</t>
  </si>
  <si>
    <t>MSES54734</t>
  </si>
  <si>
    <t>SEC 43, N2NE, SENE</t>
  </si>
  <si>
    <t>ES-2007-06-128</t>
  </si>
  <si>
    <t>MSES54735</t>
  </si>
  <si>
    <t>SEC 44, NW</t>
  </si>
  <si>
    <t>ES-2007-06-129</t>
  </si>
  <si>
    <t>MSES54736</t>
  </si>
  <si>
    <t>WASHINGTON MERIDIAN, T5N, R4E</t>
  </si>
  <si>
    <t>SEC 29, NWNW; SEC 30, NWSE</t>
  </si>
  <si>
    <t>ES-2007-06-130</t>
  </si>
  <si>
    <t>MSES54740</t>
  </si>
  <si>
    <t>GEORGE</t>
  </si>
  <si>
    <t>ST STEPHENS MERIDIAN, T3S, R9W</t>
  </si>
  <si>
    <t>SEC 2, W2, NWNE</t>
  </si>
  <si>
    <t>ES-2007-06-134</t>
  </si>
  <si>
    <t>MSES54741</t>
  </si>
  <si>
    <t>SEC 3, NE, N2NW, SW</t>
  </si>
  <si>
    <t>ES-2007-06-135</t>
  </si>
  <si>
    <t>MSES54742</t>
  </si>
  <si>
    <t>SEC 4, N2, W2SW, SE1/4 LESS 10A DESCRIBED BY M&amp;B IN LEASE ATTACHMENT</t>
  </si>
  <si>
    <t>ES-2007-06-136</t>
  </si>
  <si>
    <t>MSES54743</t>
  </si>
  <si>
    <t>SEC 5, NE, W2 LESS PART OF SENW &amp; NESW, APPROX 1.55 A DESCRIBED BY M&amp;B IN LEASE ATTACHMENT</t>
  </si>
  <si>
    <t>ES-2007-06-137</t>
  </si>
  <si>
    <t>MSES54744</t>
  </si>
  <si>
    <t>ES-2007-06-138</t>
  </si>
  <si>
    <t>MSES54745</t>
  </si>
  <si>
    <t>SEC 7, S2</t>
  </si>
  <si>
    <t>ES-2007-06-139</t>
  </si>
  <si>
    <t>MSES54746</t>
  </si>
  <si>
    <t>SEC 8, N2NE &amp; SWNE LESS 1.18 A DESCRIBED BY M&amp;B; NENWSE; S2NWSE; NENESE; S2NESE; SESE</t>
  </si>
  <si>
    <t>ES-2007-06-140</t>
  </si>
  <si>
    <t>MSES54747</t>
  </si>
  <si>
    <t>SEC 9, NE, E2NW, SWSW, NWSE</t>
  </si>
  <si>
    <t>ES-2007-06-141</t>
  </si>
  <si>
    <t>MSES54748</t>
  </si>
  <si>
    <t>SEC 10, E2E2 LESS &amp; EXCEPT E1/4SENE, W2E2, E2W2, W2W2 LESS &amp; EXCEPT S2SWSW</t>
  </si>
  <si>
    <t>ES-2007-06-142</t>
  </si>
  <si>
    <t>MSES54750</t>
  </si>
  <si>
    <t>SEC 12, N2 LESS NENE</t>
  </si>
  <si>
    <t>ES-2007-06-144</t>
  </si>
  <si>
    <t>MSES54751</t>
  </si>
  <si>
    <t>SEC 17,NWSW, S2SW, NESE, S2SE</t>
  </si>
  <si>
    <t>ES-2007-06-145</t>
  </si>
  <si>
    <t>MSES54752</t>
  </si>
  <si>
    <t>ES-2007-06-146</t>
  </si>
  <si>
    <t>MSES54753</t>
  </si>
  <si>
    <t>SEC 19, E2, N2NW, SWNW, SW</t>
  </si>
  <si>
    <t>ES-2007-06-147</t>
  </si>
  <si>
    <t>MSES54754</t>
  </si>
  <si>
    <t>SEC 20. NENE, S2NE, N2NW, SENW, NESW, S2SW, SE</t>
  </si>
  <si>
    <t>ES-2007-06-148</t>
  </si>
  <si>
    <t>MSES54755</t>
  </si>
  <si>
    <t>SEC 22, S2S2, N2SW</t>
  </si>
  <si>
    <t>ES-2007-06-149</t>
  </si>
  <si>
    <t>MSES54756</t>
  </si>
  <si>
    <t>SEC 25, S2NE, W2</t>
  </si>
  <si>
    <t>ES-2007-06-150</t>
  </si>
  <si>
    <t>MSES54757</t>
  </si>
  <si>
    <t>SEC 26, ALL</t>
  </si>
  <si>
    <t>ES-2007-06-151</t>
  </si>
  <si>
    <t>MSES54758</t>
  </si>
  <si>
    <t>SEC 27, ALL</t>
  </si>
  <si>
    <t>ES-2007-06-152</t>
  </si>
  <si>
    <t>MSES54759</t>
  </si>
  <si>
    <t>SEC 28, E2, N2NW, SENW</t>
  </si>
  <si>
    <t>ES-2007-06-153</t>
  </si>
  <si>
    <t>MSES54761</t>
  </si>
  <si>
    <t>ACREAGE AMENDED-AS PER MAR 16, 2015 BLM NOTICE. $ 1968.50 TO BE REFUNDED. SOLD TO REAGAN SMITH MAY 2015</t>
  </si>
  <si>
    <t>SEC 30, N2, SE</t>
  </si>
  <si>
    <t>ES-2007-06-155</t>
  </si>
  <si>
    <t>MSES54762</t>
  </si>
  <si>
    <t>SEC 31, E2W2, SWNW, W2SENE, SE</t>
  </si>
  <si>
    <t>ES-2007-06-156</t>
  </si>
  <si>
    <t>MSES54765</t>
  </si>
  <si>
    <t>SEC 34, ALL</t>
  </si>
  <si>
    <t>ES-2007-06-159</t>
  </si>
  <si>
    <t>MSES54766</t>
  </si>
  <si>
    <t>ES-2007-06-160</t>
  </si>
  <si>
    <t>MSES54777</t>
  </si>
  <si>
    <t>ST STEPHENS MERIDIAN, T4S, R9W</t>
  </si>
  <si>
    <t>SEC 10, N2</t>
  </si>
  <si>
    <t>ES-2007-06-171</t>
  </si>
  <si>
    <t>MSES54779</t>
  </si>
  <si>
    <t>SEC 12, ALL LESS NENE</t>
  </si>
  <si>
    <t>ES-2007-06-173</t>
  </si>
  <si>
    <t>MSES54792</t>
  </si>
  <si>
    <t>ES-2007-06-186</t>
  </si>
  <si>
    <t>MSES54793</t>
  </si>
  <si>
    <t>SEC 28, E2, NESW</t>
  </si>
  <si>
    <t>ES-2007-06-187</t>
  </si>
  <si>
    <t>MSES54797</t>
  </si>
  <si>
    <t>SEC 33, SE</t>
  </si>
  <si>
    <t>ES-2007-06-191</t>
  </si>
  <si>
    <t>MSES54802</t>
  </si>
  <si>
    <t>ST STEPHENS MERIDIAN, T5S, R9W</t>
  </si>
  <si>
    <t>ES-2007-06-196</t>
  </si>
  <si>
    <t>MSES54809</t>
  </si>
  <si>
    <t>ST STEPHENS MERIDIAN, T3S, R10W</t>
  </si>
  <si>
    <t>SEC 1, NE, N2NW, E2SW, NESE</t>
  </si>
  <si>
    <t>ES-2007-06-203</t>
  </si>
  <si>
    <t>MSES54810</t>
  </si>
  <si>
    <t>SEC 2, SENE, S2NW, SW, W2SE, NESE LESS 3.91 A. DESCRIBED BY M&amp;B IN LEASE</t>
  </si>
  <si>
    <t>ES-2007-06-204</t>
  </si>
  <si>
    <t>MSES54811</t>
  </si>
  <si>
    <t>SEC 11, E2NE, SWNE, N2NW, SENW, N2SW, SESW, SE</t>
  </si>
  <si>
    <t>ES-2007-06-205</t>
  </si>
  <si>
    <t>MSES54812</t>
  </si>
  <si>
    <t>SEC 12, N2 LESS +/- 4.10A DESCRIBED BYM&amp;B IN LSE ATTACHMENT, N2SW, SESW, SE</t>
  </si>
  <si>
    <t>ES-2007-06-206</t>
  </si>
  <si>
    <t>MSES54813</t>
  </si>
  <si>
    <t xml:space="preserve">STONE </t>
  </si>
  <si>
    <t>SEC 13, E2, E2NW, SWNW, SW</t>
  </si>
  <si>
    <t>ES-2007-06-207</t>
  </si>
  <si>
    <t>MSES54814</t>
  </si>
  <si>
    <t>SEC 25, ALL LESS E2SE</t>
  </si>
  <si>
    <t>ES-2007-06-208</t>
  </si>
  <si>
    <t>MSES54826</t>
  </si>
  <si>
    <t>CANCELLED</t>
  </si>
  <si>
    <t>ST STEPHENS MERIDIAN, T4S, R10W</t>
  </si>
  <si>
    <t>ES-2007-06-220</t>
  </si>
  <si>
    <t>MSES54827</t>
  </si>
  <si>
    <t>ES-2007-06-221</t>
  </si>
  <si>
    <t>MSES54828</t>
  </si>
  <si>
    <t>SEC 26, N2, NESW, SE</t>
  </si>
  <si>
    <t>ES-2007-06-222</t>
  </si>
  <si>
    <t>MSES54831</t>
  </si>
  <si>
    <t>SEC 34, N2NW, S2SW, SE</t>
  </si>
  <si>
    <t>ES-2007-06-225</t>
  </si>
  <si>
    <t>MSES54832</t>
  </si>
  <si>
    <t>ES-2007-06-226</t>
  </si>
  <si>
    <t>MSES54834</t>
  </si>
  <si>
    <t>ST STEPHENS MERIDIAN, T5S, R10W</t>
  </si>
  <si>
    <t>ES-2007-06-228</t>
  </si>
  <si>
    <t>MSES54835</t>
  </si>
  <si>
    <t>SEC 2, ALL</t>
  </si>
  <si>
    <t>ES-2007-06-229</t>
  </si>
  <si>
    <t>MSES54836</t>
  </si>
  <si>
    <t>SEC 3, ALL</t>
  </si>
  <si>
    <t>ES-2007-06-230</t>
  </si>
  <si>
    <t>MSES54837</t>
  </si>
  <si>
    <t>ES-2007-06-231</t>
  </si>
  <si>
    <t>MSES54838</t>
  </si>
  <si>
    <t>ES-2007-06-232</t>
  </si>
  <si>
    <t>MSES54840</t>
  </si>
  <si>
    <t>ES-2007-06-234</t>
  </si>
  <si>
    <t>MSES54841</t>
  </si>
  <si>
    <t>SEC 10, NWNE, SENE, NENW EXCEPT 2 A DESCRIBED IN METES &amp; BOUNDS, S2SW, E2SE</t>
  </si>
  <si>
    <t>ES-2007-06-235</t>
  </si>
  <si>
    <t>MSES54842</t>
  </si>
  <si>
    <t>SEC 11, ALL</t>
  </si>
  <si>
    <t>ES-2007-06-236</t>
  </si>
  <si>
    <t>MSES54843</t>
  </si>
  <si>
    <t>SEC 12, ALL</t>
  </si>
  <si>
    <t>ES-2007-06-237</t>
  </si>
  <si>
    <t>MSES54844</t>
  </si>
  <si>
    <t>ES-2007-06-238</t>
  </si>
  <si>
    <t>MSES54845</t>
  </si>
  <si>
    <t>ES-2007-06-239</t>
  </si>
  <si>
    <t>MSES54846</t>
  </si>
  <si>
    <t xml:space="preserve">SEC 17, LESS 13.79 A DESCRIBED IN M&amp;B </t>
  </si>
  <si>
    <t>ES-2007-06-240</t>
  </si>
  <si>
    <t>MSES54849</t>
  </si>
  <si>
    <t>ES-2007-06-243</t>
  </si>
  <si>
    <t>MSES54850</t>
  </si>
  <si>
    <t>SEC 23, ALL</t>
  </si>
  <si>
    <t>ES-2007-06-244</t>
  </si>
  <si>
    <t>MSES54851</t>
  </si>
  <si>
    <t>ES-2007-06-245</t>
  </si>
  <si>
    <t>MSES54867</t>
  </si>
  <si>
    <t>ST STEPHENS MERIDIAN, T1S, R12W</t>
  </si>
  <si>
    <t>SEC 3, N2SW</t>
  </si>
  <si>
    <t>ES-2007-06-261</t>
  </si>
  <si>
    <t>MSES54868</t>
  </si>
  <si>
    <t>SEC 33, E2</t>
  </si>
  <si>
    <t>ES-2007-06-262</t>
  </si>
  <si>
    <t>NMNM118672</t>
  </si>
  <si>
    <t>SOCORRO</t>
  </si>
  <si>
    <t>NMPM MERIDIAN T30S; R80E</t>
  </si>
  <si>
    <t>SEC. 23, 24, 25, 26 ALL</t>
  </si>
  <si>
    <t>NM200707011</t>
  </si>
  <si>
    <t>NMNM118673</t>
  </si>
  <si>
    <t>SEC. 27, 33, 34 ALL; SEC 35, N2</t>
  </si>
  <si>
    <t>NM200707012</t>
  </si>
  <si>
    <t>NMNM118674</t>
  </si>
  <si>
    <t>NMPM MERIDIAN T40S; R80E</t>
  </si>
  <si>
    <t>SEC 4, LOTS 1-4; S2N2,S2</t>
  </si>
  <si>
    <t>NM200707013</t>
  </si>
  <si>
    <t>NMNM118675</t>
  </si>
  <si>
    <t>SEC 9 ALL; SEC 15 S2NW,SW</t>
  </si>
  <si>
    <t>NM200707014</t>
  </si>
  <si>
    <t>NMNM118676</t>
  </si>
  <si>
    <t>NMPM MERIDIAN T30S; R90E</t>
  </si>
  <si>
    <t>SEC19, LOTS 1-4;E2,E2W2; SEC 20, 21 ALL; SEC 30, LOTS 1-4; E2,E2W2</t>
  </si>
  <si>
    <t>NM200707015</t>
  </si>
  <si>
    <t>NMNM118677</t>
  </si>
  <si>
    <t>SEC 25, 26 ALL; SEC 36, N2WE, NENW</t>
  </si>
  <si>
    <t>NM200707016</t>
  </si>
  <si>
    <t>NMNM118678</t>
  </si>
  <si>
    <t>SEC 27, 28, 29 ALL</t>
  </si>
  <si>
    <t>NM200707017</t>
  </si>
  <si>
    <t>NMNM118679</t>
  </si>
  <si>
    <t>SEC 33 N2; SEC 34, 35 ALL</t>
  </si>
  <si>
    <t>NM200707018</t>
  </si>
  <si>
    <t>NMNM118680</t>
  </si>
  <si>
    <t>NMPM MERIDIAN T40S; R90E</t>
  </si>
  <si>
    <t>SEC 1, LOTS 1-4; S2N2, S2; SEC 12, E2</t>
  </si>
  <si>
    <t>NM200707019</t>
  </si>
  <si>
    <t>NMNM118686</t>
  </si>
  <si>
    <t>NMPM MERIDIAN T150S; R210E</t>
  </si>
  <si>
    <t>SEC 29 N2,NENW,S2SW,SWSE; SEC 30 LOTS 1,3,4; N2NE,NENW,E2SW,SE; SEC 31 LOTS 5-20</t>
  </si>
  <si>
    <t>NM200707025</t>
  </si>
  <si>
    <t>NMNM118688</t>
  </si>
  <si>
    <t>NMPM MERIDIAN T150S; R220E</t>
  </si>
  <si>
    <t>SEC 25 ALL; SEC 26 E2</t>
  </si>
  <si>
    <t>NM200707027</t>
  </si>
  <si>
    <t>NMNM118689</t>
  </si>
  <si>
    <t>SEC 33, S2NE,SE; SEC 34 S2N2,S2; SEC 35 N2NE,S2N2,S2</t>
  </si>
  <si>
    <t>NM200707028</t>
  </si>
  <si>
    <t>NMNM118711</t>
  </si>
  <si>
    <t>HARDING</t>
  </si>
  <si>
    <t>NMPM MERIDIAN T170N; R290E</t>
  </si>
  <si>
    <t>SEC 1 SWNE,S2NW,N2SW,SESW,SE; SEC 12 N2NE,SWNE</t>
  </si>
  <si>
    <t>NM200707050</t>
  </si>
  <si>
    <t>NMNM118715</t>
  </si>
  <si>
    <t>NMPM MERIDIAN T140S; R300E</t>
  </si>
  <si>
    <t>SEC 17 S2</t>
  </si>
  <si>
    <t>NM200707054</t>
  </si>
  <si>
    <t>NMNM118719</t>
  </si>
  <si>
    <t>SOLD TO RKI EXPLORATION (KHODY MINERALS CO.) IN NOVEMBER 2015</t>
  </si>
  <si>
    <t>NMPM MERIDIAN R260S; R310E</t>
  </si>
  <si>
    <t>SEC 19 LOTS 3,4; E2SW</t>
  </si>
  <si>
    <t>NM200707059</t>
  </si>
  <si>
    <t>Rec. at Book 911 Page 603</t>
  </si>
  <si>
    <t>NMNM118725</t>
  </si>
  <si>
    <t>NMPM MERIDIAN R230S; R330E</t>
  </si>
  <si>
    <t>SEC 30 SESE</t>
  </si>
  <si>
    <t>NM200707065</t>
  </si>
  <si>
    <t>Instrument#50523 Book 1806 Page 294</t>
  </si>
  <si>
    <t>NMNM118726</t>
  </si>
  <si>
    <t>ORRI - 6.25 % UNIFIED, 6.25% AHUJA CHILDREN 2012 LT TRUST - Sold to Newfield</t>
  </si>
  <si>
    <t>NMPM MERIDIAN T250S; R330E</t>
  </si>
  <si>
    <t>SEC 4 LOT 4; SEC 5 LOTS 1-4, S2N2,S2; SEC 9 ALL</t>
  </si>
  <si>
    <t>NM200707066</t>
  </si>
  <si>
    <t>Rec. at Book 1806 Page 300</t>
  </si>
  <si>
    <t>NMNM118727</t>
  </si>
  <si>
    <t>NMPM MERIDIAN T260S; R330E</t>
  </si>
  <si>
    <t>SEC 20 ALL</t>
  </si>
  <si>
    <t>NM200707067</t>
  </si>
  <si>
    <t>Rec. at Book 1806 Page 306</t>
  </si>
  <si>
    <t>OKNM118732</t>
  </si>
  <si>
    <t>CIMARRON</t>
  </si>
  <si>
    <t>CM MERIDIAN T50N; R30E</t>
  </si>
  <si>
    <t>SEC 4, S2S2; SEC 6 LOT 7; SEC 7 SENW; SEC 9 NW,N2SW; SEC 17 NWSE</t>
  </si>
  <si>
    <t>OK20070772</t>
  </si>
  <si>
    <t>TXNM118758</t>
  </si>
  <si>
    <t>HILL</t>
  </si>
  <si>
    <t>AQUILLA LAKE MID - BRAZOS</t>
  </si>
  <si>
    <t>TRACT 110, 115, 120</t>
  </si>
  <si>
    <t>TX200708098</t>
  </si>
  <si>
    <t>TXNM118759</t>
  </si>
  <si>
    <t>TRACT 111,112,113,114-1,122</t>
  </si>
  <si>
    <t>TX200707099</t>
  </si>
  <si>
    <t>TXNM118760</t>
  </si>
  <si>
    <t>JOHNSON</t>
  </si>
  <si>
    <t>WHITNEY LAKE</t>
  </si>
  <si>
    <t>TRACT W-R 1614, W-R 1616</t>
  </si>
  <si>
    <t>TX200707100</t>
  </si>
  <si>
    <t>TXNM118761</t>
  </si>
  <si>
    <t>TRACT 103,201</t>
  </si>
  <si>
    <t>TX200707101</t>
  </si>
  <si>
    <t>TXNM118762</t>
  </si>
  <si>
    <t>SOLD - ASSIGNING 100% RECORD TITLE TO ENERVEST. ASSGN FILED.</t>
  </si>
  <si>
    <t>TRACT 68</t>
  </si>
  <si>
    <t>TX200707102</t>
  </si>
  <si>
    <t>TXNM118765</t>
  </si>
  <si>
    <t>TRACT 411-1</t>
  </si>
  <si>
    <t>TX200707105</t>
  </si>
  <si>
    <t>TXNM118766</t>
  </si>
  <si>
    <t>TRACT 648  PARCEL #1</t>
  </si>
  <si>
    <t>TX200707106</t>
  </si>
  <si>
    <t>TXNM118767</t>
  </si>
  <si>
    <t>TRACT 686</t>
  </si>
  <si>
    <t>TX200707107</t>
  </si>
  <si>
    <t>TXNM118768</t>
  </si>
  <si>
    <t>TRACT 805 - US OWNS 50% MI 90 ACRES</t>
  </si>
  <si>
    <t>TX200707108</t>
  </si>
  <si>
    <t>TXNM118769</t>
  </si>
  <si>
    <t>TRACT 806</t>
  </si>
  <si>
    <t>TX200707109</t>
  </si>
  <si>
    <t>TXNM118770</t>
  </si>
  <si>
    <t>LIVE OAK</t>
  </si>
  <si>
    <t>NUECES RIVER</t>
  </si>
  <si>
    <t>TR NR 35-1 NUECES RIVER 50% INTEREST - SEE NOTATIONS IN LEASE</t>
  </si>
  <si>
    <t>TX200707110</t>
  </si>
  <si>
    <t>TXNM118771</t>
  </si>
  <si>
    <t>LIVE OAK &amp; MCMULLEN</t>
  </si>
  <si>
    <t>TR NR-46 NUECES RIVER 100% INTEREST - SEE NOTATIONS IN LEASE</t>
  </si>
  <si>
    <t>TX200707111</t>
  </si>
  <si>
    <t>TXNM118772</t>
  </si>
  <si>
    <t>TR NR-40, NR-48 NUECES RIVER  100% INTEREST - SEE NOTATIONS IN LEASE</t>
  </si>
  <si>
    <t>TX200707112</t>
  </si>
  <si>
    <t>TXNM118773</t>
  </si>
  <si>
    <t>TR W-C 290</t>
  </si>
  <si>
    <t>TX200707113</t>
  </si>
  <si>
    <t>ARES55005</t>
  </si>
  <si>
    <t>PERRY &amp; YELL</t>
  </si>
  <si>
    <t>T4N, R21W, 5TH PRINCIPAL MERIDIAN</t>
  </si>
  <si>
    <t>SEC 6, N2NE,SENE,NW</t>
  </si>
  <si>
    <t>ES-013-09/07</t>
  </si>
  <si>
    <t>ARES55007</t>
  </si>
  <si>
    <t>T5N, R25W, 5TH PRINCIPAL MERIDIAN</t>
  </si>
  <si>
    <t>SEC 32, ALL</t>
  </si>
  <si>
    <t>ES-015-09/07</t>
  </si>
  <si>
    <t>ARES55008</t>
  </si>
  <si>
    <t>SEC 33, ALL</t>
  </si>
  <si>
    <t>ES-016-09/07</t>
  </si>
  <si>
    <t>ARES55039</t>
  </si>
  <si>
    <t>T12N, R30W, 5TH PRINCIPAL MERIDIAN</t>
  </si>
  <si>
    <t>SEC 24, SWNE</t>
  </si>
  <si>
    <t>ES-047-09/07</t>
  </si>
  <si>
    <t>ARES55056</t>
  </si>
  <si>
    <t>SEC 12, SWSE</t>
  </si>
  <si>
    <t>ES-064-09/07</t>
  </si>
  <si>
    <t>ARES55058</t>
  </si>
  <si>
    <t>T11N, R32W, 5TH PRINCIPAL MERIDIAN</t>
  </si>
  <si>
    <t>SEC 27 PART OF SENE, AND E2SE - SEE LSE FOR M&amp;B</t>
  </si>
  <si>
    <t>ES-066-09/07</t>
  </si>
  <si>
    <t>LAES55060</t>
  </si>
  <si>
    <t>DE SOTO PARISH</t>
  </si>
  <si>
    <t>QEP. 100% OPERATING RIGHTS (PROD.)</t>
  </si>
  <si>
    <t>T12N, R12W, LOUISIANA MERIDIAN</t>
  </si>
  <si>
    <t>SEC 6, SWSW</t>
  </si>
  <si>
    <t>ES-068-09/07</t>
  </si>
  <si>
    <t>LAES55061</t>
  </si>
  <si>
    <t>LEASE COMMITTED TO CA-LAES57513,56409. PROD. STATUS</t>
  </si>
  <si>
    <t>T15N, R16W, LOUISIANA MERIDIAN</t>
  </si>
  <si>
    <t>SEC 6, NENE</t>
  </si>
  <si>
    <t>ES-069-09/07</t>
  </si>
  <si>
    <t>LAES55062</t>
  </si>
  <si>
    <t>JACKSON PARISH</t>
  </si>
  <si>
    <t>T16N, R1W, LOUISIANA MERIDIAN</t>
  </si>
  <si>
    <t>SEC 32, NENE</t>
  </si>
  <si>
    <t>ES-070-09/07</t>
  </si>
  <si>
    <t>LAES55063</t>
  </si>
  <si>
    <t>BIENVILLE PARISH</t>
  </si>
  <si>
    <t>T16N, R7W, LOUISIANA MERIDIAN</t>
  </si>
  <si>
    <t>SEC 15, NESW</t>
  </si>
  <si>
    <t>ES-071-09/07</t>
  </si>
  <si>
    <t>LAES55064</t>
  </si>
  <si>
    <t>LEASE CANCELLED NOTICE - DEC 3 2012 . REFUND $ 1980 DUE</t>
  </si>
  <si>
    <t>T17N, R1W, LOUISIANA MERIDIAN</t>
  </si>
  <si>
    <t>SEC 4, NENE</t>
  </si>
  <si>
    <t>ES-072-09/07</t>
  </si>
  <si>
    <t>LAES55065</t>
  </si>
  <si>
    <t>T17N, R2W, LOUISIANA MERIDIAN</t>
  </si>
  <si>
    <t>SEC 36, SWNW</t>
  </si>
  <si>
    <t>ES-073-09/07</t>
  </si>
  <si>
    <t>LAES55066</t>
  </si>
  <si>
    <t>LINCOLN PARISH</t>
  </si>
  <si>
    <t>T18N, R1W, LOUISIANA MERIDIAN</t>
  </si>
  <si>
    <t>ES-074-09/07</t>
  </si>
  <si>
    <t>LAES55067</t>
  </si>
  <si>
    <t>SOLD TO ENERQUEST CORP</t>
  </si>
  <si>
    <t>T19N, R15W, LOUISIANA MERIDIAN</t>
  </si>
  <si>
    <t>SEC 4, SESW, SWSE; SEC 6, S2NW, W2SW, NESE; SEC 8, SESW, SWSE, NENE</t>
  </si>
  <si>
    <t>ES-075-09/07</t>
  </si>
  <si>
    <t>LAES55069</t>
  </si>
  <si>
    <t>WEBSTER PARISH</t>
  </si>
  <si>
    <t>T21N, R10W, LOUISIANA MERIDIAN</t>
  </si>
  <si>
    <t>SEC 19, S2NE</t>
  </si>
  <si>
    <t>ES-077-09/07</t>
  </si>
  <si>
    <t>LAES55078</t>
  </si>
  <si>
    <t>OUACHITA PARISH</t>
  </si>
  <si>
    <t>T19N, R5E, LOUISIANA MERIDIAN</t>
  </si>
  <si>
    <t>SEC 18, S2NW</t>
  </si>
  <si>
    <t>ES-086-09/07</t>
  </si>
  <si>
    <t>LAES55079</t>
  </si>
  <si>
    <t>SEC 20, SWNW</t>
  </si>
  <si>
    <t>ES-087-09/07</t>
  </si>
  <si>
    <t>LAES55080</t>
  </si>
  <si>
    <t xml:space="preserve">SEC 30, SWSE </t>
  </si>
  <si>
    <t>ES-088-09/07</t>
  </si>
  <si>
    <t>LAES55081</t>
  </si>
  <si>
    <t>CALCASIEU PARISH</t>
  </si>
  <si>
    <t>T7S, R11W, LOUISIANA MERIDIAN</t>
  </si>
  <si>
    <t>SEC 34, NESE, SWSE</t>
  </si>
  <si>
    <t>ES-089-09/07</t>
  </si>
  <si>
    <t>LAES55082</t>
  </si>
  <si>
    <t>T8S, R9W, LOUISIANA MERIDIAN</t>
  </si>
  <si>
    <t>SEC 29, SWNE</t>
  </si>
  <si>
    <t>ES-090-09/07</t>
  </si>
  <si>
    <t>LAES55083</t>
  </si>
  <si>
    <t>T10S, R9W, LOUISIANA MERIDIAN</t>
  </si>
  <si>
    <t>SEC 15, LOT 2</t>
  </si>
  <si>
    <t>ES-091-09/07</t>
  </si>
  <si>
    <t>LAES55084</t>
  </si>
  <si>
    <t>ST LANDRY PARISH</t>
  </si>
  <si>
    <t>T7S, R6E, LOUISIANA MERIDIAN</t>
  </si>
  <si>
    <t>SEC 20, NENE, W2NE,NENW, SENE, NESE</t>
  </si>
  <si>
    <t>ES-092-09/07</t>
  </si>
  <si>
    <t>LAES55085</t>
  </si>
  <si>
    <t>IBERVILLE PARISH</t>
  </si>
  <si>
    <t>T10S, R14E, LOUISIANA MERIDIAN</t>
  </si>
  <si>
    <t>SEC 10, ALL OF FRACTIONAL SECTION</t>
  </si>
  <si>
    <t>ES-093-09/07</t>
  </si>
  <si>
    <t>LAES55086</t>
  </si>
  <si>
    <t>T11S, R14E, LOUISIANA MERIDIAN</t>
  </si>
  <si>
    <t>SEC 1, LOTS 4 AND 5</t>
  </si>
  <si>
    <t>ES-094-09/07</t>
  </si>
  <si>
    <t>LAES55088</t>
  </si>
  <si>
    <t>CALDWELL PARISH</t>
  </si>
  <si>
    <t>T15N, R3E, LOUISIANA MERIDIAN</t>
  </si>
  <si>
    <t>SEC 34, LOT 8</t>
  </si>
  <si>
    <t>ES-096-09/07</t>
  </si>
  <si>
    <t>LAES55089</t>
  </si>
  <si>
    <t>ST CHARLES PARISH</t>
  </si>
  <si>
    <t>T12S, R8E, LOUISIANA MERIDIAN</t>
  </si>
  <si>
    <t>SEC 1 AND SEC 22, ALL; SEC 2,3,4,5,6,21, ALL OF SECS 2-6 &amp; 21 WEST OF EAST GUIDE LEVEE, INCLUDING SAID LEVEE</t>
  </si>
  <si>
    <t>ES-097-09/07</t>
  </si>
  <si>
    <t>LAES55090</t>
  </si>
  <si>
    <t>SEC, 23, 24, 25, 26, ALL; SEC 27 ALL OF SEC 27 WEST OF EAST GUIDE LEVEE, INCLUDING SAID LEVEE</t>
  </si>
  <si>
    <t>ES-098-09/07</t>
  </si>
  <si>
    <t>LAES55091</t>
  </si>
  <si>
    <t>SEC 46, 47, 48 &amp; 49, ALL</t>
  </si>
  <si>
    <t>ES-099-09/07</t>
  </si>
  <si>
    <t>LAES55092</t>
  </si>
  <si>
    <t>T12S, R7E, LOUISIANA MERIDIAN</t>
  </si>
  <si>
    <t>ALL OF SEC 12 WEST OF EAST GUIDE LEVEE INCLUDING SAID LEVEE, SEC 13, 14, ALL</t>
  </si>
  <si>
    <t>ES-100-09/07</t>
  </si>
  <si>
    <t>LAES55093</t>
  </si>
  <si>
    <t>T11S, R8E, LOUISIANA MERIDIAN</t>
  </si>
  <si>
    <t>ALL OF SECS 21 AND 29 EAST OF WEST GUIDE LEVEE] INCLUDING LEVEE; SEC 22, 28,28, ALL</t>
  </si>
  <si>
    <t>ES-101-09/07</t>
  </si>
  <si>
    <t>LAES55094</t>
  </si>
  <si>
    <t>SECS 31, 32, 33, ALL</t>
  </si>
  <si>
    <t>ES-102-09/07</t>
  </si>
  <si>
    <t>LAES55095</t>
  </si>
  <si>
    <t>SEC 34, 35, 39, 40 ALL OF SECTIONS WEST OF EAST GUIDE LEVEE, INCLUDING SAID LEVEE; SEC 41, ALL</t>
  </si>
  <si>
    <t>ES-103-09/07</t>
  </si>
  <si>
    <t>UNIFIED ASSETS PARTICIPATION DROPS TO 25% FROM 50% BEGINNING WITH 10-17-2007 NM SALE</t>
  </si>
  <si>
    <t>KSNM119260</t>
  </si>
  <si>
    <t>WOODSON &amp; WILSON</t>
  </si>
  <si>
    <t>T0260S,R0140E; T0270S,R0140E; 6TH MERIDIAN</t>
  </si>
  <si>
    <t>SEE LEASE FOR LEGAL DESCRIPTIONS</t>
  </si>
  <si>
    <t>NM200710001</t>
  </si>
  <si>
    <t>KSNM119261</t>
  </si>
  <si>
    <t>LEBETTE</t>
  </si>
  <si>
    <t>T0310S, R0180E; T0320S, R0180E; 6TH MERIDIAN</t>
  </si>
  <si>
    <t>NM200710002</t>
  </si>
  <si>
    <t>NMNM119275</t>
  </si>
  <si>
    <t>T0260S,R0300E; NM PRINCIPAL MERIDIAN</t>
  </si>
  <si>
    <t>SEC 4, SE; SEC 9 W2</t>
  </si>
  <si>
    <t>NM200710016</t>
  </si>
  <si>
    <t>Rec. at Book 911 Page 596</t>
  </si>
  <si>
    <t>NMNM119278</t>
  </si>
  <si>
    <t xml:space="preserve">NOTE 80A (E/2SW/4) LEASED TO ENDEAVOR 2010  </t>
  </si>
  <si>
    <t>T0260S,R0330E; NM PRINCIPAL MERIDIAN</t>
  </si>
  <si>
    <t xml:space="preserve">SEC 3, E2NE,NW,E2SW;  </t>
  </si>
  <si>
    <t>NM200710019</t>
  </si>
  <si>
    <t>NMNM119283</t>
  </si>
  <si>
    <t>95% ASSGND TO MERCED, R&amp;R RETAINED 5% . HBP - CROW CANYON UNIT</t>
  </si>
  <si>
    <t>T0240N,R0080W; NM PRINCIPAL MERIDIAN</t>
  </si>
  <si>
    <t>SEC 4, LOTS 7-10, SW; SEC 5, LOTS 1-2, S2N2,SE; SEC 9, NE; SEC 33, NW,SE</t>
  </si>
  <si>
    <t>NM200710024</t>
  </si>
  <si>
    <t>OKNM119298</t>
  </si>
  <si>
    <t>MUSKOGEE &amp; WAGONER</t>
  </si>
  <si>
    <t>T0150N,R0170E,; &amp; T0160N, 0170E; IM</t>
  </si>
  <si>
    <t>T0150-SEC33, SEE LSE FOR M&amp;B - 75% MI; T0160-SEC3, W2SW -25% MI</t>
  </si>
  <si>
    <t>NM200710039</t>
  </si>
  <si>
    <t>OKNM119299</t>
  </si>
  <si>
    <t>PUSHMATAHA</t>
  </si>
  <si>
    <t>T0260S,R0300E; IM</t>
  </si>
  <si>
    <t>SEC 18, E2NENW - 75%MI; SEC 19,N2NE - 50% MI; SEC 18, W2 LOT3, SE LOT 3, W2NESW - 25% MI</t>
  </si>
  <si>
    <t>NM200710040</t>
  </si>
  <si>
    <t>OKNM119307</t>
  </si>
  <si>
    <t>LE FLORE</t>
  </si>
  <si>
    <t>T0050N, R0240E; IM</t>
  </si>
  <si>
    <t>SEC 3, LOTS 1-4, S2N2,S2; SEC 4, LOTS 1-4, S2N2,S2; SEC 10, ALL</t>
  </si>
  <si>
    <t>NM200710048</t>
  </si>
  <si>
    <t>OKNM119308</t>
  </si>
  <si>
    <t>SEC 5.6,7 &amp; 8; SEE ATTACHMENT TO LEASE FOR FURTHER DETAILS</t>
  </si>
  <si>
    <t>NM200710049</t>
  </si>
  <si>
    <t>OKNM119309</t>
  </si>
  <si>
    <t>SEC 25,26 &amp; 27; SEE ATTACHMENT TO LEASE FOR FURTHER DETAILS</t>
  </si>
  <si>
    <t>NM200710050</t>
  </si>
  <si>
    <t>OKNM119311</t>
  </si>
  <si>
    <t>NM200710052</t>
  </si>
  <si>
    <t>OKNM119315</t>
  </si>
  <si>
    <t>T0250N, R0220W; IM</t>
  </si>
  <si>
    <t>SEC 20,28,29; SEE LEASE FOR DETAILS</t>
  </si>
  <si>
    <t>NM200710056</t>
  </si>
  <si>
    <t>TXNM119317</t>
  </si>
  <si>
    <t>TR K-1B-II PARCEL #3</t>
  </si>
  <si>
    <t>NM200710058</t>
  </si>
  <si>
    <t>TXNM119319</t>
  </si>
  <si>
    <t>MC MULLEN &amp; LIVE OAK</t>
  </si>
  <si>
    <t>TR NR-42-1, NR-42-2</t>
  </si>
  <si>
    <t>TRACTS MAY HAVE NPRI RESERVED</t>
  </si>
  <si>
    <t>NM200710060</t>
  </si>
  <si>
    <t>TXNM119320</t>
  </si>
  <si>
    <t>MC MULLEN</t>
  </si>
  <si>
    <t>TR CAL-1M</t>
  </si>
  <si>
    <t>NM200710061</t>
  </si>
  <si>
    <t>TXNM119322</t>
  </si>
  <si>
    <t>SABINE NAT'L FOREST</t>
  </si>
  <si>
    <t>TR S-2K-I PARCEL #6</t>
  </si>
  <si>
    <t>NM200710063</t>
  </si>
  <si>
    <t>TXNM119324</t>
  </si>
  <si>
    <t xml:space="preserve">LIVE OAK </t>
  </si>
  <si>
    <t>TR 9-1, 33-1, 33-2</t>
  </si>
  <si>
    <t>NM200710065</t>
  </si>
  <si>
    <t>BALANCE 12-31-2007</t>
  </si>
  <si>
    <t>ALES55113</t>
  </si>
  <si>
    <t>EXP. AGREEMENT - PRUET 3D/CRAIN</t>
  </si>
  <si>
    <t>CONECUH NATL FOREST</t>
  </si>
  <si>
    <t>T1N,R15E,ST.STEPHENS MERIDAN</t>
  </si>
  <si>
    <t>SEC 5, N2NW; SEC 6, SESW; SEC 8, NWSW</t>
  </si>
  <si>
    <t>ES-001-12/07</t>
  </si>
  <si>
    <t>ALES55116</t>
  </si>
  <si>
    <t>ACREAGE IN SEC 15, 16, 18, 21 &amp; 22; SEE LSE FOR DETAILS</t>
  </si>
  <si>
    <t>ES-004-12/07</t>
  </si>
  <si>
    <t>ALES55117</t>
  </si>
  <si>
    <t>SEC 27,SENW,SW; SEC 28,E2NE; SEC 33, NENE; SEC 34, NW</t>
  </si>
  <si>
    <t>ES-005-12/07</t>
  </si>
  <si>
    <t>ALES55118</t>
  </si>
  <si>
    <t>ESCAMBIA</t>
  </si>
  <si>
    <t>LEASE AMENDED. 320 ACR. CANC. SEC.11 REMOVED. EXP. AGREEMENT - PRUET 3D/CRAIN</t>
  </si>
  <si>
    <t>T2N,R13E,ST.STEPHENS MERIDAN</t>
  </si>
  <si>
    <t>SEC 8,N2NW,E2SE; SEC 9,SENE, S2; SEC15,N2,SW,W2SE</t>
  </si>
  <si>
    <t>ES-006-12/07</t>
  </si>
  <si>
    <t>ALES55119</t>
  </si>
  <si>
    <t>SEC 16,ALL; SEC 19,E2SW; SEC20,W2NE,SENE,NW,SE; SEC21N2, SW,E2SE</t>
  </si>
  <si>
    <t>ES-007-12/07</t>
  </si>
  <si>
    <t>ALES55121</t>
  </si>
  <si>
    <t>SEC 27,ALL; SEC 28,ALL; SEC29 SENW,SW</t>
  </si>
  <si>
    <t>ALES55122</t>
  </si>
  <si>
    <t>SEC 30,E2SE, E2E2W2SE; SEC32,E2; SEC33,ALL; SEC34,N2NE,SWNE,NW,SW,NWSE,S2SE; SEC 35,N2NE,SWNE,E2NW,NWNW</t>
  </si>
  <si>
    <t>ES-010-12/07</t>
  </si>
  <si>
    <t>ALES55123</t>
  </si>
  <si>
    <t>T2N,R15E,ST.STEPHENS MERIDIAN</t>
  </si>
  <si>
    <t>SEC 2,SWN2,SWNW,S2; SEC 3,ALL; SEC4,ALL; SEC 5,E2,NW,N2SW,E2SESW</t>
  </si>
  <si>
    <t>ES-11-12/07</t>
  </si>
  <si>
    <t>ALES55124</t>
  </si>
  <si>
    <t>SEC 6,SE; SEC 7,SWNW,S2; SEC 8,NE, Pt.E2NW,SW,N2SE,NW1/4SE1/4; SEC 9,ALL; SEC 10, N2N2,SENE,SWNW,W2SW,W2SESW</t>
  </si>
  <si>
    <t>ES-12-12/07</t>
  </si>
  <si>
    <t>ALES55125</t>
  </si>
  <si>
    <t>SEC 11, ALL; SEC 12,NE,SWNW,W2SW,SESW,SWSE; SEC 13,ALL; SEC 14, E2NE,S2SW,SE</t>
  </si>
  <si>
    <t>ES-13-12/07</t>
  </si>
  <si>
    <t>ALES55126</t>
  </si>
  <si>
    <t xml:space="preserve">SEC 15,PT.OF.NW; SEC 16,ALL; SEC 17,SEN2,PT.OF.S2NW,S2 </t>
  </si>
  <si>
    <t>ES-14-12/07</t>
  </si>
  <si>
    <t>ALES55128</t>
  </si>
  <si>
    <t xml:space="preserve">SEC 22,W2SE.LESS.4.03.ACRES.LYING.IN.NWSE; SEC 23,ALL; SEC 24,ALL; SEC 25, NENE,W2,W2SE </t>
  </si>
  <si>
    <t>ES-16-12/07</t>
  </si>
  <si>
    <t>ALES55129</t>
  </si>
  <si>
    <t>SEC 26, ALL; SEC28 - SEE LEASE FOR DETAILS (NOTE 50% OF MINERALS FOR PART OF TRACT).</t>
  </si>
  <si>
    <t>ES-17-12/07</t>
  </si>
  <si>
    <t>ALES55130</t>
  </si>
  <si>
    <t>SEC 29, SW,NWSE</t>
  </si>
  <si>
    <t>ES-18-12/07</t>
  </si>
  <si>
    <t>ALES55131</t>
  </si>
  <si>
    <t>SEC 32,S2SW</t>
  </si>
  <si>
    <t>ES-19-12/07</t>
  </si>
  <si>
    <t>ALES55132</t>
  </si>
  <si>
    <t>SEC 34,ALL; SEC 35,ALL; SEC36,W2NW,SENW,NESW LESS 4 ACRES IN THE SE 1/4,E2SE</t>
  </si>
  <si>
    <t>ES-20-12/07</t>
  </si>
  <si>
    <t>ALES55138</t>
  </si>
  <si>
    <t>TALLADEGA, NATL FOREST</t>
  </si>
  <si>
    <t>T18S,R1E,HUNTSVILLE MERIDIAN</t>
  </si>
  <si>
    <t>ES-26-12/07</t>
  </si>
  <si>
    <t>LAES55140</t>
  </si>
  <si>
    <t>VERMILLION</t>
  </si>
  <si>
    <t>T12S,R1E,LOUISIANA MERIDIAN</t>
  </si>
  <si>
    <t>SEC 28, LOT 6</t>
  </si>
  <si>
    <t>ES-28-12/07</t>
  </si>
  <si>
    <t>MIES55141</t>
  </si>
  <si>
    <t>MUSKEGON</t>
  </si>
  <si>
    <t>LEASE CANCELLED - RENTAL NOT PAID AS PER ACA'S DIRECTIVE</t>
  </si>
  <si>
    <t>MANISTEE, NATL FOREST</t>
  </si>
  <si>
    <t>T12N,R15W, MICHIGAN MERIDIAN</t>
  </si>
  <si>
    <t>SEE LEASE FOR LAND DESCRIPTIONS AND STIPULATIONS.  NOTE: NOT 100% OF MINERALS IN SOME CASES</t>
  </si>
  <si>
    <t>ES-29-12/07</t>
  </si>
  <si>
    <t>MIES55142</t>
  </si>
  <si>
    <t>SEC 7,NWNE,SENE,NW,NESW,NWSW,SWSW,W4SESW,N2SE; SEC 8,E60a.N2NW,S2NW,NESW,NWSW,E2SE,PT.W2SE</t>
  </si>
  <si>
    <t>ES-30-12/07</t>
  </si>
  <si>
    <t>MIES55143</t>
  </si>
  <si>
    <t>ES-31-12/07</t>
  </si>
  <si>
    <t>MIES55144</t>
  </si>
  <si>
    <t>ES-32-12/07</t>
  </si>
  <si>
    <t>MIES55145</t>
  </si>
  <si>
    <t>T12N,R15W&amp;16W, MICHIGAN MERIDIAN</t>
  </si>
  <si>
    <t xml:space="preserve">SEE LEASE FOR LAND DESCRIPTIONS AND STIPULATIONS.  </t>
  </si>
  <si>
    <t>ES-33-12/07</t>
  </si>
  <si>
    <t>MIES55146</t>
  </si>
  <si>
    <t>ES-34-12/07</t>
  </si>
  <si>
    <t>MIES55147</t>
  </si>
  <si>
    <t>T12N,R16W, MICHIGAN MERIDIAN</t>
  </si>
  <si>
    <t>SEC 4, N3/4W2SESW,W2NESW,SWSW; SEC 5,PT.S2SW,PTSE; SEC 7,SWNE,SENW,SESW; SEC 8,N2N2,E3/4SENE</t>
  </si>
  <si>
    <t>ES-35-12/07</t>
  </si>
  <si>
    <t>MIES55148</t>
  </si>
  <si>
    <t>SEC 18,E2E2SWNE,W2SWNE,S2NW,E4NWSW,W5/8NWSW; SEC 19,NE,N2SW,N2SE,SESE; SEC 20,NWSW</t>
  </si>
  <si>
    <t>ES-36-12/07</t>
  </si>
  <si>
    <t>MIES55149</t>
  </si>
  <si>
    <t>ES-37-12/07</t>
  </si>
  <si>
    <t>MIES55150</t>
  </si>
  <si>
    <t>MANISTEE</t>
  </si>
  <si>
    <t>T22N,R13W, MICHIGAN MERIDIAN</t>
  </si>
  <si>
    <t>SEC 28,LOT 8; SEC 29,SWSE</t>
  </si>
  <si>
    <t>ES-38-12/07</t>
  </si>
  <si>
    <t>MIES55151</t>
  </si>
  <si>
    <t>ES-39-12/07</t>
  </si>
  <si>
    <t>MIES55152</t>
  </si>
  <si>
    <t>ES-40-12/07</t>
  </si>
  <si>
    <t>MIES55153</t>
  </si>
  <si>
    <t>ES-41-12/07</t>
  </si>
  <si>
    <t>MIES55154</t>
  </si>
  <si>
    <t>T22N,R14W, MICHIGAN MERIDIAN</t>
  </si>
  <si>
    <t>ES-42-12/07</t>
  </si>
  <si>
    <t>MIES55155</t>
  </si>
  <si>
    <t>SEC 1,SWSE NOTE: 25% U S MINERAL INTEREST</t>
  </si>
  <si>
    <t>ES-43-12/07</t>
  </si>
  <si>
    <t>MIES55156</t>
  </si>
  <si>
    <t>T22N,R15W, MICHIGAN MERIDIAN</t>
  </si>
  <si>
    <t>SEC 20,LOT 3 NORTH OF INDIAN LINE; SEC 21, PART OF LOT 4 LYING N OF HWY AND W OF CHIEF CREEK</t>
  </si>
  <si>
    <t>ES-44-12/07</t>
  </si>
  <si>
    <t>VAES55157</t>
  </si>
  <si>
    <t>VIRGINIA HIGHLAND</t>
  </si>
  <si>
    <t>VA</t>
  </si>
  <si>
    <t>GEORGE WASHINGTON NATL FOREST</t>
  </si>
  <si>
    <t>TRACT S-84i-I</t>
  </si>
  <si>
    <t>ES-45-12/07</t>
  </si>
  <si>
    <t>VAES55158</t>
  </si>
  <si>
    <t>TRACT S-84i</t>
  </si>
  <si>
    <t>ES-46-12/07</t>
  </si>
  <si>
    <t>VAES55159</t>
  </si>
  <si>
    <t>TRACT S-212c</t>
  </si>
  <si>
    <t>ES-47-12/07</t>
  </si>
  <si>
    <t>VAES55160</t>
  </si>
  <si>
    <t>TRACT S-212m</t>
  </si>
  <si>
    <t>ES-48-12/07</t>
  </si>
  <si>
    <t>VAES55161</t>
  </si>
  <si>
    <t>TRACT S-212L</t>
  </si>
  <si>
    <t>ES-49-12/07</t>
  </si>
  <si>
    <t>VAES55162</t>
  </si>
  <si>
    <t>TRACT S-212k</t>
  </si>
  <si>
    <t>ES-50-12/07</t>
  </si>
  <si>
    <t>VAES55163</t>
  </si>
  <si>
    <t>TRACT S-212i; TRACT S-212h</t>
  </si>
  <si>
    <t>ES-51-12/07</t>
  </si>
  <si>
    <t>VAES55164</t>
  </si>
  <si>
    <t>TRACT S-212d</t>
  </si>
  <si>
    <t>ES-52-12/07</t>
  </si>
  <si>
    <t>VAES55165</t>
  </si>
  <si>
    <t>TRACT S-209</t>
  </si>
  <si>
    <t>ES-53-12/07</t>
  </si>
  <si>
    <t>VAES55166</t>
  </si>
  <si>
    <t>TRACT S-1256</t>
  </si>
  <si>
    <t>ES-54-12/07</t>
  </si>
  <si>
    <t>VAES55167</t>
  </si>
  <si>
    <t>TRACT S-1241</t>
  </si>
  <si>
    <t>ES-55-12/07</t>
  </si>
  <si>
    <t>VAES55168</t>
  </si>
  <si>
    <t>TRACT S-1238</t>
  </si>
  <si>
    <t>ES-56-12/07</t>
  </si>
  <si>
    <t>VAES55169</t>
  </si>
  <si>
    <t>TRACT S-1228</t>
  </si>
  <si>
    <t>ES-57-12/07</t>
  </si>
  <si>
    <t>VAES55170</t>
  </si>
  <si>
    <t>TRACT S-1224</t>
  </si>
  <si>
    <t>ES-58-12/07</t>
  </si>
  <si>
    <t>VAES55171</t>
  </si>
  <si>
    <t>TRACT O-458</t>
  </si>
  <si>
    <t>ES-59-12/07</t>
  </si>
  <si>
    <t>VAES55172</t>
  </si>
  <si>
    <t>TRACT O-397a-I</t>
  </si>
  <si>
    <t>ES-60-12/07</t>
  </si>
  <si>
    <t>VAES55173</t>
  </si>
  <si>
    <t>TRACT O-361-V</t>
  </si>
  <si>
    <t>ES-61-12/07</t>
  </si>
  <si>
    <t>VAES55174</t>
  </si>
  <si>
    <t>TRACT O-361-III</t>
  </si>
  <si>
    <t>ES-62-12/07</t>
  </si>
  <si>
    <t>VAES55175</t>
  </si>
  <si>
    <t>TRACT G-1489</t>
  </si>
  <si>
    <t>ES-63-12/07</t>
  </si>
  <si>
    <t>VAES55176</t>
  </si>
  <si>
    <t>TRACTS G-1236, G1237 &amp; G1239</t>
  </si>
  <si>
    <t>ES-64-12/07</t>
  </si>
  <si>
    <t>WVES55177</t>
  </si>
  <si>
    <t>PENDLETON</t>
  </si>
  <si>
    <t>WV</t>
  </si>
  <si>
    <t>TRACT S-212j</t>
  </si>
  <si>
    <t>ES-65-12/07</t>
  </si>
  <si>
    <t>WVES55178</t>
  </si>
  <si>
    <t>TRACT S-84i-III</t>
  </si>
  <si>
    <t>ES-66-12/07</t>
  </si>
  <si>
    <t>AXP 12-20-07</t>
  </si>
  <si>
    <t>ACA CK TO BLM</t>
  </si>
  <si>
    <t>KSNM119699</t>
  </si>
  <si>
    <t>GOVE</t>
  </si>
  <si>
    <t>T0150S, R0260W, 6TH MERIDIAN</t>
  </si>
  <si>
    <t>SEC 20, NESE; SEC 21, W2NW</t>
  </si>
  <si>
    <t>NM200801-001</t>
  </si>
  <si>
    <t>KSNM119700</t>
  </si>
  <si>
    <t>HAMILTON</t>
  </si>
  <si>
    <t>T0260S, R0410W, 6TH MERIDIAN</t>
  </si>
  <si>
    <t>SEC 6, LOT 5</t>
  </si>
  <si>
    <t>NM200801-002</t>
  </si>
  <si>
    <t>NMNM119709</t>
  </si>
  <si>
    <t>GUADALUPE</t>
  </si>
  <si>
    <t>T0050N, R0220E, NMPM MERIDIAN</t>
  </si>
  <si>
    <t>SEC 1, LOT1; SEC 1, SWNW, NWSW, E2SE; SEC 11, E2, E2NW, SW; SEC 12, S2; SEC 13, NE,N2SE; SEC 14, ALL</t>
  </si>
  <si>
    <t>NM200801-011</t>
  </si>
  <si>
    <t>NMNM119710</t>
  </si>
  <si>
    <t>SEC 3, LOT 2; SEC 3, SWNE; SEC 4, LOTS 1-4; SEC 4, SWNW, NWSW; SEC 10, SENE,E2NW,SWNW; SEC 15, ALL</t>
  </si>
  <si>
    <t>NM200801-012</t>
  </si>
  <si>
    <t>NMNM119711</t>
  </si>
  <si>
    <t>SEC 5, LOTS 1-4; SEC 5, S2N2SW; SEC 6, LOTS 1-3; SEC 6, S2NE,SENW,NESE; SEC 8, NW; SEC 17, E2,NWNW,SW; SEC 18, LOTS 3-4; SEC 18, NESE,SWNE,E2SW,SE</t>
  </si>
  <si>
    <t>NM200801-013</t>
  </si>
  <si>
    <t>NMNM119712</t>
  </si>
  <si>
    <t xml:space="preserve">SEC 19, LOTS 1,2,4; SEC 19, SWNE,E2NW,SESW,S2SE; SEC 20, W2SW, SESW; SEC 29, NENE,NW,N2SW,SWSW; SEC 30,LOTS 1-4; SEC 30,E2,E2W2; SEC 31, LOTS 1-4; SEC 31, SENW,E2SW,S2SE </t>
  </si>
  <si>
    <t>NM200801-014</t>
  </si>
  <si>
    <t>NMNM119713</t>
  </si>
  <si>
    <t xml:space="preserve">SEC 21, NE,E2NW,NESE; SEC 22, E2,N2SW,SESW; SEC 27, NENE; SEC 28, ALL; SEC 33, NE,SENW,N2SE,SWSE; SEC 34, NESE </t>
  </si>
  <si>
    <t>NM200801-015</t>
  </si>
  <si>
    <t>NMNM119714</t>
  </si>
  <si>
    <t xml:space="preserve">SEC 23, W2,SE; SEC 25, S2NE,W2,SE; SEC 26, E2NE, NWNW, SESW,SE; SEC 35, NWNE,E2NW,N2SW </t>
  </si>
  <si>
    <t>NM200801-016</t>
  </si>
  <si>
    <t>NMNM119715</t>
  </si>
  <si>
    <t>T0060N, R0220E, NPNM MERIDIAN</t>
  </si>
  <si>
    <t>SEC 3, LOTS 1-4; SEC 3, S2N2,SE; SEC 4, LOTS 1-4; SEC 4, S2N2,N2SW,SWSW,NWSE; SEC 5, LOTS1,3; SEC 5, SENE,SE</t>
  </si>
  <si>
    <t>NM200801-017</t>
  </si>
  <si>
    <t>NMNM119716</t>
  </si>
  <si>
    <t>SEC 8, NE,S2NW,SW,N2SE,SWSE; SEC 9, S2NW, NWSW; SEC 11, SESE; SEC 12, S2SW; SEC 13, NE,N2NW,SWNW,W2SW,N2SE; SEC 14, E2NE</t>
  </si>
  <si>
    <t>NM200801-018</t>
  </si>
  <si>
    <t>NMNM119717</t>
  </si>
  <si>
    <t>SEC 15, N2NE,SWNE,S2NW,SW; SEC 17, N2NE,NW; SEC 18, SENE; SEC 24, NWNW,S2N2,N2SW,SE; SEC 25, NE,S2</t>
  </si>
  <si>
    <t>NM200801-019</t>
  </si>
  <si>
    <t>NMNM119718</t>
  </si>
  <si>
    <t>T0070N, R0220E, NPNM MERIDIAN</t>
  </si>
  <si>
    <t>SEC 1, LOTS 3,4; SEC 1, S2NW,SW</t>
  </si>
  <si>
    <t>NM200801-020</t>
  </si>
  <si>
    <t>NMNM119719</t>
  </si>
  <si>
    <t>SEC 23, S2NE,SENW,S2; SEC 24, S2N2,N2S2; SEC 25, NWNE,S2NE,SESW,SE; SEC 26,NE,N2NW; SEC 26, E2SENW; SEC 27, NENE; SEC 35, E2NENW</t>
  </si>
  <si>
    <t>NM200801-021</t>
  </si>
  <si>
    <t>NMNM119720</t>
  </si>
  <si>
    <t>SEC 28, SESW; SEC 29, NWSW; SEC 30</t>
  </si>
  <si>
    <t>NM200801-022</t>
  </si>
  <si>
    <t>NMNM119721</t>
  </si>
  <si>
    <t>T0080N, R0220E, NPNM MERIDIAN</t>
  </si>
  <si>
    <t>SEE ATTACHMENT TO LEASE</t>
  </si>
  <si>
    <t>NM200801-023</t>
  </si>
  <si>
    <t>NMNM119722</t>
  </si>
  <si>
    <t>SEE DESCRIPTIONS IN LEASE</t>
  </si>
  <si>
    <t>NM200801-024</t>
  </si>
  <si>
    <t>NMNM119723</t>
  </si>
  <si>
    <t>SEC 26, SENW, SEC 27, N2NW,SWNW,NWSW; SEC 28, E2,E2W2,W2NW,NWSW; SEC 29, N2SE,SWSE; SEC 31, LOTS 2,4; E2SW; SEC 35 ALL</t>
  </si>
  <si>
    <t>NM200801-025</t>
  </si>
  <si>
    <t>NMNM119725</t>
  </si>
  <si>
    <t>T0050N, R0230E, NPNM MERIDIAN</t>
  </si>
  <si>
    <t>SEC 4, LOTS 1-4; S2N2,N2S2,S2SW,SWSE; SEC 9, NWNE,N2NW,S2N2,S2; SEC 10, SENE,S2NW,SW; SEC 11, SWNW</t>
  </si>
  <si>
    <t>NM200801-027</t>
  </si>
  <si>
    <t>NMNM119726</t>
  </si>
  <si>
    <t>SEC 5, LOTS1-4; SEC 5, S2NE,SWSW,SE; SEC 6, LOTS 3.4.6.7; SENE,SENW,E2SW,SE; SEC 7, LOTS 1-4; E2,E2W2; SEC 8, E2,W2W2,SESW</t>
  </si>
  <si>
    <t>NM200801-028</t>
  </si>
  <si>
    <t>NMNM119727</t>
  </si>
  <si>
    <t>SEC 13, W2E2SE,W2SE; SEC 23, NE,S2NW,S2; SEC 24, W2E2NE,W2NE,SE</t>
  </si>
  <si>
    <t>NM200801-029</t>
  </si>
  <si>
    <t>NMNM119728</t>
  </si>
  <si>
    <t>SEC 17, W2; SEC 18, LOTS 1-4; W2E2,E2W2; SEC 19, LOTS 3,4; E2SW,S2SE</t>
  </si>
  <si>
    <t>NM200801-030</t>
  </si>
  <si>
    <t>NMNM119729</t>
  </si>
  <si>
    <t>SEC 21, N2NE,E2NW,S2SE; SEC 22, N2NW, S2S2</t>
  </si>
  <si>
    <t>NM200801-031</t>
  </si>
  <si>
    <t>NMNM119730</t>
  </si>
  <si>
    <t>SEC 25, ALL; SEC 26, NE,E2NW,S2; SEC 35, ALL</t>
  </si>
  <si>
    <t>NM200801-032</t>
  </si>
  <si>
    <t>NMNM119731</t>
  </si>
  <si>
    <t>SEC 27, N2NE,W2; SEC 28 W2NW,SW,S2SE; SEC 33, ALL; SEC 34 N2NE,E2NW,W2W2</t>
  </si>
  <si>
    <t>NM200801-03</t>
  </si>
  <si>
    <t>NMNM119732</t>
  </si>
  <si>
    <t xml:space="preserve">SEC 29, ALL; SEC 30, LOTS 1-4; E2,E2W2; SEC 31, LOTS 1-4; E2,E2W2 </t>
  </si>
  <si>
    <t>NM200801-034</t>
  </si>
  <si>
    <t>NMNM119733</t>
  </si>
  <si>
    <t>T0060N, R0230E, NPNM MERIDIAN</t>
  </si>
  <si>
    <t>SEC 2, W2SW; SEC 3, S2SW,E2SE,SWSE; SEC 10 N2NW,SENW; SEC 11, W2SW; SEC 12, SWNE; SEC 15, NWNE</t>
  </si>
  <si>
    <t>NM200801-035</t>
  </si>
  <si>
    <t>NMNM119734</t>
  </si>
  <si>
    <t xml:space="preserve">SEC 4, SW; SEC 5, E2SE,SWSE; SEC 6, LOTS 1,2; SEC 7, LOT 1; SEC 8, NENE,E2SE,SWSE; SEE LSE FOR SEC 17 &amp; SEC 18 </t>
  </si>
  <si>
    <t>NM200801-036</t>
  </si>
  <si>
    <t>NMNM119735</t>
  </si>
  <si>
    <t>NM200801-037</t>
  </si>
  <si>
    <t>NMNM119736</t>
  </si>
  <si>
    <t>SEC 22, NWNE; SEC  23, E2</t>
  </si>
  <si>
    <t>NM200801-038</t>
  </si>
  <si>
    <t>NMNM119737</t>
  </si>
  <si>
    <t>T0070N, R0230E, NPNM MERIDIAN</t>
  </si>
  <si>
    <t>SEC 11, SESW,NESE; SEC 13, W2SW; SEC 22, SWSW; SEC 24, N2NW,SWNW; SEC 25, NE; SEC 26, NWNW,W2SW; SEC 27, NENE; SEC34, N2; SEC 35, W2W2</t>
  </si>
  <si>
    <t>NM200801-039</t>
  </si>
  <si>
    <t>NMNM119738</t>
  </si>
  <si>
    <t>NM200801-040</t>
  </si>
  <si>
    <t>NMNM119739</t>
  </si>
  <si>
    <t>T0080N, R0230E, NPNM MERIDIAN</t>
  </si>
  <si>
    <t>SEC 1, SESE; SEC 12, E2NE,NESE; SEC 13, W2SW; SEC 23, NE</t>
  </si>
  <si>
    <t>NM200801-041</t>
  </si>
  <si>
    <t>NMNM119740</t>
  </si>
  <si>
    <t>SEC 3, S2SW; SEC 4, S2; SEC 5, SWNE; SEC 7, LOTS 1,2; NWNE,NENW,SWSE; SEC 9, NE; SEC 10, N2NW</t>
  </si>
  <si>
    <t>NM200801-042</t>
  </si>
  <si>
    <t>NMNM119741</t>
  </si>
  <si>
    <t>T0090N, R0230E, NPNM MERIDIAN</t>
  </si>
  <si>
    <t>SEC 1, LOTS 1-3; SEC 11, E2SE; SEC 12, NESW; SEC 13, SENW,W2SW; SEC 14, W2NE,E2SE</t>
  </si>
  <si>
    <t>NM200801-043</t>
  </si>
  <si>
    <t>NMNM119742</t>
  </si>
  <si>
    <t>SEC 6, LOT 3</t>
  </si>
  <si>
    <t>NM200801-044</t>
  </si>
  <si>
    <t>NMNM119763</t>
  </si>
  <si>
    <t>ORRI - 3.125 % UNIFIED, 9.375% AHUJA CHILDREN 2012 LT TRUST</t>
  </si>
  <si>
    <t>T0260S, R0360E, NPNM MERIDIAN</t>
  </si>
  <si>
    <t>SEC 24, E2,E2W2; SEC 25, N2NE,SENE,NENW</t>
  </si>
  <si>
    <t>NM200801-065</t>
  </si>
  <si>
    <t>Instrument#50527 Book 1806 Page 317</t>
  </si>
  <si>
    <t>NMNM119766</t>
  </si>
  <si>
    <t>DONA ANA</t>
  </si>
  <si>
    <t>T0210S, R0010W, NPNM MERIDIAN</t>
  </si>
  <si>
    <t>SEC 31, LOTS 1-4;E2,E2W2</t>
  </si>
  <si>
    <t>NM200801-068</t>
  </si>
  <si>
    <t>NMNM119767</t>
  </si>
  <si>
    <t>T0220S, R0010W, NPNM MERIDIAN</t>
  </si>
  <si>
    <t>SEC 5, LOTS 5-8; S2N2,S2; SEC 6, LOTS 8-14; S2NE,SENW,E2SW,SE; SEC 7, LOTS 5-8; E2,E2W2; SEC 8, ALL</t>
  </si>
  <si>
    <t>NM200801-069</t>
  </si>
  <si>
    <t>NMNM119768</t>
  </si>
  <si>
    <t>SEC 17, ALL; SEC 21, N2</t>
  </si>
  <si>
    <t>NM200801-070</t>
  </si>
  <si>
    <t>NMNM119769</t>
  </si>
  <si>
    <t>SEC 27, W2; SEC 28, ALL; SEC 33, ALL; SEC 34, W2</t>
  </si>
  <si>
    <t>NM200801-071</t>
  </si>
  <si>
    <t>NMNM119770</t>
  </si>
  <si>
    <t>T0230S, R0010W, NPNM MERIDIAN</t>
  </si>
  <si>
    <t>SEC 1, LOTS 1-7; S2NW,W2SW; SEC 2, LOTS 7-11; SENE,E2SE</t>
  </si>
  <si>
    <t>NM200801-072</t>
  </si>
  <si>
    <t>NMNM119771</t>
  </si>
  <si>
    <t>SEC 3, LOTS 5-8; S2N2,S2; SEC 4, LOTS 5-8; S2N2,S2; SEC 5, LOTS 5-8, S2N2, S2</t>
  </si>
  <si>
    <t>NM200801-073</t>
  </si>
  <si>
    <t>NMNM119772</t>
  </si>
  <si>
    <t>SEC 6, LOTS 8-14; S2NE,SENEW,E2SW,SE</t>
  </si>
  <si>
    <t>NM200801-074</t>
  </si>
  <si>
    <t>NMNM119773</t>
  </si>
  <si>
    <t>T0210S, R0020W, NPNM MERIDIAN</t>
  </si>
  <si>
    <t>SEC 31, LOTS 1-4; NE,E2W2; SEC 33, ALL; SEC 34, W2; SEC 35, ALL</t>
  </si>
  <si>
    <t>NM200801-083</t>
  </si>
  <si>
    <t>NMNM119774</t>
  </si>
  <si>
    <t>T0220S, R0020W, NPNM MERIDIAN</t>
  </si>
  <si>
    <t>SEC 1, LOTS 1-4; S2N2,S2; SEC 11, ALL; SEC 12, ALL</t>
  </si>
  <si>
    <t>NM200801-084</t>
  </si>
  <si>
    <t>NMNM119775</t>
  </si>
  <si>
    <t>SEC 3, LOTS 3-4; S2NW,SW; SEC 4, LOTS 1-4; S2N2,S2; SEC 9, ALL</t>
  </si>
  <si>
    <t>NM200801-085</t>
  </si>
  <si>
    <t>NMNM119776</t>
  </si>
  <si>
    <t>SEC 5, LOTS 1-4; S2N2,S2; SEC 6, LOTS 1-7; S2NE,SENW,E2SW,SE; SEC 7, LOTS 1-4; E2,E2W2; SEC 8, ALL</t>
  </si>
  <si>
    <t>NM200801-086</t>
  </si>
  <si>
    <t>NMNM119777</t>
  </si>
  <si>
    <t>T0210S, R0030W, NPNM MERIDIAN</t>
  </si>
  <si>
    <t>SEC 25, N2; SEC 26, ALL; SEC 35, ALL</t>
  </si>
  <si>
    <t>NM200801-090</t>
  </si>
  <si>
    <t>NMNM119778</t>
  </si>
  <si>
    <t>SEC 27, LOTS 1-4; E2SW; SEC 28, ALL</t>
  </si>
  <si>
    <t>NM200801-091</t>
  </si>
  <si>
    <t>NMNM119779</t>
  </si>
  <si>
    <t>SEC 33, ALL; SEC 34, ALL</t>
  </si>
  <si>
    <t>NM200801-092</t>
  </si>
  <si>
    <t>NMNM119780</t>
  </si>
  <si>
    <t>T0220S, R0030W, NPNM MERIDIAN</t>
  </si>
  <si>
    <t>NM200801-093</t>
  </si>
  <si>
    <t>NMNM119781</t>
  </si>
  <si>
    <t>SEC 3, LOTS 1-4; S2N2,SE; SEC 4, S2N2,S2; SEC 9, ALL</t>
  </si>
  <si>
    <t>NM200801-094</t>
  </si>
  <si>
    <t>NMNM119782</t>
  </si>
  <si>
    <t>NM200801-095</t>
  </si>
  <si>
    <t>NMNM119783</t>
  </si>
  <si>
    <t>T0180S, R0060W, NPNM MERIDIAN</t>
  </si>
  <si>
    <t>SEC 2, S2N2,S2; SEC 10, ALL</t>
  </si>
  <si>
    <t>NM200801-096</t>
  </si>
  <si>
    <t>NMNM119784</t>
  </si>
  <si>
    <t>T0190S, R0070W, NPNM MERIDIAN</t>
  </si>
  <si>
    <t>SEC 24, LOTS 1-4; W2E2,W2</t>
  </si>
  <si>
    <t>NM200801-097</t>
  </si>
  <si>
    <t>OKNM119791</t>
  </si>
  <si>
    <t>T0220N, R0190W, IM MERIDIAN</t>
  </si>
  <si>
    <t>SEC 6, LOT 2</t>
  </si>
  <si>
    <t>NM200801-104</t>
  </si>
  <si>
    <t>OKNM119796</t>
  </si>
  <si>
    <t>LEFLORE</t>
  </si>
  <si>
    <t>T0050N, R0230E, IM MERIDIAN</t>
  </si>
  <si>
    <t>SEE LEASE FOR TRACTS WITHIN SECS 4, 9 AND 16.</t>
  </si>
  <si>
    <t>NM200801-109</t>
  </si>
  <si>
    <t>OKNM119810</t>
  </si>
  <si>
    <t>T0030N, R0270E, IM MERIDIAN</t>
  </si>
  <si>
    <t>SEE LEASE FOR TRACTS WITHIN SECS 27, 28, 29 AND 30..</t>
  </si>
  <si>
    <t>NM200801-124</t>
  </si>
  <si>
    <t>TXNM119822</t>
  </si>
  <si>
    <t>DAVY CROCKETT NATIONAL FOREST</t>
  </si>
  <si>
    <t>TR K-I-II PRCEL # 5</t>
  </si>
  <si>
    <t>SEE LEASE FOR METES AND BOUNDS DESCRIPTION</t>
  </si>
  <si>
    <t>NM200801-136</t>
  </si>
  <si>
    <t>TXNM119823</t>
  </si>
  <si>
    <t>TR K-I-II PRCEL # 6</t>
  </si>
  <si>
    <t>NM200801-137</t>
  </si>
  <si>
    <t>TXNM119824</t>
  </si>
  <si>
    <t>TR K-I-II PRCEL # 7</t>
  </si>
  <si>
    <t>NM200801-138</t>
  </si>
  <si>
    <t>TXNM119826</t>
  </si>
  <si>
    <t>TR NR 9-2, NR 39-1, NR 47-4</t>
  </si>
  <si>
    <t>NOTE:  TRACTS MAY HAVE A NPRI RESERVED</t>
  </si>
  <si>
    <t>NM200801-140</t>
  </si>
  <si>
    <t>FROM BANK</t>
  </si>
  <si>
    <t>CREDIT CARD</t>
  </si>
  <si>
    <t>PD BY MPLP</t>
  </si>
  <si>
    <t>NMNM120356</t>
  </si>
  <si>
    <t>T0140S,R0310E, NMPM MERIDIAN</t>
  </si>
  <si>
    <t>SEC 8, W2NE</t>
  </si>
  <si>
    <t>200804-015</t>
  </si>
  <si>
    <t>NMNM120358</t>
  </si>
  <si>
    <t>ORRI - 12.5%  AHUJA CHILDREN 2012 LT TRUST</t>
  </si>
  <si>
    <t>T0120S,R0320E, NMPM MERIDIAN</t>
  </si>
  <si>
    <t>SEC 21, NE; SEC 22, W2</t>
  </si>
  <si>
    <t>200804-017</t>
  </si>
  <si>
    <t>Instrument#50528 Book 1806 Page 325</t>
  </si>
  <si>
    <t>NMNM120360</t>
  </si>
  <si>
    <t>QUAY</t>
  </si>
  <si>
    <t>T0080N,R0330E, NMPM MERIDIAN</t>
  </si>
  <si>
    <t>SEC 7, NESE; SEC 8, W2SW,SESW,NESE; SEC 18, LOTS 2-3; SENW,NESW,N2SE,SESE; SEC 25, S2</t>
  </si>
  <si>
    <t>200804-019</t>
  </si>
  <si>
    <t>NMNM120361</t>
  </si>
  <si>
    <t>T0090N,R0330E, NMPM MERIDIAN</t>
  </si>
  <si>
    <t>SEC 18, LOT 4; NWSE,SESE; SEC 19, LOT 3; SWNE; SEC 20, SWNW,E2SW,SWSE</t>
  </si>
  <si>
    <t>200804-020</t>
  </si>
  <si>
    <t>NMNM120364</t>
  </si>
  <si>
    <t>T0090N,R0350E, NMPM MERIDIAN</t>
  </si>
  <si>
    <t>SEC 9, E2SW; SEC 24, SW; SE  25, SWNE,SENW,SW; SEC34, E2NE,E2NW; SEC 35, SW</t>
  </si>
  <si>
    <t>200804-023</t>
  </si>
  <si>
    <t>NMNM120366</t>
  </si>
  <si>
    <t>T0100S,R0360E, NMPM MERIDIAN</t>
  </si>
  <si>
    <t>SEC 20, W2</t>
  </si>
  <si>
    <t>200804-025</t>
  </si>
  <si>
    <t>Instrument#50529 Book 1806 Page 332</t>
  </si>
  <si>
    <t>NMNM120367</t>
  </si>
  <si>
    <t>T0160S,R0360E, NMPM MERIDIAN</t>
  </si>
  <si>
    <t>SEC 5, LOT 1</t>
  </si>
  <si>
    <t>200804-026</t>
  </si>
  <si>
    <t>Instrument#50530 Book 1806 Page 340</t>
  </si>
  <si>
    <t>NMNM120368</t>
  </si>
  <si>
    <t>T0170N,R0050W, NMPM MERIDIAN</t>
  </si>
  <si>
    <t>200804-059</t>
  </si>
  <si>
    <t>NMNM120369</t>
  </si>
  <si>
    <t>SEC 13, N2,SE</t>
  </si>
  <si>
    <t>200804-060</t>
  </si>
  <si>
    <t>NMNM120370</t>
  </si>
  <si>
    <t>T0200N,R0070W, NMPM MERIDIAN</t>
  </si>
  <si>
    <t>SEC 1, LOTS 1-4; S2N2,S2</t>
  </si>
  <si>
    <t>200804-061</t>
  </si>
  <si>
    <t>NMNM120371</t>
  </si>
  <si>
    <t>T0200N,R0080W, NMPM MERIDIAN</t>
  </si>
  <si>
    <t>SEC 13, TR 69; SEC 15, TR 73 ,77.78</t>
  </si>
  <si>
    <t>200804-062</t>
  </si>
  <si>
    <t>NMNM120372</t>
  </si>
  <si>
    <t>SEC 22, TR 92; SEC 23, TR 85; SEC 25, TR 95,96</t>
  </si>
  <si>
    <t>200804-063</t>
  </si>
  <si>
    <t>NMNM120373</t>
  </si>
  <si>
    <t>SEC 26, TR 97; SEC 27, TR 98,102; SEC 34, TR 105</t>
  </si>
  <si>
    <t>200804-064</t>
  </si>
  <si>
    <t>NMNM120376</t>
  </si>
  <si>
    <t>T0230N,R0080W, NMPM MERIDIAN</t>
  </si>
  <si>
    <t>SEC 27, N2; SEC 34, SW</t>
  </si>
  <si>
    <t>200804-067</t>
  </si>
  <si>
    <t>NMNM120377</t>
  </si>
  <si>
    <t>SEC 30, LOTS 1-4; NE,E2W2; SEC 31 SE</t>
  </si>
  <si>
    <t>200804-068</t>
  </si>
  <si>
    <t>NMNM120379</t>
  </si>
  <si>
    <t>T0220N,R0100W, NMPM MERIDIAN</t>
  </si>
  <si>
    <t>SEC 24, E2; SEC 25, ALL</t>
  </si>
  <si>
    <t>200804-070</t>
  </si>
  <si>
    <t>OKNM120388</t>
  </si>
  <si>
    <t>WOODS</t>
  </si>
  <si>
    <t>HBP SKYE</t>
  </si>
  <si>
    <t>T0290N,R0160W, IM MERIDIAN</t>
  </si>
  <si>
    <t>SEC 34, NWSW</t>
  </si>
  <si>
    <t>200804-086</t>
  </si>
  <si>
    <t>OKNM120389</t>
  </si>
  <si>
    <t>ELLIS 7 ROGER MILLS</t>
  </si>
  <si>
    <t>T0170N,R0230W,IM MERIDIAN</t>
  </si>
  <si>
    <t>SEC 12 , SEE LEASE FOR DETAILS</t>
  </si>
  <si>
    <t>200804-087</t>
  </si>
  <si>
    <t>OKNM120390</t>
  </si>
  <si>
    <t>U S OWNS 50% MINERALS IN CERTAIN LANDS</t>
  </si>
  <si>
    <t>T0030N,R0260E, IM MERIDIAN</t>
  </si>
  <si>
    <t>SEE LEASE FOR DESCRIPTION OF TRACTS</t>
  </si>
  <si>
    <t>200804-088</t>
  </si>
  <si>
    <t>OKNM120391</t>
  </si>
  <si>
    <t>200804-089</t>
  </si>
  <si>
    <t>OKNM120392</t>
  </si>
  <si>
    <t>T0010N,R0270E, IM MERIDIAN</t>
  </si>
  <si>
    <t xml:space="preserve">SEC 4, LOTS 1-2; S2NE; SEC 5, LOTS 1-2; S2NE; SEC 8, S2; SEC 9, S2NE; SEC 10, LOTS 1-4 </t>
  </si>
  <si>
    <t>200804-090</t>
  </si>
  <si>
    <t>OKNM120393</t>
  </si>
  <si>
    <t>200804-091</t>
  </si>
  <si>
    <t>OKNM120394</t>
  </si>
  <si>
    <t>200804-092</t>
  </si>
  <si>
    <t>TXNM120399</t>
  </si>
  <si>
    <t>SABINE NATIONAL FOREST</t>
  </si>
  <si>
    <t>SEE LEASE FOR DETAILS</t>
  </si>
  <si>
    <t>200804-097</t>
  </si>
  <si>
    <t>TXNM120400</t>
  </si>
  <si>
    <t xml:space="preserve">TR S-2N; SEE LSE ATTACHMENT </t>
  </si>
  <si>
    <t>200804-098</t>
  </si>
  <si>
    <t>TXNM120401</t>
  </si>
  <si>
    <t xml:space="preserve">TR S-2K-VIII; ; SEE LSE ATTACHMENT </t>
  </si>
  <si>
    <t>200804-099</t>
  </si>
  <si>
    <t>CK DE 1100-1190</t>
  </si>
  <si>
    <t>ARES53220</t>
  </si>
  <si>
    <t>R&amp;R WAS SUCCESSFUL BIDDER AT 4/24/2008 EASTERN STATES LEASE</t>
  </si>
  <si>
    <t>ARES55231</t>
  </si>
  <si>
    <t>SALE FOR THE LEASES LISTED AND HIGHLIGHTED IN COLUMN "A"</t>
  </si>
  <si>
    <t>ARES55232</t>
  </si>
  <si>
    <t xml:space="preserve">PAYMENT FOR THE BALANCE DUE WAS NOT MADE TIMELY.  THE </t>
  </si>
  <si>
    <t>LAES55245</t>
  </si>
  <si>
    <t xml:space="preserve">INITIAL PAYMENT WAS FOREFEITED AND NO INTEREST IN THE LEASES </t>
  </si>
  <si>
    <t>MIES55247</t>
  </si>
  <si>
    <t>WAS AWARDED TO R&amp;R.  THE INITIAL PAYMENT OF $75,943.00 IS</t>
  </si>
  <si>
    <t>MIES55248</t>
  </si>
  <si>
    <t>RECORDED AS AN EXPENSE IN 2008 IN ACCOUNT 5120-1190.</t>
  </si>
  <si>
    <t>MIES55249</t>
  </si>
  <si>
    <t>MIES55250</t>
  </si>
  <si>
    <t>MIES55251</t>
  </si>
  <si>
    <t>MIES55253</t>
  </si>
  <si>
    <t>MIES55254</t>
  </si>
  <si>
    <t>MIES55255</t>
  </si>
  <si>
    <t>MIES55256</t>
  </si>
  <si>
    <t>MIES55257</t>
  </si>
  <si>
    <t>MIES55258</t>
  </si>
  <si>
    <t>MIES55259</t>
  </si>
  <si>
    <t>MIES55260</t>
  </si>
  <si>
    <t>MIES55261</t>
  </si>
  <si>
    <t>MIES55262</t>
  </si>
  <si>
    <t>MIES55263</t>
  </si>
  <si>
    <t>MIES55264</t>
  </si>
  <si>
    <t>MIES55266</t>
  </si>
  <si>
    <t>MIES55267</t>
  </si>
  <si>
    <t>MIES55268</t>
  </si>
  <si>
    <t>MIES55269</t>
  </si>
  <si>
    <t>MIES55270</t>
  </si>
  <si>
    <t>MIES55272</t>
  </si>
  <si>
    <t>MIES55273</t>
  </si>
  <si>
    <t>MIES55274</t>
  </si>
  <si>
    <t>MIES55275</t>
  </si>
  <si>
    <t>MIES55277</t>
  </si>
  <si>
    <t>WVES55281</t>
  </si>
  <si>
    <t>ALES55311</t>
  </si>
  <si>
    <t>Escambia</t>
  </si>
  <si>
    <t>Conecuh National Forest</t>
  </si>
  <si>
    <t>T2N R13E St. Stephens Meridian</t>
  </si>
  <si>
    <t>Sec. 22, NWNENE, S2NENE, SENE, W2NE, E2NW, S2; Subject to F.S. Notice to Lessee No. 3 and No. 4</t>
  </si>
  <si>
    <t>ARES55315</t>
  </si>
  <si>
    <t>Crawford</t>
  </si>
  <si>
    <t>Ozark National Forest</t>
  </si>
  <si>
    <t>T12N, R33W, 5th Principal Meridian</t>
  </si>
  <si>
    <t>Sec. 1, NENE, E2NW, SWSW, S2SE; Sec. 2, SENE, S2SE; Subject to F.S. Controlled Surface Use Stipulations #1, #1A and #1B</t>
  </si>
  <si>
    <t>ARES55316</t>
  </si>
  <si>
    <t>Sec, 10, SENE, Frl. SE; Sec. 11, N2NE, SENE, NENW, S2NW, NESW, NESE, W2SE; Subject to F.S. Controlled Surface Use Stipulations #1, #1A and #1B</t>
  </si>
  <si>
    <t>ARES55317</t>
  </si>
  <si>
    <t>Sec. 12, NE, NENW, S2NW, SW, N2SE, SESE; Subject to Controlled Surface Use Stipulation #1</t>
  </si>
  <si>
    <t>ARES55318</t>
  </si>
  <si>
    <t>Sec. 13, N2, SW, NWSE; Subject to F.S. Controlled Surface Use Stipulations #1 and #1A</t>
  </si>
  <si>
    <t>ARES55319</t>
  </si>
  <si>
    <t>Sec. 14, E2, E2SW; Sec. 15, Frl. N2; Subject to F.S. Controlled Surface Use Stipulations #1 and #1A</t>
  </si>
  <si>
    <t>ARES55320</t>
  </si>
  <si>
    <t>Sec. 23, All; Subject to F.S. Controlled Surface Use Stipulations #1 and #1A</t>
  </si>
  <si>
    <t>ARES55321</t>
  </si>
  <si>
    <t>Sec. 24, SENE, NW, S2; Subject to F.S. Controlled Surface Use Stipulations #1 and #1B</t>
  </si>
  <si>
    <t>ARES55322</t>
  </si>
  <si>
    <t>Sec. 25, NWNE, S2NE, NW, NESE, S2SE; Subject to F.S. Controlled Surface Use Stipulations #1, #1A and #1B</t>
  </si>
  <si>
    <t>ARES55323</t>
  </si>
  <si>
    <t>Sec. 26, See Lease for Details; Subject to F.S. Controlled Surface Use Stipulations #1 and #1A</t>
  </si>
  <si>
    <t>ARES55324</t>
  </si>
  <si>
    <t>Sec. 35, S2NE, NWNE, Frl. NW, SESW, SE; Subject to F.S. Controlled Surface Use Stipulation #1</t>
  </si>
  <si>
    <t>ARES55325</t>
  </si>
  <si>
    <t>Sec. 36, *N2N2SENE. *50% U.S. Mineral Interests; Subject to F.S. Controlled Surface Use Stipulation</t>
  </si>
  <si>
    <t>ARES55326</t>
  </si>
  <si>
    <t>Sec. 36, See Lease for Details; Subject to F.S. Controlled Surface Use Stipulations #1 and #1A</t>
  </si>
  <si>
    <t>ARES55327</t>
  </si>
  <si>
    <t>Sec. 1, SENE, W2NW, NESE; Sec. 2, NENE, S2SW, Sec. 3, W2NE, Frl. E2NW; Subject to F.S. Controlled Surface Use Stipulations #1C and #1D</t>
  </si>
  <si>
    <t>ARES55328</t>
  </si>
  <si>
    <t>Sec. 11, NWNW, NWSW; Sec. 12, SWSW; Subject to Controlled Surface Use Stipulation #1D</t>
  </si>
  <si>
    <t>ARES55329</t>
  </si>
  <si>
    <t>Sec. 26, SWSE; Sec. 36, NENW; Subject to F.S. Controlled Surface Use Stipulation #1D</t>
  </si>
  <si>
    <t>KYES55330</t>
  </si>
  <si>
    <t>Pulaski</t>
  </si>
  <si>
    <t>KY</t>
  </si>
  <si>
    <t>LEASE NOT ISSUED</t>
  </si>
  <si>
    <t>Daniel Boone National Forest</t>
  </si>
  <si>
    <t>Tract T-1042C.</t>
  </si>
  <si>
    <t>LAES55332</t>
  </si>
  <si>
    <t>Extended by BLM Rapides South Unit - Filed 8/15/18</t>
  </si>
  <si>
    <t>Kisatchie National Forest</t>
  </si>
  <si>
    <t>T1N, R2W, Louisiana Meridian</t>
  </si>
  <si>
    <t>Sec. 1, W2NE, NW, NWSW, S2SW, W2NESE, W2SE; Subject to F.S. Controlled Surface Use Stipulations #1 and #2; Subject to F.S. Lease Notice No. 3</t>
  </si>
  <si>
    <t>LAES55333</t>
  </si>
  <si>
    <t>Sec. 1, *NESW; *50% U.S. Mineral Interests; Subject to F.S. Controlled Surface Use Stipulations #1 and #2; Subject to F.S. Lease Notice No. 3</t>
  </si>
  <si>
    <t>LAES55334</t>
  </si>
  <si>
    <t>Sec. 2, N2NE, SENE, W2, S2SE, NWSE; Subject to F.S. Controlled Surface Use Stipulations #1 and @3; Subject to F.S. Lease Notice No. 3</t>
  </si>
  <si>
    <t>LAES55335</t>
  </si>
  <si>
    <t>Sec. 3, All. Subject to F.S. No Surface Occupancy Stipulation #1; Subject to F.S. Controlled Surface Use Stipulation; Subject to F.S. Lease Notice No. 3</t>
  </si>
  <si>
    <t>LAES55336</t>
  </si>
  <si>
    <t>Sec. 4, All. Subject to F.S. No Surface Occupancy Stipulation #1; Subject to F.S. Controlled Surface Use Stipulations #1 and #2; Subject to F.S. Lease Notice No. 3</t>
  </si>
  <si>
    <t>LAES55337</t>
  </si>
  <si>
    <t>Sec. 5, S2NE, W2NWNE, NENW, N2NWNW, E2SW, SE; Subject to F.S. Controlled Surface Use Stipulations #1 and #2; Subject to F.S. Lease Notice No. 3</t>
  </si>
  <si>
    <t>LAES55338</t>
  </si>
  <si>
    <t>Sec. 6, N2NE, SWNE, NWSE; Sec. 7, SENE, E2NW, N2S2N2SW, N2N2SW, SE; Subject to F.S. Controlled Surface Use Stipulations #1 and #2; Subject to F.S. Lease Notice No. 3</t>
  </si>
  <si>
    <t>LAES55339</t>
  </si>
  <si>
    <t>Sec.8, All. Subject to F.S. Controlled Surface Use Stipulations #1 and #2; Subject to F.S. Lease Notice No. 3</t>
  </si>
  <si>
    <t>LAES55340</t>
  </si>
  <si>
    <t>Sec. 9, All.  Subject to F.S. No Surface Occupancy Stipulation #1; Subject to F.S. Controlled Surface Use Stipulations #1 and #2; Subject to F.S. Lease Notice #3</t>
  </si>
  <si>
    <t>LAES55341</t>
  </si>
  <si>
    <t>Sec. 10, All. Subject to F.S. Controlled Surface Use Stipulations #1 and #2; Subject to F.S. Lease Notice No. 3</t>
  </si>
  <si>
    <t>LAES55342</t>
  </si>
  <si>
    <t>Sec. 11, All. Subject to F.S. Controlled Surface Use Stipulation #1; Subject to F.S. Lease Notice No. 3</t>
  </si>
  <si>
    <t>LAES55344</t>
  </si>
  <si>
    <t>Sec. 13; Sec. 14; See Lease for Details</t>
  </si>
  <si>
    <t>LAES55345</t>
  </si>
  <si>
    <t>Sec. 15; All. Subject to F.S. Controlled Surface Use Stipulations #1 and #2; Subject to F.S. Lease Notice No. 3</t>
  </si>
  <si>
    <t>LAES55347</t>
  </si>
  <si>
    <t>T2N, R2W, Louisiana Meridian</t>
  </si>
  <si>
    <t>Sec. 6, NWNW; Sec. 8, NESW, Subject to F.S. Controlled Surface Use Stipulations #1 and #2; Subject to F.S. Lease Notices Nos. 3 and 4</t>
  </si>
  <si>
    <t>LAES55348</t>
  </si>
  <si>
    <t>Sec. 29, N2SW; Subject to F.S. Controlled Surface Use Stipulations #1 and #2; Subject to F.S. Lease Notices Nos. 3 and 4</t>
  </si>
  <si>
    <t>LAES55349</t>
  </si>
  <si>
    <t>Sec. 1, All, except 2 ac. In NENE (Tr. E-08); Subject to F.S. Controlled Surface Use Stipulations #1 and #2; Subject to F.S. Lease Notice Nos. 3 and 4</t>
  </si>
  <si>
    <t>LAES55350</t>
  </si>
  <si>
    <t>Sec. 2, All. Subject to F.S. Controlled Surface Use Stipulation #1; Subject to F.S. Lease Notice Nos. 3 and 4</t>
  </si>
  <si>
    <t>LAES55351</t>
  </si>
  <si>
    <t>Sec. 3, All. Subject to F.S. Controlled Surface Use Stipulation #1; Subject to F.S. Lease Notice Nos. 3 and 4</t>
  </si>
  <si>
    <t>LAES55352</t>
  </si>
  <si>
    <t>Sec. 4, All. Subject to F.S. Controlled Surface Use Stipulation #1; Subject to F.S. Lease Notice Nos. 3 and 4</t>
  </si>
  <si>
    <t>LAES55353</t>
  </si>
  <si>
    <t>Sec. 5, All. Subject to F.S. Controlled Surface Use Stipulations #1 and #2; Subject to F.S. Lease Notice Nos. 3 and 4</t>
  </si>
  <si>
    <t>LAES55354</t>
  </si>
  <si>
    <t>Sec. 6, NE, E2NW, SWNW, S2; Subject to F.S. Controlled Surface Use Stipulations #1, #2 and #3; Subject to F.S. Lease Notice Nos. 3 and 4</t>
  </si>
  <si>
    <t>LAES55355</t>
  </si>
  <si>
    <t>Sec. 7, All. Subject to F.S. Controlled Surface Use Stipulations #1, #2 and #3; Subject to F.S. Lease Notices Nos. 3 and 4</t>
  </si>
  <si>
    <t>LAES55356</t>
  </si>
  <si>
    <t>Sec. 8, NENE, NW, NESW, S2S2; Subject to F.S. Controlled Surface Use Stipulations #1, #2 and #3; Subject to F.S. Lease Notices Nos. 3 and 4</t>
  </si>
  <si>
    <t>LAES55357</t>
  </si>
  <si>
    <t>Sec. 9, All.  Subject to F.S. Controlled Surface Use Stipulation #1; Subject to F.S. Lease Notices Nos. 3 and 4</t>
  </si>
  <si>
    <t>LAES55358</t>
  </si>
  <si>
    <t>Sec. 10, All. Subject to F.S. Controlled Surface Use Stipulation #1; Subject to F.S. Lease Notices Nos. 3 and 4</t>
  </si>
  <si>
    <t>LAES55359</t>
  </si>
  <si>
    <t>Sec. 11, All. Subject to F.S. Controlled Surface Use Stipulation #1; Subject to F.S. Lease Notices Nos. 3 and 4</t>
  </si>
  <si>
    <t>LAES55360</t>
  </si>
  <si>
    <t>Sec. 12, All. Subject to F.S. Controlled Surface Use Stipulation #1; Subject to F.S. Lease Notices Nos. 3 and 4</t>
  </si>
  <si>
    <t>LAES55361</t>
  </si>
  <si>
    <t>Sec. 13, NW, S2; Subject to F.S. Controlled Surface Use Stipulation #1; Subject to F.S. Lease Notices Nos. 3 and 4</t>
  </si>
  <si>
    <t>LAES55362</t>
  </si>
  <si>
    <t>Sec. 14, All. Subject to F.S. Controlled Surface Use Stipulation #1; Subject to F.S. Lease Notices Nos. 3 and 4</t>
  </si>
  <si>
    <t>LAES55363</t>
  </si>
  <si>
    <t>Sec, 15, All. Subject to F.S. Controlled Surface Use Stipulation #1; Subject to F.S. Lease Notices Nos. 3 and 4</t>
  </si>
  <si>
    <t>LAES55364</t>
  </si>
  <si>
    <t>Sec. 16, All.  Subject to F.S. Controlled Suface Use Stipulation #1; Subject to F.S. Lease Notices Nos. 3 and 4</t>
  </si>
  <si>
    <t>LAES55365</t>
  </si>
  <si>
    <t>Sec. 17, All. Subject to F.S. Controlled Surface Use Stipulations #1, #2 and #3; Subjet to F.S. Lease Notices Nos. 3 and 4</t>
  </si>
  <si>
    <t>LAES55366</t>
  </si>
  <si>
    <t>Sec. 18, NE, N2SE, SWSE, W2; Subject to F.S. Controlled Surface Use Stipulations #1, #2 and #3; Subject to F.S. Lease Notices Nos. 3 and 4</t>
  </si>
  <si>
    <t>LAES55367</t>
  </si>
  <si>
    <t>Sec. 19, All; Subject to F.S. Controlled Surface Use Stipulations #1 and #2; Subject to F.S. Lease Notices Nos. 3 and 4</t>
  </si>
  <si>
    <t>LAES55368</t>
  </si>
  <si>
    <t>Sec. 20, All; Subject to F.S. Controlled Surface Use Stipulations #1 and #2; Subject to F.S. Lease Notices Nos. 3 and 4</t>
  </si>
  <si>
    <t>LAES55369</t>
  </si>
  <si>
    <t>Sec. 21; All.  Subject to F.S. Controlled Surface Use Stipulations #1 and #2; Subject to F.S. Lease Notices Nos. 3 and 4</t>
  </si>
  <si>
    <t>LAES55370</t>
  </si>
  <si>
    <t>Sec. 22, NE, N2NW, SW. Subject to F.S. Controlled Surface Use Stipulation #1; Subject to F.S. Lease Notices Nos. 3 and 4</t>
  </si>
  <si>
    <t>LAES55371</t>
  </si>
  <si>
    <t>Sec. 23, N2NE, W2SENE, SENE, NW NESW; Subject to F.S. Controlled Surface Use Stipulation #1; Subject to F.S. Lease Notices Nos. 3 and 4</t>
  </si>
  <si>
    <t>LAES55372</t>
  </si>
  <si>
    <t>Sec. 24, NENE, N2NWNE, N2NW, E2SWNW, W2SENW; See Lease for Details</t>
  </si>
  <si>
    <t>LAES55373</t>
  </si>
  <si>
    <t>Sec. 27, All. Subject to F.S. Lease Notices Nos. 3 and 4</t>
  </si>
  <si>
    <t>LAES55374</t>
  </si>
  <si>
    <t>Sec. 28, All. Subject to F.S. Lease Notices Nos. 3 and 4</t>
  </si>
  <si>
    <t>LAES55375</t>
  </si>
  <si>
    <t>Sec. 29, N2, S2SW, SE; Subject F.S. Lease Notices Nos. 3 and 4</t>
  </si>
  <si>
    <t>LAES55376</t>
  </si>
  <si>
    <t>Sec. 30, All.  Subject to F.S. Controlled Surface Use Stipulations #1 and #2; Subject to F.S. Lease Notices Nos. 3 and 4</t>
  </si>
  <si>
    <t>LAES55377</t>
  </si>
  <si>
    <t>Sec. 32, N2, E2SWSW, N2SE, W 12 acres in W2SWSW, SE. Subject to F.S. Controlled Surface Use Stipulations #1 and #2; Subject to F.S. Lease Notices Nos. 3 and 4</t>
  </si>
  <si>
    <t>LAES55378</t>
  </si>
  <si>
    <t>Sec. 33, All. See Lease for Details.</t>
  </si>
  <si>
    <t>LAES55379</t>
  </si>
  <si>
    <t>Sec. 34, All. See Lease for Details.</t>
  </si>
  <si>
    <t>LAES55380</t>
  </si>
  <si>
    <t xml:space="preserve">Sec. 35; S2NE, NWNE, NW, S2. Subject to F.S. Controlled Surface Use Stipulation #1; Subject to F.S. Lease Notices Nos. 3 and 4. </t>
  </si>
  <si>
    <t>MSES55381</t>
  </si>
  <si>
    <t>Smith</t>
  </si>
  <si>
    <t>T1N, R9E, Choctaw Meridian</t>
  </si>
  <si>
    <t>Sec. 1, W2NE, SENE, N2SE; Sec. 4, SESW; Sec. 6, pt of NWSW. Subject to BLM Controlled Surface Use Stipulations and Lease Notices</t>
  </si>
  <si>
    <t>MSES55384</t>
  </si>
  <si>
    <t>T3N, R7E, Choctaw Meridian</t>
  </si>
  <si>
    <t>Sec. 36, NESE, N2W2SESE; Subject to BLM Controlled Surface Use Stipulations and Lease Notices</t>
  </si>
  <si>
    <t>MSES55385</t>
  </si>
  <si>
    <t>T4N, R6E, Choctaw Meridian</t>
  </si>
  <si>
    <t>Sec. 15, N2SE; Subject to BLM Controlled Surface Use Stipulations and Lease Notices</t>
  </si>
  <si>
    <t>MSES55386</t>
  </si>
  <si>
    <t>Bienville National Forest</t>
  </si>
  <si>
    <t>T4N, R7E, Choctaw Meridian</t>
  </si>
  <si>
    <t>Sec. 23, See Lease for Details</t>
  </si>
  <si>
    <t>MSES55387</t>
  </si>
  <si>
    <t>T4N, R9E, Choctaw Meridian</t>
  </si>
  <si>
    <t>Sec. 31, NENE; Subject to BLM Controlled Surface Use Stipulations and Lease Notices</t>
  </si>
  <si>
    <t>MSES55391</t>
  </si>
  <si>
    <t>Forrest</t>
  </si>
  <si>
    <t>T1S, R12W, St. Stephens Meridian</t>
  </si>
  <si>
    <t>Sec. 21, SESW; Subject to BLM Controlled Surface Use Stipulations and Lease Notices</t>
  </si>
  <si>
    <t>MSES55392</t>
  </si>
  <si>
    <t>SOLD TO REAGAN SMITH/BOUGHT BACK</t>
  </si>
  <si>
    <t>T1S, R13W, St. Stephens Meridian</t>
  </si>
  <si>
    <t>Sec. 9, E2NW; Subject to BLM Controlled Suface Use Stipulations and Lease Notices</t>
  </si>
  <si>
    <t>MSES55393</t>
  </si>
  <si>
    <t>DeSoto National Forest</t>
  </si>
  <si>
    <t>Sec. 10, NESE; Subject to BLM Controlled Surface Use Stipulations and Lease Notices</t>
  </si>
  <si>
    <t>POSTED FROM RECEIPTS</t>
  </si>
  <si>
    <t>MPLP AXP</t>
  </si>
  <si>
    <t>CK 3374</t>
  </si>
  <si>
    <t xml:space="preserve">COST OF LEASES SOLD TO CHESAPEAKE ENERGY </t>
  </si>
  <si>
    <t>NMNM120889</t>
  </si>
  <si>
    <t xml:space="preserve"> SOLD TO RKI EXPLORATION (KHODY MINERALS CO.) IN NOVEMBER 2015</t>
  </si>
  <si>
    <t>T0250S,R0280E, NMPM Meridian</t>
  </si>
  <si>
    <t>Sec. 025, SENE</t>
  </si>
  <si>
    <t>200807-007</t>
  </si>
  <si>
    <t>Rec. at Book 911 Page 609</t>
  </si>
  <si>
    <t>NMNM120896</t>
  </si>
  <si>
    <t>T0160S, R0300E, NMPM Meridian</t>
  </si>
  <si>
    <t>Sec. 025, S2NW</t>
  </si>
  <si>
    <t>200807-014</t>
  </si>
  <si>
    <t>Rec. at Book 911 Page 618</t>
  </si>
  <si>
    <t>NMNM120905</t>
  </si>
  <si>
    <t xml:space="preserve">SOLD TO ADVANCE ENERGY IN APRIL 2017 / ORRI-ACLT 6.25 % UA 6.25% </t>
  </si>
  <si>
    <t>T0210S, R0320E, NMPM Meridian</t>
  </si>
  <si>
    <t>Sec. 035, N2</t>
  </si>
  <si>
    <t>200807-023</t>
  </si>
  <si>
    <t>Instrument#50531 Book 1806 Page 346</t>
  </si>
  <si>
    <t>NMNM120911</t>
  </si>
  <si>
    <t>T0090N, R0330E, NMPM Meridian</t>
  </si>
  <si>
    <t>Sec. 027, N2NE, E2NW, SW, S2SE; Sec. 028, S2; Sec. 033, S2NE, W2, SE; Sec. 034, NE, S2NW, SW</t>
  </si>
  <si>
    <t>200807-029</t>
  </si>
  <si>
    <t>NMNM120915</t>
  </si>
  <si>
    <t>T0250S, R0380E, NMPM Meridian</t>
  </si>
  <si>
    <t>Sec. 017, SE</t>
  </si>
  <si>
    <t>200807-033</t>
  </si>
  <si>
    <t>Instrument#50532 Book 1806 Page 355</t>
  </si>
  <si>
    <t>NMNM120917</t>
  </si>
  <si>
    <t>BIA</t>
  </si>
  <si>
    <t>T0200N, R0080W, NMPM Meridian</t>
  </si>
  <si>
    <t>Sec. 001, TR 37; Sec. 003, TR 40, 41, 48</t>
  </si>
  <si>
    <t>200807-035</t>
  </si>
  <si>
    <t>NMNM120920</t>
  </si>
  <si>
    <t>T0210N, R0080W, NMPM Meridian</t>
  </si>
  <si>
    <t>Sec. 025, All; Sec. 027, Lots 1-4; Sec. 027, SE</t>
  </si>
  <si>
    <t>200807-038</t>
  </si>
  <si>
    <t>NMNM120921</t>
  </si>
  <si>
    <t>Sec. 035, All</t>
  </si>
  <si>
    <t>200807-039</t>
  </si>
  <si>
    <t>OKNM120939</t>
  </si>
  <si>
    <t>USDA Forest Service; Ouachita National Forest</t>
  </si>
  <si>
    <t>T0030N, R0260E, IM Meridian</t>
  </si>
  <si>
    <t>Sec. 025, 026, 035, 036, See lease for details</t>
  </si>
  <si>
    <t>200807-059</t>
  </si>
  <si>
    <t>OKNM120940</t>
  </si>
  <si>
    <t>T0040N, R0270E, IM Meridian</t>
  </si>
  <si>
    <t>Sec. 021, All; Sec. 022, Lots 1, 2; Sec. 022, W2</t>
  </si>
  <si>
    <t>200807-060</t>
  </si>
  <si>
    <t>OKNM120941</t>
  </si>
  <si>
    <t>Sec. 027, Lots 1, 3; Sec. 027, SW; Sec. 028, N2NE, NW, NESW, SE; Sec. 033, All; Sec. 034, Lots 1-4; Sec. 034, W2</t>
  </si>
  <si>
    <t>200807-061</t>
  </si>
  <si>
    <t>OKNM120942</t>
  </si>
  <si>
    <t>Sec. 029, W2, W2SE, SESE; Sec. 030, N2NE, S2SE; Sec. 031, N2NE; Sec. 032, N2N2, SENE; Sec. 032, E2NESE, S2SWSE; Sec. 032, SESE</t>
  </si>
  <si>
    <t>200807-062</t>
  </si>
  <si>
    <t>TXNM120950</t>
  </si>
  <si>
    <t>BURLESON</t>
  </si>
  <si>
    <t>100% OPR RIGHTS - CML EXPLR. - WILL PAY RENTALS</t>
  </si>
  <si>
    <t>Corps of Engineers; Somerville Lake</t>
  </si>
  <si>
    <t>TX Meridian</t>
  </si>
  <si>
    <t>TR 107, 108, 109, 110, 111; TR 146, 147</t>
  </si>
  <si>
    <t>200807-070</t>
  </si>
  <si>
    <t>TXNM120951</t>
  </si>
  <si>
    <t>USDA Forest Service; Sam Houston National Forest</t>
  </si>
  <si>
    <t>TR J-1B Parcel #2; See lease for details</t>
  </si>
  <si>
    <t>200807-071</t>
  </si>
  <si>
    <t>TXNM120952</t>
  </si>
  <si>
    <t>USDA Forest Service, Sam Houston National Forest</t>
  </si>
  <si>
    <t>TR J-1B Parcel #3; See lease for details</t>
  </si>
  <si>
    <t>200807-072</t>
  </si>
  <si>
    <t>TXNM120953</t>
  </si>
  <si>
    <t>TR J-1B Parcel #5; See lease for details</t>
  </si>
  <si>
    <t>200807-073</t>
  </si>
  <si>
    <t>TXNM120954</t>
  </si>
  <si>
    <t>TR J-1-III Parcel #2; See lease for details</t>
  </si>
  <si>
    <t>200807-074</t>
  </si>
  <si>
    <t>Doc#2018098546</t>
  </si>
  <si>
    <t>TXNM120959</t>
  </si>
  <si>
    <t>AMENDMENT - REFUND RECEIVED 8-3-2009 RECORDED LINE 942</t>
  </si>
  <si>
    <t>Corps of Engineers; Whitney Lake, Mid-Brazos</t>
  </si>
  <si>
    <t>TR W-G 601, 604, 605, 606, 608; TR 609, 616, 619-1, 619-2; TR 619-3, 619-4, 619-5, 619-6; TR 619-7, 619-8, 619-9, 619-10; TR 619-11; See lease for details</t>
  </si>
  <si>
    <t>200807-079</t>
  </si>
  <si>
    <t>TXNM120960</t>
  </si>
  <si>
    <t>See lease for details</t>
  </si>
  <si>
    <t>200807-080</t>
  </si>
  <si>
    <t>AXP 07-17-08</t>
  </si>
  <si>
    <t>AXP 7-22-08</t>
  </si>
  <si>
    <t xml:space="preserve">ACA CK 1263 WACHOVIA </t>
  </si>
  <si>
    <t>LAES55447</t>
  </si>
  <si>
    <t>WINN</t>
  </si>
  <si>
    <t>T9N, R4W, LA MERIDIAN</t>
  </si>
  <si>
    <t>SEC 16, NWSE</t>
  </si>
  <si>
    <t>ES-025-09/08</t>
  </si>
  <si>
    <t>LAES55448</t>
  </si>
  <si>
    <t>T20N, R9W, LA MERIDIAN</t>
  </si>
  <si>
    <t>SEE LEASE 494.6 A IN SEC 1</t>
  </si>
  <si>
    <t>ES-026-09/08</t>
  </si>
  <si>
    <t>LAES55449</t>
  </si>
  <si>
    <t>SEC 2, N2N2, W2SE, SW; SEC 3, NENE</t>
  </si>
  <si>
    <t>ES-027-09/08</t>
  </si>
  <si>
    <t>LAES55450</t>
  </si>
  <si>
    <t>SEC 9, SESE; SEC 10, E2, NESW, S2SW, NENW, SENW, NWNW</t>
  </si>
  <si>
    <t>ES-028-09/08</t>
  </si>
  <si>
    <t>LAES55452</t>
  </si>
  <si>
    <t>SEC 13, NE, S2, SENW; SEC 14, W2NW</t>
  </si>
  <si>
    <t>ES-030-09/08</t>
  </si>
  <si>
    <t>LAES55453</t>
  </si>
  <si>
    <t>SEC 15, NE, NESE, W2SE, S2SW, N2NW</t>
  </si>
  <si>
    <t>ES-031-09/08</t>
  </si>
  <si>
    <t>LAES55454</t>
  </si>
  <si>
    <t>SEC 16, S2</t>
  </si>
  <si>
    <t>ES-032-09/08</t>
  </si>
  <si>
    <t>LAES55455</t>
  </si>
  <si>
    <t>SEC 20, E2SWNE, SENE, NESE, S2S2, NESW</t>
  </si>
  <si>
    <t>ES-033-09/08</t>
  </si>
  <si>
    <t>LAES55457</t>
  </si>
  <si>
    <t>SEC 22, W2N2, SENE, SE (LESS 12 A-SEE LSE), SW, NW</t>
  </si>
  <si>
    <t>ES-035-09/08</t>
  </si>
  <si>
    <t>LAES55458</t>
  </si>
  <si>
    <t>SEC23, N2N2, SESE, SENE, NESE (LESS 1A -SEE LSE), N2SWNE, S2SWNE, W2SE, N2SW, SESW, S2NW</t>
  </si>
  <si>
    <t>ES-036-09/08</t>
  </si>
  <si>
    <t>LAES55459</t>
  </si>
  <si>
    <t>SEC 24, E, SE, SW, E2NW, SWNW (LESS 0.71A FOR CEMETERY)</t>
  </si>
  <si>
    <t>ES-037-09/08</t>
  </si>
  <si>
    <t>LAES55460</t>
  </si>
  <si>
    <t>SEC 25, N2; SEC 26, NENE, SENE, NWNE, &amp; TRACT IN SWNW, N2NW</t>
  </si>
  <si>
    <t>ES-038-09/08</t>
  </si>
  <si>
    <t>LAES55461</t>
  </si>
  <si>
    <t xml:space="preserve">SEC 27, W2SW; SEC 28, NE, SE, S2SW, NENW </t>
  </si>
  <si>
    <t>ES-039-09/08</t>
  </si>
  <si>
    <t>LAES55462</t>
  </si>
  <si>
    <t>SEC 29, N2N2, SESE; SEC 32, NENE, S2SE</t>
  </si>
  <si>
    <t>ES-040-09/08</t>
  </si>
  <si>
    <t>LAES55463</t>
  </si>
  <si>
    <t>SEC 33, NE, NESE, S2S2, E2NWSE, N2SENW, N2NW</t>
  </si>
  <si>
    <t>ES-041-09/08</t>
  </si>
  <si>
    <t>LAES55464</t>
  </si>
  <si>
    <t>SEC 34. SWNE, SE, SW, SENW, W2NW</t>
  </si>
  <si>
    <t>ES-042-09/08</t>
  </si>
  <si>
    <t>LAES55465</t>
  </si>
  <si>
    <t>SEC 35, SWNE,NWSE, S2SE, SW, SENW, NENESWNW, S2N2SWNW, S2SWNW</t>
  </si>
  <si>
    <t>ES-043-09/08</t>
  </si>
  <si>
    <t>LAES55466</t>
  </si>
  <si>
    <t xml:space="preserve">LEASE AMENDED. BID REFUNDED. 50% OWNED BY GINGER </t>
  </si>
  <si>
    <t>T22N, R6W, LA MERIDIAN</t>
  </si>
  <si>
    <t>SEC 27, NW</t>
  </si>
  <si>
    <t>ES-044-09/08</t>
  </si>
  <si>
    <t>MIES55474</t>
  </si>
  <si>
    <t>ALCONA</t>
  </si>
  <si>
    <t>HURON NATIONAL FOREST</t>
  </si>
  <si>
    <t>T27N &amp; T28N, R9E, MI MERIDIAN</t>
  </si>
  <si>
    <t xml:space="preserve">SEE LEASE </t>
  </si>
  <si>
    <t>ES-052-09/08</t>
  </si>
  <si>
    <t>MIES55476</t>
  </si>
  <si>
    <t>NEWAYGO</t>
  </si>
  <si>
    <t>T14N, R13W, MI MERIDIAN</t>
  </si>
  <si>
    <t>SEC 3, W2NE, W3/4SW; SEC 8, NWNE; SEC 9, PART NE (EXCEPT S2SESENE- 4.99A) E2SW, W2SE</t>
  </si>
  <si>
    <t>ES-054-09/08</t>
  </si>
  <si>
    <t>MIES55490</t>
  </si>
  <si>
    <t>OCEANA</t>
  </si>
  <si>
    <t>T14N, R15W, MI MERIDIAN</t>
  </si>
  <si>
    <t>SEC 17, N2NW, N2S2NW; SEC 18, NENE, SWNE, SENW, E2NESE, NENW, S2SE</t>
  </si>
  <si>
    <t>ES-068-09/08</t>
  </si>
  <si>
    <t>MIES55491</t>
  </si>
  <si>
    <t>SEC 27, S2NW; SEC 28, W2NW; SEC29, E2NW, NE; SEC 32, NW</t>
  </si>
  <si>
    <t>ES-069-09/08</t>
  </si>
  <si>
    <t>MIES55492</t>
  </si>
  <si>
    <t>T14N, R16W, MI MERIDIAN</t>
  </si>
  <si>
    <t>SEC 1, NENW; SEC 11, SENE; SEC 12, NWSE, SESE; SEC 13, S2NENE; SEC 24, SWNE, NENE, SENE</t>
  </si>
  <si>
    <t>ES-070-09/08</t>
  </si>
  <si>
    <t>MIES55493</t>
  </si>
  <si>
    <t>SEC 31, E2NE, NESE; SEC 32, S2SW</t>
  </si>
  <si>
    <t>ES-071-09/08</t>
  </si>
  <si>
    <t>MIES55494</t>
  </si>
  <si>
    <t>T16N, R14W, MI MERIDIAN</t>
  </si>
  <si>
    <t>SEC 3, ALL; SEC 4, N2NE, NENW</t>
  </si>
  <si>
    <t>ES-072-09/08</t>
  </si>
  <si>
    <t>MIES55495</t>
  </si>
  <si>
    <t>SEC 5, SW; SEC 7, N2NW (EXCL 1A),S2NW, N2SW, S2S2SW</t>
  </si>
  <si>
    <t>ES-073-09/08</t>
  </si>
  <si>
    <t>MIES55496</t>
  </si>
  <si>
    <t>SEC 16, S2SW, NWSW; SEC 17, W2NE; SEC 21, W2</t>
  </si>
  <si>
    <t>ES-074-09/08</t>
  </si>
  <si>
    <t>MIES55497</t>
  </si>
  <si>
    <t>SEC 27, W2NW, SW; SEC 28, NWSW; SEC 34, S2SE; SEC35, W2, EXCL NENW</t>
  </si>
  <si>
    <t>ES-075-09/08</t>
  </si>
  <si>
    <t>MIES55498</t>
  </si>
  <si>
    <t>T16N, R15W, MI MERIDIAN</t>
  </si>
  <si>
    <t xml:space="preserve">SEC 4, W2SE, SWSW, E2SW; SEC7, ALL; </t>
  </si>
  <si>
    <t>ES-076-09/08</t>
  </si>
  <si>
    <t>MIES55499</t>
  </si>
  <si>
    <t>SEC 10, E4, NWNE; SEC 11, W2, SE; SEC 12, NENE, S2NE</t>
  </si>
  <si>
    <t>ES-077-09/08</t>
  </si>
  <si>
    <t>MIES55500</t>
  </si>
  <si>
    <t>SEC 14, ALL; SEC 23, N2SW; SEC 24, S2NW, NWNE, N2NW</t>
  </si>
  <si>
    <t>ES-078-09/08</t>
  </si>
  <si>
    <t>MIES55501</t>
  </si>
  <si>
    <t>SEC 21, N2SENE, SESENE, E2SWSENE; SEC 22, S2SW; SEC 27, NWNW, NENW; SEC 28, N2NE, N2NW, S2NE</t>
  </si>
  <si>
    <t>ES-079-09/08</t>
  </si>
  <si>
    <t>MIES55502</t>
  </si>
  <si>
    <t>T16N, R16W, MI MERIDIAN</t>
  </si>
  <si>
    <t>SEC 1, ALL; SEC 2, ALL EXCEPT S2NWNW</t>
  </si>
  <si>
    <t>ES-080-09/08</t>
  </si>
  <si>
    <t>MIES55503</t>
  </si>
  <si>
    <t>SEC 9, ALL; SEC 10, ALL; SEC 15, NE</t>
  </si>
  <si>
    <t>ES-081-09/08</t>
  </si>
  <si>
    <t>MIES55504</t>
  </si>
  <si>
    <t>MASON</t>
  </si>
  <si>
    <t>T17N, R15W, MI MERIDIAN</t>
  </si>
  <si>
    <t xml:space="preserve">SEC 5, E2;  PORTIONS OF SEC 6, 7 &amp; 8 - SEE LEASE FOR DETAILS </t>
  </si>
  <si>
    <t>ES-082-09/08</t>
  </si>
  <si>
    <t>MIES55505</t>
  </si>
  <si>
    <t>SEC 14, 2SW, W2SW</t>
  </si>
  <si>
    <t>ES-083-09/08</t>
  </si>
  <si>
    <t>MIES55506</t>
  </si>
  <si>
    <t>T17N, R15W &amp; 16W, MI MERIDIAN</t>
  </si>
  <si>
    <t>R15W: SEC 19 ALL; R16W: SEC24, E2</t>
  </si>
  <si>
    <t>ES-084-09/08</t>
  </si>
  <si>
    <t>MIES55507</t>
  </si>
  <si>
    <t>T17N, R16W, MI MERIDIAN</t>
  </si>
  <si>
    <t>SEC 33, W2NESE, S2SE, SESW, E2NESE; SEC 34, NWNE, SWNE, SENW, S2, SENE</t>
  </si>
  <si>
    <t>ES-085-09/08</t>
  </si>
  <si>
    <t>MIES55508</t>
  </si>
  <si>
    <t>SEC 35, E2SE, SWSE, NESW, NWSE, N2NW, NE, S2NW, W2SW, SESW</t>
  </si>
  <si>
    <t>ES-086-09/08</t>
  </si>
  <si>
    <t>AXP</t>
  </si>
  <si>
    <t>CHECK</t>
  </si>
  <si>
    <t>TXNM121523</t>
  </si>
  <si>
    <t>Jackson</t>
  </si>
  <si>
    <t>ANDERSON OIL, LTD  OWNS 50%</t>
  </si>
  <si>
    <t>TR I-C-12, I-C-32</t>
  </si>
  <si>
    <t>200810-057</t>
  </si>
  <si>
    <t>TXNM121524</t>
  </si>
  <si>
    <t>ANDERSON OIL, LTD OWNS 50%</t>
  </si>
  <si>
    <t>TR I-C-127; TR I-C-128; TR I-C-129; TR I-C-130; See lease for details</t>
  </si>
  <si>
    <t>200810-058</t>
  </si>
  <si>
    <t>TXNM121526</t>
  </si>
  <si>
    <t>TR I-C-131-1; TR I-C-131-2; TR I-C-132; TR I-C-133-1; TR I-C-133-2; TR I-C-135; TR I-C-137</t>
  </si>
  <si>
    <t>200810-060</t>
  </si>
  <si>
    <t>TXNM121527</t>
  </si>
  <si>
    <t>TR I-C-124-1; TR I-C-125-1; TR I-C-125-2; TR I-C-125-3; TR I-C-126; TR I-C-155</t>
  </si>
  <si>
    <t>200810-061</t>
  </si>
  <si>
    <t>TXNM121528</t>
  </si>
  <si>
    <t>TR I-C-143; TR I-C-144-4; TR I-C-150; TR I-C-200; TR I-C-202; TR I-C-203; TR I-C-217</t>
  </si>
  <si>
    <t>200810-062</t>
  </si>
  <si>
    <t>TXNM121529</t>
  </si>
  <si>
    <t>TR I-C-175; TR I-C-218; TR I-C-29-1; TR I-C-29-2</t>
  </si>
  <si>
    <t>200810-063</t>
  </si>
  <si>
    <t>TXNM121530</t>
  </si>
  <si>
    <t>TR I-C-31; TR I-C-39; TR I-C-39-A; TR I-C-40</t>
  </si>
  <si>
    <t>200810-064</t>
  </si>
  <si>
    <t>TXNM121531</t>
  </si>
  <si>
    <t>TR I-C-14; TR I-C-168; TR I-C-222; See lease for details</t>
  </si>
  <si>
    <t>200810-065</t>
  </si>
  <si>
    <t>TXNM121532</t>
  </si>
  <si>
    <t>TR I-C-214-1; TR I-C-214-2; TR I-C-219-1; TR I-C-219-2</t>
  </si>
  <si>
    <t>200810-066</t>
  </si>
  <si>
    <t>CREDIT FROM MMS</t>
  </si>
  <si>
    <t>ALES55543</t>
  </si>
  <si>
    <t>LEASE ACREAGE AMENDED. TO BE REFUNDED: EXCESS BONUS BID $488.00; EXCESS RENT PYMTS (2) $732.00</t>
  </si>
  <si>
    <t>BLM; Conecuh National Forest</t>
  </si>
  <si>
    <t>T0010N, R0130E; 25 Meridian</t>
  </si>
  <si>
    <t>Sec. 003, N2NE, N2SE</t>
  </si>
  <si>
    <t>ALES55546</t>
  </si>
  <si>
    <t>Sec. 021, All</t>
  </si>
  <si>
    <t>ALES55551</t>
  </si>
  <si>
    <t>Perry</t>
  </si>
  <si>
    <t>BLM; Talledega National Forest</t>
  </si>
  <si>
    <t>T0220N; R0070E; 25 Meridian</t>
  </si>
  <si>
    <t>Sec. 021, SW</t>
  </si>
  <si>
    <t>INES55563</t>
  </si>
  <si>
    <t>Crawford; Perry</t>
  </si>
  <si>
    <t>IN</t>
  </si>
  <si>
    <t>BLM; Hoosier National Forest</t>
  </si>
  <si>
    <t>INES55564</t>
  </si>
  <si>
    <t>INES55569</t>
  </si>
  <si>
    <t>T0060S, R0010W; 02 Meridian</t>
  </si>
  <si>
    <t>Sec. 005; See Lease for details</t>
  </si>
  <si>
    <t>INES55570</t>
  </si>
  <si>
    <t>T0060S, R0020W; 01 Meridian</t>
  </si>
  <si>
    <t>Sec. 001; See lease for details</t>
  </si>
  <si>
    <t>BALANCE 12-31-2008</t>
  </si>
  <si>
    <t>NMNM121919</t>
  </si>
  <si>
    <t>Guadalupe</t>
  </si>
  <si>
    <t>T 0070N; R0190E; NMPM Meridian</t>
  </si>
  <si>
    <t>Sec. 013, SESE; Sec. 023, NESE, SWSE; Sec. 024, N2NE, SENW; Sec. 026, NWNW; Sec. 027, S2NE, NESW; Sec. 028, SESE; Sec. 033, N2NE, NENW, S2NW; Sec. 034, N2SW, Sec. 025, All</t>
  </si>
  <si>
    <t>NMNM121920</t>
  </si>
  <si>
    <t>Sec. 017, N2; Sec. 018, Lots 1-4; Sec. 018, NE, E2W2, NESE, W2SE; Sec. 019, Lots 1, 2; Sec. 019, NE, E2NW; Sec. 020, N2NW, SWNW</t>
  </si>
  <si>
    <t>NMNM121938</t>
  </si>
  <si>
    <t>Chaves</t>
  </si>
  <si>
    <t>T0090S; R0270E &amp; R0280E; NMPM Meridian</t>
  </si>
  <si>
    <t>Sec. 013, S2N2, S2; Sec. 023, N2, SW, N2SE, SWSE; Sec. 024, NWNE, NW; Sec. 026, NWNW; Sec. 018, Lot 4</t>
  </si>
  <si>
    <t>NMNM121959</t>
  </si>
  <si>
    <t>Lea</t>
  </si>
  <si>
    <t>T0090S, R0360E, NMPM Meridian</t>
  </si>
  <si>
    <t>Sec. 034, SW</t>
  </si>
  <si>
    <t>Instrument#50533 Book 1806 Page 362</t>
  </si>
  <si>
    <t>OKNM121970</t>
  </si>
  <si>
    <t>LeFlore</t>
  </si>
  <si>
    <t>Corps of Engineers; Wister Lake</t>
  </si>
  <si>
    <t>T0050N, R0250E, IM Meridian</t>
  </si>
  <si>
    <t>TXNM121974</t>
  </si>
  <si>
    <t>Burleson</t>
  </si>
  <si>
    <t xml:space="preserve">The eastern most portion of Tract 106 containing 51.38 acres </t>
  </si>
  <si>
    <t xml:space="preserve">113, 116, 119, 125; TR 148, 400-1 </t>
  </si>
  <si>
    <t>TXNM121976</t>
  </si>
  <si>
    <t>Shelby, San Augustine</t>
  </si>
  <si>
    <t>U.S. Forest Service; Sabine National Forest</t>
  </si>
  <si>
    <t>TR S-1B-C; See lease for details</t>
  </si>
  <si>
    <t>TXNM121983</t>
  </si>
  <si>
    <t>Sabine</t>
  </si>
  <si>
    <t>TR S-23; See lease for details</t>
  </si>
  <si>
    <t>TXNM121987</t>
  </si>
  <si>
    <t>Montgomery</t>
  </si>
  <si>
    <t>U.S. Forest Service; Sam Houston National Forest</t>
  </si>
  <si>
    <t>T 339; TR J-1-III Parcel #4; See lease for details</t>
  </si>
  <si>
    <t>TXNM121988</t>
  </si>
  <si>
    <t>T 339; TR J-1-III Parcel #6; See lease for details</t>
  </si>
  <si>
    <t>TXNM121990</t>
  </si>
  <si>
    <t>T 339; TR J-1-IV Parcel A; See lease for details</t>
  </si>
  <si>
    <t>TXNM121992</t>
  </si>
  <si>
    <t>Sabine River Authority</t>
  </si>
  <si>
    <t>T 403; TR S-2-I, S-2-III; See lease for details</t>
  </si>
  <si>
    <t>TXNM121999</t>
  </si>
  <si>
    <t>J-1-IV Parcel #3; See lease for details</t>
  </si>
  <si>
    <t>TXNM122000</t>
  </si>
  <si>
    <t>TR J-1-IV Parcel #4; See lease for details</t>
  </si>
  <si>
    <t>TXNM122001</t>
  </si>
  <si>
    <t>TR J-1-IV Parcel #5; See lease for details</t>
  </si>
  <si>
    <t>Doc#2018101190</t>
  </si>
  <si>
    <t>AXP CHGS</t>
  </si>
  <si>
    <t>CHECK 14068</t>
  </si>
  <si>
    <t>ARES55679</t>
  </si>
  <si>
    <t>OZARK N.F., FIFTH PRINCIPAL MERIDIAN</t>
  </si>
  <si>
    <t>T10N, R18W; SEC. 34, N2N2,SENW</t>
  </si>
  <si>
    <t>ES-007-06/09</t>
  </si>
  <si>
    <t>ARES55682</t>
  </si>
  <si>
    <t>OUACHITA N.F., FIFTH PRINCIPAL MERIDIAN</t>
  </si>
  <si>
    <t>T02N, R30W; SEC.17, NENE,SESE</t>
  </si>
  <si>
    <t>ES-010-06/09</t>
  </si>
  <si>
    <t>ARES55683</t>
  </si>
  <si>
    <t>T02N, R30W; SEC.5, NWSE, W3/4SWSW; SEC 6 SEE LEASE</t>
  </si>
  <si>
    <t>ES-011-06/09</t>
  </si>
  <si>
    <t>ARES55684</t>
  </si>
  <si>
    <t>T02N, R30W; SEC 7 &amp; 8 SEE LEASE FOR DETAIL</t>
  </si>
  <si>
    <t>ES-012-06/09</t>
  </si>
  <si>
    <t>ARES55685</t>
  </si>
  <si>
    <t>T02N, R30W; SEC 15 &amp; SEC 18 SEE LEASE</t>
  </si>
  <si>
    <t>ES-013-06/09</t>
  </si>
  <si>
    <t>ARES55686</t>
  </si>
  <si>
    <t>T02N, R31W; SEC 24, N2N2,SWNE</t>
  </si>
  <si>
    <t>ES-014-06/09</t>
  </si>
  <si>
    <t>ARES55687</t>
  </si>
  <si>
    <t>T02M, R31W; SEC 33, NWNWSW</t>
  </si>
  <si>
    <t>ES-015-06/09</t>
  </si>
  <si>
    <t>ARES55688</t>
  </si>
  <si>
    <t>T02N, R31W, SEC 31, N2SE, SENE</t>
  </si>
  <si>
    <t>ES-016-06/09</t>
  </si>
  <si>
    <t>LAES55689</t>
  </si>
  <si>
    <t>KISATCHIE N.F., LOUISIANA MERIDIAN</t>
  </si>
  <si>
    <t>T20N, R 9W, SEC 21, N2, SE, N2SW, SESW</t>
  </si>
  <si>
    <t>ES-017-06/09</t>
  </si>
  <si>
    <t>LAES55690</t>
  </si>
  <si>
    <t>T22N, T 5W, SEC 6, SEE LEASE</t>
  </si>
  <si>
    <t>ES-018-06/09</t>
  </si>
  <si>
    <t>LAES55691</t>
  </si>
  <si>
    <t>Remaining due after sale paid by check # 1911</t>
  </si>
  <si>
    <t>T22N, R 5W, SEC 16, SEE LEASE</t>
  </si>
  <si>
    <t>ES-019-06/09</t>
  </si>
  <si>
    <t>LAES55692</t>
  </si>
  <si>
    <t>T22N, R 5W, SEC 17, S2</t>
  </si>
  <si>
    <t>ES-020-06/09</t>
  </si>
  <si>
    <t>LAES55693</t>
  </si>
  <si>
    <t>T22N, R 5W, SEC 7 &amp; SEC 18, SEE LEASE</t>
  </si>
  <si>
    <t>ES-021-06/09</t>
  </si>
  <si>
    <t>LAES55694</t>
  </si>
  <si>
    <t>T22N, R 5W, SEC 19, NE,W2NENW,SENW,W2NW, SEC 20 SWNW</t>
  </si>
  <si>
    <t>ES-022-06/09</t>
  </si>
  <si>
    <t>MIES55695</t>
  </si>
  <si>
    <t>MANISTEE N.F. MICHIGAN MERIDAIN</t>
  </si>
  <si>
    <t>SEC. 4,5,7,8,9 SEE LEASE FOR DETAILS</t>
  </si>
  <si>
    <t>ES-023-06/09</t>
  </si>
  <si>
    <t xml:space="preserve">AXP CHGS </t>
  </si>
  <si>
    <t>CK # 1401</t>
  </si>
  <si>
    <t>KSNM123506</t>
  </si>
  <si>
    <t>CHEYENNE</t>
  </si>
  <si>
    <t>MERIDIAN 06TH       T0010S, R0410W</t>
  </si>
  <si>
    <t>SECS. 001,004,005,009,010,011,012,014 SEE LEASE</t>
  </si>
  <si>
    <t>NM200907-003</t>
  </si>
  <si>
    <t>KSNM123509</t>
  </si>
  <si>
    <t>SHERMAN</t>
  </si>
  <si>
    <t>MERIDIAN 06TH       T0060S, R0410W</t>
  </si>
  <si>
    <t>SEC 004, S2</t>
  </si>
  <si>
    <t>NM200907-007</t>
  </si>
  <si>
    <t>KSNM123510</t>
  </si>
  <si>
    <t>MERIDIAN 06TH       T0040S, R0420W</t>
  </si>
  <si>
    <t>SEC 022, SW, SEC 027, N2NW</t>
  </si>
  <si>
    <t>NM200907-008</t>
  </si>
  <si>
    <t>NMNM123536</t>
  </si>
  <si>
    <t>MERIDIAN NMPM    T0260S, R0370W</t>
  </si>
  <si>
    <t>SEC 19, NE, NENW</t>
  </si>
  <si>
    <t>NM200907-040</t>
  </si>
  <si>
    <t>Instrument#50534 Book 1806 Page 372</t>
  </si>
  <si>
    <t>PART CANCELLED;  REFUNDED $42,225. BONUS $42,000;RENT $225 - RECORDED LINE 814</t>
  </si>
  <si>
    <t>LEASES EXPIRED IN 2009</t>
  </si>
  <si>
    <t>VARIOUS</t>
  </si>
  <si>
    <t>BALANCE 12-31-2009</t>
  </si>
  <si>
    <t>ALES56200</t>
  </si>
  <si>
    <t>CONECUH</t>
  </si>
  <si>
    <t>ST STEPHENS MERIDIAN, T5N, R13E</t>
  </si>
  <si>
    <t>SEC 32, N2SE,NESW+2A.E.OF.ROAD.IN.NWSW</t>
  </si>
  <si>
    <t>ALES56201</t>
  </si>
  <si>
    <t>BLOUNT</t>
  </si>
  <si>
    <t>HUNTSVILLE MERIDIAN, T11S, R1E</t>
  </si>
  <si>
    <t>SEC 32,NENE</t>
  </si>
  <si>
    <t>ALES56202</t>
  </si>
  <si>
    <t>HUNTSVILLE MERIDIAN, T12S, R1W</t>
  </si>
  <si>
    <t>SEC 18,NWNW</t>
  </si>
  <si>
    <t>ALES56203</t>
  </si>
  <si>
    <t>HUNTSVILLE MERIDIAN, T12S, R2W</t>
  </si>
  <si>
    <t>SEC 14,SWSE,E2SW,SENW; SEC. 36,NENE</t>
  </si>
  <si>
    <t>ALES56204</t>
  </si>
  <si>
    <t>HUNTSVILLE MERIDIAN, T14S, R2E</t>
  </si>
  <si>
    <t>SEC 7,SWNW</t>
  </si>
  <si>
    <t>ALES56206</t>
  </si>
  <si>
    <t>HUNTSVILLE MERIDIAN, T15S, R15W</t>
  </si>
  <si>
    <t>SEC 13,SESE</t>
  </si>
  <si>
    <t>ALES56207</t>
  </si>
  <si>
    <t>HUNTSVILLE MERIDIAN, T15S, R16W</t>
  </si>
  <si>
    <t>SEC 14,SENE; SEC 18,ALL OS SEC E OF STATE LINE</t>
  </si>
  <si>
    <t>ALES56208</t>
  </si>
  <si>
    <t>SALE CANCELLED - $542.50 T/B REFUNDED PER LTR 6-28-2010</t>
  </si>
  <si>
    <t>ALES56209</t>
  </si>
  <si>
    <t>TUSCALOOSA</t>
  </si>
  <si>
    <t>HUNTSVILLE MERIDIAN, T18S, R10W</t>
  </si>
  <si>
    <t>SEE LEASE ACREAGE IS IN 9 SECTIONS</t>
  </si>
  <si>
    <t>ALES56210</t>
  </si>
  <si>
    <t>HUNTSVILLE MERIDIAN, T19S, R1E</t>
  </si>
  <si>
    <t>SEC 8,NWNW</t>
  </si>
  <si>
    <t>ALES56212</t>
  </si>
  <si>
    <t>HUNTSVILLE MERIDIAN, T21S, R9W</t>
  </si>
  <si>
    <t>TRACTS IN SECS 1, 2 &amp; 3</t>
  </si>
  <si>
    <t>MSES56249</t>
  </si>
  <si>
    <t>GREENE</t>
  </si>
  <si>
    <t>ST STEPHENS MERIDIAN, T1N, R5W &amp; 6W</t>
  </si>
  <si>
    <t>SEC 7,NWNE,NENW,W2SW,SWSE; SEC 13,SE</t>
  </si>
  <si>
    <t>MSES56251</t>
  </si>
  <si>
    <t xml:space="preserve">ST STEPHENS MERIDIAN, T9N, R8W </t>
  </si>
  <si>
    <t xml:space="preserve">SEC 1,  LOT 3; SEC 8, NWNW; SEC 13, SENE; SEC 22, SWSW </t>
  </si>
  <si>
    <t>MSES56253</t>
  </si>
  <si>
    <t>NEWTON</t>
  </si>
  <si>
    <t>CHOCTAW MERIDIAN, T6N, R11E</t>
  </si>
  <si>
    <t>SEC 17,W2SW;SEC 18,SESE+STRIP S.OF.NESE; SEC 22,NWNW</t>
  </si>
  <si>
    <t>OHES56255</t>
  </si>
  <si>
    <t>MONROE</t>
  </si>
  <si>
    <t>OH</t>
  </si>
  <si>
    <t>WAYNE NF, T1N, R4W; T2N,R4W; T2N,R5W</t>
  </si>
  <si>
    <t>SEE LEASE - TRACTS ARE IN 4 SECTIONS</t>
  </si>
  <si>
    <t>OHES56256</t>
  </si>
  <si>
    <t xml:space="preserve">DEAL WITH TRIAD HUNTER, LLC </t>
  </si>
  <si>
    <t>WAYNE NF, T2N,R4W</t>
  </si>
  <si>
    <t>SEC 32, PT.W2SW;SEC 33,NESW; SEC 34,PT.E2NW</t>
  </si>
  <si>
    <t>Instrument#201500083919 Book 312 Page- 84</t>
  </si>
  <si>
    <t>OHES56257</t>
  </si>
  <si>
    <t>OHIO RIVER SURVEY; T2N,R4W</t>
  </si>
  <si>
    <t>SEC 34,PT.NENW</t>
  </si>
  <si>
    <t>OHES56258</t>
  </si>
  <si>
    <t>LAWRENCE</t>
  </si>
  <si>
    <t>OHIO RIVER SURVEY; T3N,R16W</t>
  </si>
  <si>
    <t>SEE LEASE ACREAGE IS IN 6 SECS 9, 10, 11, 12, 14, 15</t>
  </si>
  <si>
    <t>OHES56259</t>
  </si>
  <si>
    <t>OHIO RIVER SURVEY; T4N,R17W</t>
  </si>
  <si>
    <t>SEE LEASE ACREAGE IS IN 4 SECS 6, 7, 18, 19</t>
  </si>
  <si>
    <t>OHES56260</t>
  </si>
  <si>
    <t>SALE CANCELLED - $280.00  T/B REFUNDED PER LTR 7-14-2010</t>
  </si>
  <si>
    <t>SEC 27,W2NE</t>
  </si>
  <si>
    <t>OHES56261</t>
  </si>
  <si>
    <t>GALLIA</t>
  </si>
  <si>
    <t>OHIO RIVER SURVEY; T6N,R17W</t>
  </si>
  <si>
    <t>SEC 20,E2NE; SEC 29,NENW,W2NW,PT.NENE;SEC33,SEE.LSE</t>
  </si>
  <si>
    <t>OHES56262</t>
  </si>
  <si>
    <t>SEE LEASE ACREAGE IS IN 7 SECS 4, 5, 8, 9, 10, 16, 17</t>
  </si>
  <si>
    <t>OHES56263</t>
  </si>
  <si>
    <t>SEE LEASE ACREAGE IS IN 5 SECS 21, 27, 28, 33, 34</t>
  </si>
  <si>
    <t>OHES56264</t>
  </si>
  <si>
    <t>SEE LEASE ACREAGE IS IN 5 SECS 12, 13, 23, 24, 25</t>
  </si>
  <si>
    <t>OHES56265</t>
  </si>
  <si>
    <t>SEE LEASE ACREAGE IS IN 3 SECS 19, 30, 31</t>
  </si>
  <si>
    <t>OHES56266</t>
  </si>
  <si>
    <t>OHIO RIVER SURVEY; T5N,R17W</t>
  </si>
  <si>
    <t>SEE LEASE ACREAGE IS IN 6 SECS 4, 5, 6, 7, 8, 9</t>
  </si>
  <si>
    <t>OHES56267</t>
  </si>
  <si>
    <t>SEE LEASE ACREAGE IS IN 4 SECS 2, 3, 10, 11</t>
  </si>
  <si>
    <t>OHES56268</t>
  </si>
  <si>
    <t>SEE LEASE ACREAGE IS IN 7 SECS 16, 17, 18, 19, 20, 30, 31</t>
  </si>
  <si>
    <t>OHES56269</t>
  </si>
  <si>
    <t>SEC 21,NENE; SEC 28,PT.E2NE</t>
  </si>
  <si>
    <t>OHES56270</t>
  </si>
  <si>
    <t>SEE LEASE ACREAGE IS IN 5 SECS 22, 23, 24, 26, 27</t>
  </si>
  <si>
    <t>OHES56271</t>
  </si>
  <si>
    <t>OHIO RIVER SURVEY; T4N,R16W</t>
  </si>
  <si>
    <t>SEC 16, N2SW,EX.5.AC; SEC 20,NWNE,EX..5.AC</t>
  </si>
  <si>
    <t>5.AC; SEC</t>
  </si>
  <si>
    <t>OHES56272</t>
  </si>
  <si>
    <t>SALE CANCELLED - $561.50 ? ($416.50 EX FEE) T/B REFUNDED PER LTR 7-08-2010</t>
  </si>
  <si>
    <t>OHES56278</t>
  </si>
  <si>
    <t>OHIO RIVER SURVEY; T3N,R7W</t>
  </si>
  <si>
    <t>SEC 7, NWNW; SEC 13, NENE,PT.SENE</t>
  </si>
  <si>
    <t>MPLP AXP CHGS</t>
  </si>
  <si>
    <t>R&amp;R CK 2276</t>
  </si>
  <si>
    <t>NMNM124665</t>
  </si>
  <si>
    <t>MERIDIAN NMPM, T70N, R350E</t>
  </si>
  <si>
    <t>SEC.30NE</t>
  </si>
  <si>
    <t>20100040 22</t>
  </si>
  <si>
    <t>NMNM124668</t>
  </si>
  <si>
    <t>MERIDIAN NMPM, T200N, T30W</t>
  </si>
  <si>
    <t>SEC.19,LT.1-4;E2,E2W2; SEC.30.LT.1-4;E2,E2W2</t>
  </si>
  <si>
    <t>2010004 025</t>
  </si>
  <si>
    <t>NMNM124669</t>
  </si>
  <si>
    <t>SEC.20ALL;SEC29ALL</t>
  </si>
  <si>
    <t>2010004 026</t>
  </si>
  <si>
    <t>OKNM124670</t>
  </si>
  <si>
    <t>PITTSBURG</t>
  </si>
  <si>
    <t>MERIDIAN IM, T50N, R160E</t>
  </si>
  <si>
    <t>SEC.16,W2SESW;E2,LOT78.WITHIN,TOWNSITE13</t>
  </si>
  <si>
    <t>2010004 027</t>
  </si>
  <si>
    <t>OKNM124671</t>
  </si>
  <si>
    <t>MERIDIAN IM, T260N, R70W</t>
  </si>
  <si>
    <t>SEC.23, REMAINDER OF LOT 7, RIPARIAN ACREAGE TO LOT 7,SEE LSE FOR M&amp;B</t>
  </si>
  <si>
    <t>2010004 028</t>
  </si>
  <si>
    <t>TXNM124676</t>
  </si>
  <si>
    <t>MERIDIAN TX</t>
  </si>
  <si>
    <t>TRACT S-2k-II PARCEL #24, SEE LSE FOR M&amp;B</t>
  </si>
  <si>
    <t>2010004 033</t>
  </si>
  <si>
    <t>R&amp;R CK 2520</t>
  </si>
  <si>
    <t>LAES056361</t>
  </si>
  <si>
    <t>GRANT PARISH</t>
  </si>
  <si>
    <t>MERIDIAN LA , T8N, R1W</t>
  </si>
  <si>
    <t>SEC.28, SESE</t>
  </si>
  <si>
    <t>LAES056362</t>
  </si>
  <si>
    <t>WINN PARISH</t>
  </si>
  <si>
    <t>MERIDIAN LA , T12N, R5W</t>
  </si>
  <si>
    <t>SEC.28, NESE</t>
  </si>
  <si>
    <t>LAES056363</t>
  </si>
  <si>
    <t>MERIDIAN LA, T12N , R5W</t>
  </si>
  <si>
    <t>SEC.29, SW, S2NW</t>
  </si>
  <si>
    <t>LAES056364</t>
  </si>
  <si>
    <t>SEC.35, NWNE, S2NE, S2, E2NW</t>
  </si>
  <si>
    <t>LAES056365</t>
  </si>
  <si>
    <t>MERIDIAN LA, T12N , R6W</t>
  </si>
  <si>
    <t>SEC. 3, SESE</t>
  </si>
  <si>
    <t>LAES056366</t>
  </si>
  <si>
    <t>MERIDIAN LA, T12N, R6W</t>
  </si>
  <si>
    <t>SEC. 13, W2E2NENW, W2NENW</t>
  </si>
  <si>
    <t>LAES056367</t>
  </si>
  <si>
    <t>SEC.23, ALL LESS &amp; EXCEPT 12.40 AC. IN RR ROW IN N2N2</t>
  </si>
  <si>
    <t>LAES056369</t>
  </si>
  <si>
    <t>MERIDIAN LA, T13N, R5W</t>
  </si>
  <si>
    <t>SEC.5, SWNW, NWSW, N2SWSW</t>
  </si>
  <si>
    <t>LAES056371</t>
  </si>
  <si>
    <t>SEC.13, S2NENE</t>
  </si>
  <si>
    <t>LAES056372</t>
  </si>
  <si>
    <t>SEC.19, E2NW, SWNW, NESE</t>
  </si>
  <si>
    <t>LAES056373</t>
  </si>
  <si>
    <t>SEC.29, Part of the W2 lying west of the creek</t>
  </si>
  <si>
    <t>MSES056384</t>
  </si>
  <si>
    <t>COPIAH</t>
  </si>
  <si>
    <t>MERIDIAN CHOCTAW, T2N , R2W</t>
  </si>
  <si>
    <t>SEC.22, W2NW</t>
  </si>
  <si>
    <t>MSES056385</t>
  </si>
  <si>
    <t>MERIDIAN CHOCTAW, T2N , R3W</t>
  </si>
  <si>
    <t>SEC. 21 , SWNE</t>
  </si>
  <si>
    <t>MSES056387</t>
  </si>
  <si>
    <t>MERIDIAN CHOCTAW, T1N, R2W</t>
  </si>
  <si>
    <t>SEC.22, SWSE, SEC.27, N2NE, SWNE 50% MINERAL INT.</t>
  </si>
  <si>
    <t>MSES056389</t>
  </si>
  <si>
    <t>SIMPSON</t>
  </si>
  <si>
    <t>MERIDIAN CHOCTAW, T2N, R1E</t>
  </si>
  <si>
    <t>SEC.1, N2SW, SEC.2 NESE, 50% MINERAL INT.</t>
  </si>
  <si>
    <t>MSES056392</t>
  </si>
  <si>
    <t>MERIDIAN WASHINGTON, T9N, R9E</t>
  </si>
  <si>
    <t>SEC.4 , NENW</t>
  </si>
  <si>
    <t>MSES056393</t>
  </si>
  <si>
    <t>SEC.17 , NESE, SEC.20, SWSW</t>
  </si>
  <si>
    <t>MSES056395</t>
  </si>
  <si>
    <t>MERIDIAN WASHINGTON, T9N, R10E</t>
  </si>
  <si>
    <t>SEC.13, E2S2 OF LOT 3</t>
  </si>
  <si>
    <t>E2 OF 80 ACRES OF LAND DECSCRIBED AS BEING 80 ACRES BETWEEN PARALLEL LINES ON THE EAST SIDE OF LOT 5. 50% MINERAL INT.</t>
  </si>
  <si>
    <t>MSES056396</t>
  </si>
  <si>
    <t>SEC.26. E2SE</t>
  </si>
  <si>
    <t>MSES056397</t>
  </si>
  <si>
    <t>MERIDIAN WASHINGTON, T10N, R6E</t>
  </si>
  <si>
    <t>SEC.25, NWNE</t>
  </si>
  <si>
    <t>MSES056398</t>
  </si>
  <si>
    <t>SEC.28, NWSW, SESW, SEC.32, W2SW</t>
  </si>
  <si>
    <t>MSES056399</t>
  </si>
  <si>
    <t>MERIDIAN WASHINGTON, T10N, R10E</t>
  </si>
  <si>
    <t>SEC.14, SESW</t>
  </si>
  <si>
    <t>MSES056400</t>
  </si>
  <si>
    <t>CLAIBORNE &amp; COPIAH</t>
  </si>
  <si>
    <t>MERIDIAN WASHINGTON, T12N, R5E</t>
  </si>
  <si>
    <t>SEC.4, N2 OF LOT 1, SEC.5, NWNE.</t>
  </si>
  <si>
    <t>MSES056401</t>
  </si>
  <si>
    <t>SEC.2, SWNW, NWSW</t>
  </si>
  <si>
    <t>NMNM125144</t>
  </si>
  <si>
    <t>MERIDIAN NMPM, T0030S, R0290E</t>
  </si>
  <si>
    <t>SEC.022, S2NW, W2SW</t>
  </si>
  <si>
    <t>201007 007</t>
  </si>
  <si>
    <t>NMNM125145</t>
  </si>
  <si>
    <t>SEC.034, W2</t>
  </si>
  <si>
    <t>201007 008</t>
  </si>
  <si>
    <t>NMNM125146</t>
  </si>
  <si>
    <t>MERIDIAN NMPM, T0090N, R0290E</t>
  </si>
  <si>
    <t>SEC.001, LOTS 4</t>
  </si>
  <si>
    <t>NMNM125147</t>
  </si>
  <si>
    <t>MERIDIAN NMPM, T0100N, R0290E</t>
  </si>
  <si>
    <t>SEC.025, NENE</t>
  </si>
  <si>
    <t>201007 010</t>
  </si>
  <si>
    <t>NMNM125148</t>
  </si>
  <si>
    <t>SEC.025, NWNW</t>
  </si>
  <si>
    <t>201007 011</t>
  </si>
  <si>
    <t>NMNM125149</t>
  </si>
  <si>
    <t>SEC.025, SWSE</t>
  </si>
  <si>
    <t>201007 012</t>
  </si>
  <si>
    <t>NMNM125150</t>
  </si>
  <si>
    <t>SEC.035, N2,NWSW,S2SW</t>
  </si>
  <si>
    <t>201007 013</t>
  </si>
  <si>
    <t>NMNM125151</t>
  </si>
  <si>
    <t>SEC.035, SESE</t>
  </si>
  <si>
    <t>201007 014</t>
  </si>
  <si>
    <t>NMNM125164</t>
  </si>
  <si>
    <t>MERIDIAN NMPM, T0100N, R0300E</t>
  </si>
  <si>
    <t>SEC.028, E2SW, SE</t>
  </si>
  <si>
    <t>201007 027</t>
  </si>
  <si>
    <t>NMNM125165</t>
  </si>
  <si>
    <t>SEC.030, W2NE, SENW</t>
  </si>
  <si>
    <t>201007 028</t>
  </si>
  <si>
    <t>NMNM125175</t>
  </si>
  <si>
    <t>MERIDIAN NMPM, T0090N, R0330E</t>
  </si>
  <si>
    <t>SEC.003, SWNE</t>
  </si>
  <si>
    <t>201007 040</t>
  </si>
  <si>
    <t>NMNM125176</t>
  </si>
  <si>
    <t>SEC.003 NESE</t>
  </si>
  <si>
    <t>201007 041</t>
  </si>
  <si>
    <t>NMNM125177</t>
  </si>
  <si>
    <t>SEC.006 SENE</t>
  </si>
  <si>
    <t>NMNM125178</t>
  </si>
  <si>
    <t>SEC. 011 NE, S2NW, E2SE, NWSE, SEC 012, SWNW, W2SW</t>
  </si>
  <si>
    <t>SEC.013, NWNW</t>
  </si>
  <si>
    <t>NMNM125179</t>
  </si>
  <si>
    <t>SEC.013 S2NE, SESW, SE, SEC.024 E2NW, NESW</t>
  </si>
  <si>
    <t>NMNM125180</t>
  </si>
  <si>
    <t>SEC.014 NESE</t>
  </si>
  <si>
    <t>NMNM125181</t>
  </si>
  <si>
    <t>SEC.021 E2NE, SEC.022 NW, N2SW, SE</t>
  </si>
  <si>
    <t>SEC.023, SWNW, W2SW. NOTE: A WIND TURBINE IS LOCATED WITHIN THE PARCEL BOUNDARIES</t>
  </si>
  <si>
    <t>NMNM125182</t>
  </si>
  <si>
    <t>SEC.021, NWNW</t>
  </si>
  <si>
    <t>NMNM125183</t>
  </si>
  <si>
    <t>SEC.023 W2NE, NWSE</t>
  </si>
  <si>
    <t>NMNM125184</t>
  </si>
  <si>
    <t>SEC.026 NWNE, NENW, W2W2, SEC.035 NWNW</t>
  </si>
  <si>
    <t>NOTE: A WIND TURBINE IS LOCATED WITHIN THE PARCEL BOUNDARIES</t>
  </si>
  <si>
    <t>NMNM125185</t>
  </si>
  <si>
    <t>SEC.030, LOTS 3</t>
  </si>
  <si>
    <t>NMNM125186</t>
  </si>
  <si>
    <t>SEC.031, NENE</t>
  </si>
  <si>
    <t>NMNM125187</t>
  </si>
  <si>
    <t>MERIDIAN NMPM, T0100N, R0330E</t>
  </si>
  <si>
    <t xml:space="preserve">SEC.001, SESW </t>
  </si>
  <si>
    <t>NMNM125188</t>
  </si>
  <si>
    <t>SEC.002 SWSE</t>
  </si>
  <si>
    <t>NMNM125189</t>
  </si>
  <si>
    <t>SEC.002 SWSW</t>
  </si>
  <si>
    <t>NMNM125190</t>
  </si>
  <si>
    <t>SEC.002 NESE</t>
  </si>
  <si>
    <t>NMNM125191</t>
  </si>
  <si>
    <t>SEC.003, SWNW</t>
  </si>
  <si>
    <t>NMNM125192</t>
  </si>
  <si>
    <t>SEC.003, SWSW, SEC.004, NWSW, S2S2</t>
  </si>
  <si>
    <t>SEC.009 E2, E2W2, NWNW</t>
  </si>
  <si>
    <t>NMNM125193</t>
  </si>
  <si>
    <t>SEC.005 S2, SEC.008 NW, E2SW, NWSE</t>
  </si>
  <si>
    <t>NMNM125194</t>
  </si>
  <si>
    <t>SEC.006 LOTS 2-7, SEC.006 SWNE, SENW, E2SW, W2SE</t>
  </si>
  <si>
    <t>SEC.007, LOTS 1-2, SEC.007 NWNE, E2NW</t>
  </si>
  <si>
    <t>NMNM125195</t>
  </si>
  <si>
    <t>SEC.010, NENW, W2NW, N2S2</t>
  </si>
  <si>
    <t>NMNM125196</t>
  </si>
  <si>
    <t>SEC.014, NWNE</t>
  </si>
  <si>
    <t>NMNM125197</t>
  </si>
  <si>
    <t>SEC.015 NWNE, S2NE, W2, NWSE</t>
  </si>
  <si>
    <t>SEC.021, E2NE, N2SE, SEC.022, W2NW</t>
  </si>
  <si>
    <t>NMNM125198</t>
  </si>
  <si>
    <t>SEC.017 SWNW, SEC.018 LOTS 1-4</t>
  </si>
  <si>
    <t>SEC.018 NWNE, S2NE, E2W2, NWSE</t>
  </si>
  <si>
    <t>NMNM125199</t>
  </si>
  <si>
    <t>SEC.019 LOTS 1-4, SEC.019 S2NE, E2W2, SE</t>
  </si>
  <si>
    <t>SEC.020 SWNW, W2SW</t>
  </si>
  <si>
    <t>NMNM125200</t>
  </si>
  <si>
    <t>SEC.020 SWSE</t>
  </si>
  <si>
    <t>NMNM125201</t>
  </si>
  <si>
    <t>SEC.021 SWSW</t>
  </si>
  <si>
    <t>NMNM125202</t>
  </si>
  <si>
    <t>SEC.028,NW, SEC.029, S2NE, SENW, W2W2,E2SW,W2SE</t>
  </si>
  <si>
    <t>SEC.030 LOTS 3, E2,E2W2, SEC.031 E2NE, N2SE, SEC.032, W2NE</t>
  </si>
  <si>
    <t>NMNM125203</t>
  </si>
  <si>
    <t>SEC.034,NENE</t>
  </si>
  <si>
    <t>NMNM125204</t>
  </si>
  <si>
    <t>SEC.027, NWNE</t>
  </si>
  <si>
    <t>NMNM125205</t>
  </si>
  <si>
    <t>MERIDIAN NMPM, T0110N, R0330E</t>
  </si>
  <si>
    <t>SEC.027, SENE</t>
  </si>
  <si>
    <t>NMNM125206</t>
  </si>
  <si>
    <t>SEC.029, NENW, S2N2, NWSW, S2SW, SEC.032, NE, E2NW, NESE</t>
  </si>
  <si>
    <t>SEC.033, SW, W2SE</t>
  </si>
  <si>
    <t>NMNM125207</t>
  </si>
  <si>
    <t>SEC.030, LOTS 2,4, SEC.030 SENW, E2SW, SEC.031 LOTS 1-4</t>
  </si>
  <si>
    <t>SEC.031, E2W2, W2SE</t>
  </si>
  <si>
    <t>NMNM125208</t>
  </si>
  <si>
    <t>MERIDIAN NMPM, T0090N, R0340E</t>
  </si>
  <si>
    <t>SEC.006, LOTS 3, 4</t>
  </si>
  <si>
    <t>NMNM125209</t>
  </si>
  <si>
    <t>SEC.009, NE, E2SE</t>
  </si>
  <si>
    <t>NMNM125210</t>
  </si>
  <si>
    <t>SEC.018, LOTS 1, 2, SEC.018, NENW</t>
  </si>
  <si>
    <t>NMNM125211</t>
  </si>
  <si>
    <t>SEC.020, NWNE</t>
  </si>
  <si>
    <t>NMNM125212</t>
  </si>
  <si>
    <t>SEC.020 W2NW, SENW</t>
  </si>
  <si>
    <t>NMNM125213</t>
  </si>
  <si>
    <t>SEC.020 SENE, E2SE, SWSE</t>
  </si>
  <si>
    <t>SEC.021 SWNW, W2SW</t>
  </si>
  <si>
    <t>NMNM125214</t>
  </si>
  <si>
    <t>MERIDIAN NMPM, T0130S, R0340E</t>
  </si>
  <si>
    <t>SEC.014,S2SW</t>
  </si>
  <si>
    <t>Instrument#50535 Book 1806 Page- 384</t>
  </si>
  <si>
    <t>NMNM125215</t>
  </si>
  <si>
    <t>SEC.014, E2SE</t>
  </si>
  <si>
    <t>Instrument#50536 Book 1806 Page- 392</t>
  </si>
  <si>
    <t>NMNM125216</t>
  </si>
  <si>
    <t>SEC.014, N2NE</t>
  </si>
  <si>
    <t>Instrument#50537 Book 1806 Page- 399</t>
  </si>
  <si>
    <t>NMNM125217</t>
  </si>
  <si>
    <t>SEC.014, W2NW, SEC.015 NENE</t>
  </si>
  <si>
    <t>Instrument#50519 Book 1806 Page- 261</t>
  </si>
  <si>
    <t>NMNM125221</t>
  </si>
  <si>
    <t>MERIDIAN NMPM, T0100N, R0350E</t>
  </si>
  <si>
    <t>SEC.012 NWSW</t>
  </si>
  <si>
    <t>NMNM125234</t>
  </si>
  <si>
    <t>MERIDIAN NMPM, T0090N, R0360E</t>
  </si>
  <si>
    <t>SEC.013 SESE, SEC.024 NENE, S2NE, N2SE</t>
  </si>
  <si>
    <t>NMNM125240</t>
  </si>
  <si>
    <t>MERIDIAN NMPM, T0100N, R0360E</t>
  </si>
  <si>
    <t>SEC.007, SWSE, SEC.018, NWNE</t>
  </si>
  <si>
    <t>NMNM125241</t>
  </si>
  <si>
    <t>SEC.008 SW</t>
  </si>
  <si>
    <t>NMNM125242</t>
  </si>
  <si>
    <t>SEC.009, W2NE, E2NW</t>
  </si>
  <si>
    <t>NMNM125244</t>
  </si>
  <si>
    <t>SEC.015, N2NE</t>
  </si>
  <si>
    <t>NMNM125245</t>
  </si>
  <si>
    <t>SEC.019, LOTS 1-4</t>
  </si>
  <si>
    <t>NMNM125246</t>
  </si>
  <si>
    <t>SEC.020 SWNE, SENW</t>
  </si>
  <si>
    <t>NMNM125251</t>
  </si>
  <si>
    <t>SEC.030, W2NE, E2NW</t>
  </si>
  <si>
    <t>NMNM125253</t>
  </si>
  <si>
    <t>MERIDIAN NMPM, T0090N, R0370E</t>
  </si>
  <si>
    <t>SEC.005 LOTS 1-4, SEC.005, SWNW, W2SW, SEC.006 LOTS 1-4</t>
  </si>
  <si>
    <t>SEC.006, SWNW, NWSW,S2SW, SEC.007 ALL, SEC.008, W2NW, SEC.017, W2NW, SEC.018, NE, N2NW</t>
  </si>
  <si>
    <t>NMNM125254</t>
  </si>
  <si>
    <t>SEC.020 LOTS 3,4, SEC.020, W2SW, SEC.029, LOTS 1-4</t>
  </si>
  <si>
    <t>SEC.029 W2W2, SEC.030 E2</t>
  </si>
  <si>
    <t>NMNM125261</t>
  </si>
  <si>
    <t>MERIDIAN NMPM, T0170N, R0080W</t>
  </si>
  <si>
    <t>SEC.004, LOTS 1,2 SEC.004 S2NE, S2</t>
  </si>
  <si>
    <t>NMNM125263</t>
  </si>
  <si>
    <t>MERIDIAN NMPM, T0170N, R0090W</t>
  </si>
  <si>
    <t>SEC.012, LOTS 5,6, SEC.012 SW, NWSE</t>
  </si>
  <si>
    <t>NMNM125264</t>
  </si>
  <si>
    <t>SEC.012, NWNW - SEE LSE FOR DEPTH LIMITS</t>
  </si>
  <si>
    <t>NMNM125265</t>
  </si>
  <si>
    <t>SEC.021, SESW, S2SE, SEC.022, E2NW, SW, SEC.027, N2NW</t>
  </si>
  <si>
    <t>SEC.028, E2E2, NWNE, NWSE</t>
  </si>
  <si>
    <t>NMNM125266</t>
  </si>
  <si>
    <t>SEC.023, SWNE, S2NW, W2SW</t>
  </si>
  <si>
    <t>TXNM125272</t>
  </si>
  <si>
    <t>DALLAM</t>
  </si>
  <si>
    <t>MERIDIAN TX, T111</t>
  </si>
  <si>
    <t>SEC. 050, BLOCK 1-T, TEXAS, SEC.050, NEW ORLEANS RAILWAY CO</t>
  </si>
  <si>
    <t>SEC.050 SURVEY</t>
  </si>
  <si>
    <t>TXNM125273</t>
  </si>
  <si>
    <t>SEC.089, W2 OF BLOCK 1-T, SEC.089 TEXAS &amp; NEW ORLEANS</t>
  </si>
  <si>
    <t>SEC.089 RAILWAY COMPANY SURVEY</t>
  </si>
  <si>
    <t>TXNM125274</t>
  </si>
  <si>
    <t>MERIDIAN TX, T419</t>
  </si>
  <si>
    <t>TR S-1F</t>
  </si>
  <si>
    <t>SEE ATTACHED M&amp;B'S W/MAP</t>
  </si>
  <si>
    <t>TXNM125276</t>
  </si>
  <si>
    <t>TERRY</t>
  </si>
  <si>
    <t>MERIDIAN TX, T445</t>
  </si>
  <si>
    <t>SEC.027, A-101, SEC.030, A-102, SEC.033, A-103, A-104</t>
  </si>
  <si>
    <t>SEC.033, BLOCK E, EL&amp;RR RR CO SURVEY, SEC.033 SEE ATTACHED M&amp;B'S W/MAP</t>
  </si>
  <si>
    <t>CK #2801</t>
  </si>
  <si>
    <t>CK #2816</t>
  </si>
  <si>
    <t>AXP 8/6/10 STMT</t>
  </si>
  <si>
    <t>LAES56464</t>
  </si>
  <si>
    <t>Winn Parish</t>
  </si>
  <si>
    <t>MERIDIAN LA, T13N, R4W</t>
  </si>
  <si>
    <t>Sec.6, W2SW, SE; Sec.18, SESW; Sec19, NWNW</t>
  </si>
  <si>
    <t>Subject to F.S. Controlled surface use stipulations #1 and #2. Subject to F.S Lease Notice No.3</t>
  </si>
  <si>
    <t>LAES56465</t>
  </si>
  <si>
    <t>MERIDIAN LA, T22N, R4W</t>
  </si>
  <si>
    <t>Sec.6, Tract Y-47 in NENE</t>
  </si>
  <si>
    <t>Subject to F.S. Controlled Surface Use Stipulation #1 and F.S. Lease Notice No.3</t>
  </si>
  <si>
    <t>LAES56467</t>
  </si>
  <si>
    <t>Natchitoches &amp; Winn Parishes</t>
  </si>
  <si>
    <t>MERIDIAN LA, T13N, R6W</t>
  </si>
  <si>
    <t>Sec.10, E2SWNW,E2W2SWNW,N2SW,SWSW,SE; Sec.11, N2NE,N2SWNE,SENE,NENW,SWNW,N2SENW,SESE</t>
  </si>
  <si>
    <t>Subject to F.S. Controlled Surface use stipulations #1 and #2; F.S. Lease Notices No.3 and No.4</t>
  </si>
  <si>
    <t>LAES56468</t>
  </si>
  <si>
    <t>Sec.12, W2NE, NW,NESW,SWSW,N2SE,SWSE</t>
  </si>
  <si>
    <t>Subject to F.S. No Surface Occupancy Stipulation #1 (Sec.12, E2; 113.4 acres) Subject to F.S. Controlled Surface Use Stipulations #1 and #2 ; F.S. Lease Notices No.3 and No.4</t>
  </si>
  <si>
    <t>LAES56469</t>
  </si>
  <si>
    <t>Sec. 13, E2,NWSW,S2SW</t>
  </si>
  <si>
    <t>Subject to F.S. No Surface Occupancy Stipulation #1 (Sec.13, E2E2; 45.9 acres) Subject to F.S. Controlled Surface Use Stipulations #1 and #2 ; F.S. Lease Notices No.3 and No.4</t>
  </si>
  <si>
    <t>LAES56470</t>
  </si>
  <si>
    <t>Sec. 14, S2S2, NESE; Sec.15, N2NWNW; Sec.23, NWNE, NESE, S2SE</t>
  </si>
  <si>
    <t>Subject to F.S. Controlled Surface Use Stipulations #1 and #2; F.S. Lease Notices No.3 and No.4 (Sec.23)</t>
  </si>
  <si>
    <t>LAES56471</t>
  </si>
  <si>
    <t>Sec. 24, All</t>
  </si>
  <si>
    <t>Subject to F.S. Controlled Surface Use Stipulations #1 and #2; F.S. Lease Notices No.3 and No.4</t>
  </si>
  <si>
    <t>LAES56472</t>
  </si>
  <si>
    <t>Sec. 25, All</t>
  </si>
  <si>
    <t>Subject to F.S. Controlled Surface Use Stipulations #1 and #2; F.S. Lease Notices No.3 and No.4 Subject to F.S. No Surface Occupancy Stipulation #2 (Sec.25, NESE; 4.2 Acres)</t>
  </si>
  <si>
    <t>LAES56473</t>
  </si>
  <si>
    <t>Sec.26, E2, SENW,SW</t>
  </si>
  <si>
    <t>Subject to F.S. Controlled Surface Use Stipulations #1; F.S. Lease Notices No.3</t>
  </si>
  <si>
    <t>LAES56474</t>
  </si>
  <si>
    <t>Sec.27, SENE, S2</t>
  </si>
  <si>
    <t>Subject to F.S Controlled Surface Use Stipulations #1 and #2; F.S. Lease Notice No.3 and No.4 (Sec.27, SENE)</t>
  </si>
  <si>
    <t>PAID TO MEADE HUFFORD 9/16/2010</t>
  </si>
  <si>
    <t>KSNM125630</t>
  </si>
  <si>
    <t>Marion</t>
  </si>
  <si>
    <t>MERIDIAN 06th, T0190S, R0030E</t>
  </si>
  <si>
    <t>Sec. 015 W2NWNWNW,NWSWNWNW; 015 N2SWSWNWNW, S2S2SWNWNW; 015 S2SWSENWNW, W2SWNW, SESWNW; 015 W2NESWNW, S2SENESWNW; 015 SWSWNWSENW, W2NWSWSENW; 015 SWSWSENW, W2SESWSENW;</t>
  </si>
  <si>
    <t>NMNM125632</t>
  </si>
  <si>
    <t>MERIDIAN NMPM, T0040S, R0270E</t>
  </si>
  <si>
    <t>Sec. 032 NWNW;</t>
  </si>
  <si>
    <t>NMNM125636</t>
  </si>
  <si>
    <t>Quay</t>
  </si>
  <si>
    <t>Sec. 001 SWNW;</t>
  </si>
  <si>
    <t>NMNM125637</t>
  </si>
  <si>
    <t>Sec. 004 SENE;</t>
  </si>
  <si>
    <t>NMNM125638</t>
  </si>
  <si>
    <t xml:space="preserve">Sec. 005 S2NW, SW, W2SE; 007 NE; 008 N2NW, SENW; </t>
  </si>
  <si>
    <t>NMNM125639</t>
  </si>
  <si>
    <t>Sec. 008 NESE;</t>
  </si>
  <si>
    <t>NMNM125640</t>
  </si>
  <si>
    <t>Sec. 010 N2SW, SESW;</t>
  </si>
  <si>
    <t>NMNM125641</t>
  </si>
  <si>
    <t>Sec. 010 NESE;</t>
  </si>
  <si>
    <t>NMNM125642</t>
  </si>
  <si>
    <t>Sec. 011 NENW;</t>
  </si>
  <si>
    <t>NMNM125643</t>
  </si>
  <si>
    <t>Sec. 015 SENW;</t>
  </si>
  <si>
    <t>NMNM125644</t>
  </si>
  <si>
    <t>Sec. 015 SENE,NESE;</t>
  </si>
  <si>
    <t>NMNM125645</t>
  </si>
  <si>
    <t>Sec. 017 SWNW, NWSW; 018 N2NE, SENE, NESE ;</t>
  </si>
  <si>
    <t>NMNM125647</t>
  </si>
  <si>
    <t>Sec. 020 SENW;</t>
  </si>
  <si>
    <t>NMNM125648</t>
  </si>
  <si>
    <t>Sec. 020 N2SE;</t>
  </si>
  <si>
    <t>NMNM125649</t>
  </si>
  <si>
    <t>Sec. 020 SWNW;</t>
  </si>
  <si>
    <t>NMNM125650</t>
  </si>
  <si>
    <t>Sec. 022 NESW;</t>
  </si>
  <si>
    <t>NMNM125651</t>
  </si>
  <si>
    <t>Sec. 020 SENE,NESE;</t>
  </si>
  <si>
    <t>TXNM125666</t>
  </si>
  <si>
    <t>MERIDIAN TX, TX 403</t>
  </si>
  <si>
    <t>TR S-1Aq; SEE ATTACHED METES &amp; BOUNDS DESCRIPTION</t>
  </si>
  <si>
    <t>* SABINE NATIONAL FOREST - 59.10 ACRES, SABINE RIVER AUTHORITY - 110.90 ACRES (SRA - TRACT 2312, 2312A)</t>
  </si>
  <si>
    <t>TXNM125667</t>
  </si>
  <si>
    <t>MERIDIAN TX, TX 404</t>
  </si>
  <si>
    <t>TR S-1Av; SEE ATTACHED METES &amp; BOUNDS DESCRIPTION</t>
  </si>
  <si>
    <t>* SABINE NATIONAL FOREST - 11.40 ACRES, SABINE RIVER AUTHORITY - 825.60 ACRES (SRA - TRACT 2300)</t>
  </si>
  <si>
    <t>TOTAL</t>
  </si>
  <si>
    <t xml:space="preserve">     11/3 CK 3115-FED ABSTRACT</t>
  </si>
  <si>
    <t>ALES56528</t>
  </si>
  <si>
    <t>Covington</t>
  </si>
  <si>
    <t>MERIDIAN ST.STEPHENS, T2N, R16E</t>
  </si>
  <si>
    <t>Conecuh National Forest Sec. 12, NW, N2SW</t>
  </si>
  <si>
    <t>Subject to F.S. Lease Notices No.3 and No.4. Subject to BLM'S Privately-owned Surface Tracts Stipulations, Freshwater Aquatic Habitat Stipulation and Lease Notices/Best Management Practices Stipulations</t>
  </si>
  <si>
    <t>ALES56529</t>
  </si>
  <si>
    <t>Conecuh</t>
  </si>
  <si>
    <t>AHUJA CHILDREN TRST - 7.5% ORRI / R&amp;R - 25% WI. COLEY 35-6# 1 WELL-STETSON PETROLEUM</t>
  </si>
  <si>
    <t>MERIDIAN ST.STEPHENS, T4N, R7E</t>
  </si>
  <si>
    <t xml:space="preserve">Sec.35, SWNW. </t>
  </si>
  <si>
    <t>Subject to BLM'S Privately-owned Surface Tracts Stipulations, Freshwater Aquatic Habitat Stipulation and Lease Notices/Best Management Practices Stipulations</t>
  </si>
  <si>
    <t>Book 2015 Page 5142</t>
  </si>
  <si>
    <t>ARES56531</t>
  </si>
  <si>
    <t>Franklin</t>
  </si>
  <si>
    <t>MERIDIAN FIFTH PRINCIPAL, T10N, R26W</t>
  </si>
  <si>
    <t>Sec.2, NWNE, NENW, SESW, SESE</t>
  </si>
  <si>
    <t>Subject to BLM'S Privately-owned Surface Tracts Stipulations, Freshwater Aquatic Habitat Stipulation and Lease Notices/Best Management Practices Stipulations, plus BLM'S American Burying Beetle Stipulation, and BLM's Lease Notices/Best Management Practices for the American Burying Beetle - pesticide Use, and Bats</t>
  </si>
  <si>
    <t>LAES56532</t>
  </si>
  <si>
    <t>Natchitoches Parish</t>
  </si>
  <si>
    <t>MERIDIAN LOUISIANA, T9N, R9W</t>
  </si>
  <si>
    <t>Sec.24, Lots 1,2,3; T9N, R10W</t>
  </si>
  <si>
    <t>Sec.19, SWNE. Subject to BLM'S Privately-owned Surface Tracts Stipulations, Freshwater Aquatic Habitat Stipulation and Lease Notices/Best Management Practices Stipulations</t>
  </si>
  <si>
    <t>LAES56534</t>
  </si>
  <si>
    <t>Caldwell Parish</t>
  </si>
  <si>
    <t>MERIDIAN LOUISIANA, T13N, R4E</t>
  </si>
  <si>
    <t xml:space="preserve">Sec.28, NENW. T14N, R4E </t>
  </si>
  <si>
    <t>Sec.24, Lot 7; Sec.25, Lots 1 &amp; 3, E2,E2NW,NESW. Subject to BLM's Privately owned Surface Tracts Stipulations, Freshwater Aquatic Habitat Stipulation and Lease Notices/Best Management Practices Stipulations.</t>
  </si>
  <si>
    <t>LAES56537</t>
  </si>
  <si>
    <t>Webster</t>
  </si>
  <si>
    <t>MERIDIAN LOUISIANA, T17N, R10W</t>
  </si>
  <si>
    <t>Sec.36, Lot 3</t>
  </si>
  <si>
    <t>Subject to BLM's Privately-owned Surface Tracts Stipulations, Freshwater Aquatic Habitat Stipulation and Lease Notices/Best Management Practices Stipulations</t>
  </si>
  <si>
    <t>LAES56538</t>
  </si>
  <si>
    <t>Sec.14, Lot 6-15 Sec.23, Lot 1</t>
  </si>
  <si>
    <t>LAES56539</t>
  </si>
  <si>
    <t>BOSSIER PARISH</t>
  </si>
  <si>
    <t>MERIDIAN LOUISIANA, T17N, R11W</t>
  </si>
  <si>
    <t>Sec.24, SESE</t>
  </si>
  <si>
    <t>LAES56546</t>
  </si>
  <si>
    <t>See attached records for land descriptions and stipulations</t>
  </si>
  <si>
    <t>LAES56547</t>
  </si>
  <si>
    <t>LAES56548</t>
  </si>
  <si>
    <t>Winn &amp; Natchitoches Parishes</t>
  </si>
  <si>
    <t>MERIDIAN LOUISIANA, T10N, R5W</t>
  </si>
  <si>
    <t>Sec.8, Tract C-107 in SESW; S2SE; Sec.19 N2SE; Sec.20 NESW; SWSW.</t>
  </si>
  <si>
    <t>Subject to F.S. No Surface Occupancy Stipulation #1 (Sec.8) Subject to F.S. Controlled Surface Use Stipulation #1 (Sec.19 &amp; 20) Subject to F.S. Lease Notice No.3 Subject to F.S. l</t>
  </si>
  <si>
    <t>LAES56551</t>
  </si>
  <si>
    <t>MERIDIAN LOUISIANA, T13N, R6W</t>
  </si>
  <si>
    <t>Sec.5, S2NENE; SENE; W2NESE; S2SE</t>
  </si>
  <si>
    <t>Subject to F.S. Controlled  Surface use Stipulation #1. Subject to F.S. Lease No 3 and 4.</t>
  </si>
  <si>
    <t>MIES56552</t>
  </si>
  <si>
    <t>Manistee National Forest</t>
  </si>
  <si>
    <t>MERIDIAN MICHIGAN, T16N, R15W</t>
  </si>
  <si>
    <t>Sec.21, W2NE, W2SWSENE, SE</t>
  </si>
  <si>
    <t>Subject to F.S. Standard Lease Stipulations . Subject to F.S.Lease Notices #1, #2, #3, #6. Lease Stipulation #2 applies to Sec.21, S2NENWSE,N2SENWSE,E2SWNWSE, S2NWNESE,N2SWNESE. Lease Stipulation #3 applies to Sec.21, NWNE,N2N2SWNE,SWSWSE,S2BWSWSE, S2SWSESE Lease Stipulation #9 applies to all lands</t>
  </si>
  <si>
    <t>MSES56556</t>
  </si>
  <si>
    <t>MERIDIAN WASHINGTON, T6N, R5E</t>
  </si>
  <si>
    <t xml:space="preserve">Subject to BLM's Privately-owned Surface Tracts Stipulations, Freshwater Aquatic Habitat Stipulation and Lease Notices/Best Management Practices Stipulations </t>
  </si>
  <si>
    <t>MSES56557</t>
  </si>
  <si>
    <t>MERIDIAN WASHINGTON, T7N, R5E</t>
  </si>
  <si>
    <t>BALANCE 12-31-2010</t>
  </si>
  <si>
    <t>EXPIRED LEASES WRITTEN OFF IN 2010</t>
  </si>
  <si>
    <t>REFUNDED BY BLM 8/2010</t>
  </si>
  <si>
    <t>REFUNDED BY BLM 11/2010</t>
  </si>
  <si>
    <t>VRS</t>
  </si>
  <si>
    <t>NET CREDITS NOT ANALYZED</t>
  </si>
  <si>
    <t>AGREES WITH G/L</t>
  </si>
  <si>
    <t>NMNM126069</t>
  </si>
  <si>
    <t>Roosevelt</t>
  </si>
  <si>
    <t>MERIDIAN NMPM, T0040S, R0330E</t>
  </si>
  <si>
    <t>Sec.014 S2;</t>
  </si>
  <si>
    <t>NMNM126070</t>
  </si>
  <si>
    <t>MERIDIAN NMPM, T0100N, R0370E</t>
  </si>
  <si>
    <t>Sec.005 LOTS 1.3-5; 008 LOTS 1-4; 017 LOTS 1;</t>
  </si>
  <si>
    <t>NMNM126071</t>
  </si>
  <si>
    <t>Sec.017 LOT 4, SWSW; 018 S2S2; 019 NENE; 020 LOTS 1-4 NWNW; 029 LOTS 1-4, SWSW; 030 S2S2; 031 N2, NESE;</t>
  </si>
  <si>
    <t>NMNM126072</t>
  </si>
  <si>
    <t>Sec. 030 SWNE;</t>
  </si>
  <si>
    <t>NMNM126073</t>
  </si>
  <si>
    <t>Mckinley</t>
  </si>
  <si>
    <t>MERIDIAN NMPM, T0200N, R0050W</t>
  </si>
  <si>
    <t>Sec. 005 LOTS 1,2; 005 S2NE, SE; 007 LOTS 1-4; 007 E2,E2W2; 008 N2; 009 NW;</t>
  </si>
  <si>
    <t>NMNM126074</t>
  </si>
  <si>
    <t>Sec. 022 NW, N2SW;</t>
  </si>
  <si>
    <t>TXNM126082</t>
  </si>
  <si>
    <t>Houston</t>
  </si>
  <si>
    <t>NONE GIVEN</t>
  </si>
  <si>
    <t xml:space="preserve">Tract K-1-II, Parcel 8; </t>
  </si>
  <si>
    <t>SEE ATTACHMENT FOR METES &amp; BOUNDS WITH MAP;</t>
  </si>
  <si>
    <t>AXP CHARGES</t>
  </si>
  <si>
    <t>CK. #3318</t>
  </si>
  <si>
    <t>LAES53371</t>
  </si>
  <si>
    <t xml:space="preserve">NATCHOITOCHES/WINN </t>
  </si>
  <si>
    <t xml:space="preserve"> BOUGHT FROM I MEADE HUFFORD. EXPIRED IN 2015</t>
  </si>
  <si>
    <t>SEC 17, SENE; SEC 19, E2SWSW; SEC 22, SEE LSE; SEC 27, NWSW</t>
  </si>
  <si>
    <t>LAES53372</t>
  </si>
  <si>
    <t>SEC 30, NE,N2SE,SESE; SEC 31, NENE,S2NE,NW,SE</t>
  </si>
  <si>
    <t xml:space="preserve"> PAID BY CK # 3451 ON 3/4/11</t>
  </si>
  <si>
    <t>ALES56628</t>
  </si>
  <si>
    <t>covington</t>
  </si>
  <si>
    <t>MERIDIAN ST.STEPHENS T1N, R14E</t>
  </si>
  <si>
    <t>SEC.11, NW; SEC.12, SWNE, NENW, NWSE, SESW; SEC.13, NE, NENW</t>
  </si>
  <si>
    <t>SUBJECT TP F.S. LEASE NOTICE NOS. 3 AND 4</t>
  </si>
  <si>
    <t>ALES56636</t>
  </si>
  <si>
    <t>bibb</t>
  </si>
  <si>
    <t>MERIDIAN ST.STEPHENS T23N, R7E</t>
  </si>
  <si>
    <t xml:space="preserve">SEC.1, SESE, W2SW; SEC.2, All except that part of Tract o-695a lying in the NENE containing 19.85 acres. 734.12 Acres </t>
  </si>
  <si>
    <t>SUBJECT TO F.S. LEASE NOTICES NO.3</t>
  </si>
  <si>
    <t>ALES56637</t>
  </si>
  <si>
    <t>Sec.1, That part of Tract U-153e lying in the NW corner of Sec.1 containg 14.70 acres; Sec.2, that part of Tract O-695a lying in the NENE containing 19.85 acres</t>
  </si>
  <si>
    <t>SUBJECT TO F.S. LEASE NOTICE NO.3</t>
  </si>
  <si>
    <t>ARES56639</t>
  </si>
  <si>
    <t>scott</t>
  </si>
  <si>
    <t>MERIDIAN 5TH PRINCIPAL T3N, R28W</t>
  </si>
  <si>
    <t>Sec.13, N2; Sec.14, E2NE,SWNE,NWNW; Sec.15, NENE,E2NWNE, Tract A-1682 in SENE(18.03 acs)</t>
  </si>
  <si>
    <t>SUBJECT TO F.S. LEASE NOTICE NO.4</t>
  </si>
  <si>
    <t>ARES56640</t>
  </si>
  <si>
    <t xml:space="preserve">Sec.27, Partial NENW. </t>
  </si>
  <si>
    <t>SUBJECT TO FS LEASE NOTICES NO.3 &amp; 4 FS NO SURFACE AND OCCUPANCY STIPULATION #2</t>
  </si>
  <si>
    <t>ARES56641</t>
  </si>
  <si>
    <t>MERIDIAN 5TH PRINCIPAL T3N, R30W</t>
  </si>
  <si>
    <t>Sec.3, fr. W2NW less and except a 3.6 acre parcel described as follows: beginning 8 rods south of the NE corner of the NWNW; thence running south 72 rods; thence West 8 rods; thence North 72 rods; thence East 8 rods to place of beginning; sec.6, SENW, fr. W2NW</t>
  </si>
  <si>
    <t>SUBJECT TO FS LEASE NOTICES NO.3 &amp; 4 FS CONTROLLED SURFACE USE STIPULATION #1</t>
  </si>
  <si>
    <t>ARES56642</t>
  </si>
  <si>
    <t>Sec. 16, SWSW</t>
  </si>
  <si>
    <t>Subject to FS Lease Notices No.3 &amp; 4; FS CONTROLLED SURFACE USE STIPULATION #1</t>
  </si>
  <si>
    <t>ARES56644</t>
  </si>
  <si>
    <t>Sec. 30 Fr. S2SW; Sec.31; W2E2, NENE, fr.W2</t>
  </si>
  <si>
    <t>SUBJECT TO FS LEASE NOTICES NO. 3 &amp; 4 ; FS CONTROLLED SURFACE STIPULATION #1; FS NO SURFACE AND OCCUPANCY STIPULATION #2(SEC.30)</t>
  </si>
  <si>
    <t>ARES56645</t>
  </si>
  <si>
    <t>Sec.2 Fr. N2N2; Sec.4, fr. NE; sec.5, fr. NW, Fr. W2NE( part of tract A-5672), SENE (part of tract A-5672), partial NWSE (part of tract A-5672); Sec.6 Fr. NENW, Fr. N2NE</t>
  </si>
  <si>
    <t>SUBJECT TO FS LEASE NOTICES NO. 3 &amp; 4 ; FS CONTROLLED SURFACE USE STIPULATION #1</t>
  </si>
  <si>
    <t>ARES56647</t>
  </si>
  <si>
    <t xml:space="preserve">Sec.30, NENE, S2NE, fr. NWNW, W2NENW, Tract A-785 in the SWNW; Sec.31, NESE; Sec.32 , N2NW, N2NWNE, NWSW. </t>
  </si>
  <si>
    <t>SUBJECT TO: FS LEASE NOTICES NO. 3 &amp; 4; FS CONTROLLED SURFACE USE STIPULATION #1; FS NO SURFACE AND OCCUPANCY STIPULATION #2 (SEC.30, NENE, S2NE, FR.NWNW, W2NENW)</t>
  </si>
  <si>
    <t>ARES56652</t>
  </si>
  <si>
    <t>MERIDIAN 5TH PRINCIPAL T3N, R31W</t>
  </si>
  <si>
    <t>Sec.36, E2NE</t>
  </si>
  <si>
    <t>SUBJECT TO: FS LEASE NOTICES NO.3 &amp; 4; FS CONTROLLED SURFACE USE STIPULATION #1c</t>
  </si>
  <si>
    <t>ARES56654</t>
  </si>
  <si>
    <t>pope</t>
  </si>
  <si>
    <t>MERIDIAN 5TH PRINCIPAL T11N, R17W</t>
  </si>
  <si>
    <t>Sec. 30, S2SWSW; Sec.31, NWNW</t>
  </si>
  <si>
    <t xml:space="preserve">SUBJECT TO FS LEASE NOTICES NO.3 &amp;4 ; FS CONTROLLED SURFACE USE STIPULATION #1; FS CONTROLLED SURFACE USE STIPULATION #1B. </t>
  </si>
  <si>
    <t>ARES56657</t>
  </si>
  <si>
    <t>MERIDIAN 5TH PRINCIPAL T11N, R18W</t>
  </si>
  <si>
    <t>Sec. 7, SWNW and NWSW less 1 acre</t>
  </si>
  <si>
    <t>SUBJECT TO: FS LEASE NOTICES NO.3; THE LANDS DESCRIBED ABOVE ARE FULLY COMMITTED TO EXPLORATORY UNIT AGREEMENT ARES 55699X, APPROVED MAY 27, 2009 EFFECTIVE JUNE 1, 2009</t>
  </si>
  <si>
    <t>ARES56658</t>
  </si>
  <si>
    <t>Sec.8, SESE.</t>
  </si>
  <si>
    <t>SUBJECT TO FS LEASE NOTICES NO.3; FS CONTROLLED SURFACE USE STIPULATION #1D, THE LANDS DESCRIBED ABOVE ARE FULLY COMMITTED TO EXPLORATORY UNIT AGREEMENT ARES 55699X, APPROVED MAY 27, 2009 ; EFFECTIVE JUNE 1,2009</t>
  </si>
  <si>
    <t>ARES56659</t>
  </si>
  <si>
    <t>MERIDIAN 5TH PRINCIPAL T11N, R19W</t>
  </si>
  <si>
    <t>Sec.29, SENWSE</t>
  </si>
  <si>
    <t>SUBJECT TO FS LEASE NOTICES NO.3; FS NO SURFACE OCCUPANCY STIPULATION 2C</t>
  </si>
  <si>
    <t>ARES56660</t>
  </si>
  <si>
    <t>MERIDIAN 5TH PRINCIPAL T11N, R21W</t>
  </si>
  <si>
    <t>Sec.22, all</t>
  </si>
  <si>
    <t>SUBJECT TO FS LEASE NOTICES NO,.3 AND 4 ; FS CONTROLLED SURFACE USE STIPULATION 1B</t>
  </si>
  <si>
    <t>ARES56661</t>
  </si>
  <si>
    <t>johnson</t>
  </si>
  <si>
    <t>MERIDIAN 5TH PRINCIPAL T11N, R22W</t>
  </si>
  <si>
    <t>Sec.2 , part of the NESW; Sec.31, NWSE</t>
  </si>
  <si>
    <t xml:space="preserve">SUBJECT TO: FS LEASE NOTICES NO.3; FS CONTROLLED SURFACE USE STIPULATION #1,1-A,B,C (SEC.2); </t>
  </si>
  <si>
    <t>ARES56662</t>
  </si>
  <si>
    <t>Sec.2 NWSW, part of the swsw lying north of big piney creek containing 16.80 acres, SESW - containing 19.17 acres more or less</t>
  </si>
  <si>
    <t xml:space="preserve">SUBJECT TO: FS LEASE NOTICES NO.3; FS CONTROLLED SURFACE USE STIPULATION #1,1-A,B,C </t>
  </si>
  <si>
    <t>KYES56663</t>
  </si>
  <si>
    <t>whitley</t>
  </si>
  <si>
    <t>N.A.</t>
  </si>
  <si>
    <t>Tracts C-3118</t>
  </si>
  <si>
    <t>KYES56664</t>
  </si>
  <si>
    <t>Tracts C-1476, eastern half</t>
  </si>
  <si>
    <t>KYES56665</t>
  </si>
  <si>
    <t>Tracts C-1888c, C-1941 m-l, C-1941n</t>
  </si>
  <si>
    <t>KYES56666</t>
  </si>
  <si>
    <t>maccreary</t>
  </si>
  <si>
    <t>Tracts C-1888u, C-1941L, C-1941p, C-2851c</t>
  </si>
  <si>
    <t>KYES56667</t>
  </si>
  <si>
    <t>whitley and mccreary</t>
  </si>
  <si>
    <t>Tracts C-1888-II, C-1941m</t>
  </si>
  <si>
    <t>LAES56671</t>
  </si>
  <si>
    <t>grant parish</t>
  </si>
  <si>
    <t>MERIDIAN LOUISIANA T8N, R2W</t>
  </si>
  <si>
    <t>Sec.22, N2NE, SENE,NESE; Sec.23, All.</t>
  </si>
  <si>
    <t>SUBJECT TO FS CONTROLLED SURFACE USE STIPULATION #1 AND #2A; FS NO SURFACE OCCUPANCY STIPULATION #1 (SEC.23); FS LEASE NOTICE NO.3</t>
  </si>
  <si>
    <t>LAES56672</t>
  </si>
  <si>
    <t>Sec.22, E2SW.</t>
  </si>
  <si>
    <t>SUBJECT TO FS CONTROLLED SURFACE USE STIPULATION#1 AND #2A; FS LEASE NOTICE NO.3</t>
  </si>
  <si>
    <t>LAES56673</t>
  </si>
  <si>
    <t>Sec. 24, W2, SE; Sec.25, All</t>
  </si>
  <si>
    <t>SUBJECT TO FS CONTROLLED SURFACE USE STIPULATION #1 AND #2A; FS NO SURFACE OCCUPANCY STIPULATION #1 AND 2; FS LEASE NOTICE NO.3</t>
  </si>
  <si>
    <t>LAES56674</t>
  </si>
  <si>
    <t>Sec.27,NE,E2NW,NWNW,S2S2,NESE</t>
  </si>
  <si>
    <t>SUBJECT TO FS CONTROLLED SURFACE USE STIPULTION #1, 2, 2A; FS LEASE NOTICE NO.3</t>
  </si>
  <si>
    <t>LAES56676</t>
  </si>
  <si>
    <t>MERIDIAN 5TH PRINCIPAL T8N, R2W</t>
  </si>
  <si>
    <t>Sec.35, All; Sec.36, NW</t>
  </si>
  <si>
    <t>SUBJECT TO FS CONTROLLED SURFACE USE STIPULATION #1 (SEC.35); FS CONTROLLED SURFACE USE STIPULATION #2(SEC.35)</t>
  </si>
  <si>
    <t>LAES56677</t>
  </si>
  <si>
    <t>MERIDIAN LOUISIANA T9N, R1W</t>
  </si>
  <si>
    <t>Sec.1, NWNENW,W2W2,SESW,S2SE; Sec.5, E2NENW; Sec.8, S2NE,NESE, Tract C-77 in S2NENE; Sec.10, E2SWSW, SESW; Sec.12, E2,E2W2,SWNW,NWSW,W2W2SWSW</t>
  </si>
  <si>
    <t>SUBJECT TO FS CONTROLLED SURFACE USE STIPULATION #1 ; FS CONTROLLED SURFACE USE STIPULATION #2(SEC.8,10,12);  FS LEASE NOTICE NO.3</t>
  </si>
  <si>
    <t>LAES56678</t>
  </si>
  <si>
    <t>Sec.13,Entire Section less &amp; except 19.07 acres south of Road in SESE; Sec.14, W2SW,SWNW,W2SENW; Sec.17, NWNW; Sec.18,N2NE, Tract C-2138 IN nwnw, s2nw; Sec.24, Tract C-52 in N2SW, SESW</t>
  </si>
  <si>
    <t>SUBJECT TO FS CONTROLLED SURFACE USE STIPULATION#1 AND #2; FS LEASE NOTICE NO.3, 4 (SEC.13 AND 14)</t>
  </si>
  <si>
    <t>LAES56679</t>
  </si>
  <si>
    <t>Sec.30,NESW,NESE,SWSE,E2SENW;Sec.32,NWNW less &amp; except 1.0 acre on east side</t>
  </si>
  <si>
    <t>SUBJECT TO FS CONTROLLED SURFACE USE STIPULATION #1 AND #2; FS LEASE NOTICE NO.3 AND NO.4</t>
  </si>
  <si>
    <t>LAES56680</t>
  </si>
  <si>
    <t>Sec.33, NESE; Sec.34, SW,SWSE,N2SE,SESE;Sec.35,SW,S2SE;Sec.36,Tract C-67a in SWNW and NWSW</t>
  </si>
  <si>
    <t>SUBJECT TO FS CONTROLLED SURFACE USE STIPULATION #1 AND #2 FS LEASE NOTICE NO.3 FS LEASE NOTICE NO.4 (SEC.34, 35 AND 36)</t>
  </si>
  <si>
    <t>LAES56681</t>
  </si>
  <si>
    <t>winn parish</t>
  </si>
  <si>
    <t>MERIDIAN LOUISIANA T10N, R2W</t>
  </si>
  <si>
    <t>Sec.7, SENE,NESW,S2SW,SE; Sec.8, W2NWSE; Sec.9,NWNE,S2NE,NW less &amp; except 15.20 acres west of centerline of highway 167, N2SW, SESW, W2SE; Sec.10 W2SW,NESE,SESE</t>
  </si>
  <si>
    <t>SUBJECT TO FS CONTROLLED SURFACE USE STIPULATION #1; FS CONTROLLED SURFACE USE STIPULATION#2(SEC.7,9 AND 10); FS LEASE NOTICE NO.3</t>
  </si>
  <si>
    <t>LAES56682</t>
  </si>
  <si>
    <t>Sec.11, W2SW, SESW,NWNE; Sec.13, SWSE,S2SW, SESE; Sec.14 N2NE,SWNE,E2NW,NWNW,SWNW,NESW,NWSW,SWSE,SESE</t>
  </si>
  <si>
    <t>SUBJECT TO FS CONTROLLED SURFACE USE STIPULATION #1,2 FS LEASE NOTICE NO.3</t>
  </si>
  <si>
    <t>LAES56683</t>
  </si>
  <si>
    <t xml:space="preserve">Sec.15, All. Sec.16, NE,E2NW less &amp; except 0.45 acre on South side of SESW, SE less &amp; except 1.45 acres on West side of NWSE. </t>
  </si>
  <si>
    <t>LAES56684</t>
  </si>
  <si>
    <t>50% U.S. Mineral Interest, Sec.18, S2NWSW</t>
  </si>
  <si>
    <t>LAES56685</t>
  </si>
  <si>
    <t>Sec.17, W2NE,NW,S2 less &amp; except 10 acres in SESW; Sec.18, E2NENE,W2NW,NENW,NESW,SWSW; Sec.19, NE,E2NW, SW,W2SE,SESE</t>
  </si>
  <si>
    <t>SUBJECT TO FS CONTROLLED SURFACE USE STIPULATION #1; FS CONTROLLED SURFACE USE STIPULATION#2(SEC.17,18); FS LEASE NOTICE NO.3</t>
  </si>
  <si>
    <t>LAES56686</t>
  </si>
  <si>
    <t>Sec.20, NESW,SENE,S2SE,Part of NWSW; Sec.21,NE,SENW,S2; Sec.28,NE.</t>
  </si>
  <si>
    <t>SUBJECT TO FS CONTROLLED SURFACE USE STIPULATION #1; FS CONTROLLED SURFACE USE STIPULATION #2 (SEC.20 AND 21); FS LEASE NOTICE NO.3</t>
  </si>
  <si>
    <t>LAES56687</t>
  </si>
  <si>
    <t>Sec.22, E2NE,W2SE; Sec.23, S2NE,NWNE,W2,SE;,Sec.24,NWNE</t>
  </si>
  <si>
    <t>SUBJECT TO FS CONTROLLED SURFACE USE STIPULATION #1; FS CONTROLLED SURFACE USE STIPULATION #2 (SEC.23 AND 24); FS LEASE NOTICE NO.3</t>
  </si>
  <si>
    <t>LAES56688</t>
  </si>
  <si>
    <t>Sec.25, All; Sec.26, N2NE,SWNE,W2,SE</t>
  </si>
  <si>
    <t>LAES56689</t>
  </si>
  <si>
    <t>Sec.27, All; Sec.30, W2NENW; Sec.32, S2SWNE,NWSE;Sec.33,NE,NESE,E2SESE. Sec.34,E2E2,SWSW,NWSE,W2NE,NW,NWSW</t>
  </si>
  <si>
    <t>SUBJECT TO FS CONTROLLED SURFACE USE STIPULATION #1; FS CONTROLLED SURFACE USE STIPULATION #2(SEC.27,32,33,34) FS LEASE NOTICE NO.3</t>
  </si>
  <si>
    <t>LAES56690</t>
  </si>
  <si>
    <t>MERIDIAN 5TH PRINCIPAL T10N, R2W</t>
  </si>
  <si>
    <t>Sec.35,NENE,S2NE,NW,S2;Sec.36,N2N2 less &amp; except 7.0 acres in SWNENE,SWNW,S2</t>
  </si>
  <si>
    <t>LAES56691</t>
  </si>
  <si>
    <t>MERIDIAN LOUISIANA T11N, R4W</t>
  </si>
  <si>
    <t>Sec.1, N2NW; Sec.5,SW;Sec.10,W2W2NWSW,SESW;Sec.15,NWSW</t>
  </si>
  <si>
    <t>SUBJECT TO FS CONTROLLED SURFACE USE STIPULATION #1; FS CONTROLLED SURFACE USE STIPULATION #2(SEC.10); FS LEASE NOTICE NO.3</t>
  </si>
  <si>
    <t>LAES56692</t>
  </si>
  <si>
    <t>Sec.6, S2N2, NWNE,N2NW,S2( Subject to railroad right og way containing 18.20 acres, which traverses the N2NW and NWNE) Sec.7, W2E2, SESE,S2NESE,S2N2NESE,SW,E2NW,NWNW,SWNW less that part of Tract C-108 containing about 3.03 acres; Sec.9, S2NE</t>
  </si>
  <si>
    <t>SUBJECT TO FS CONTROLLED SURFACE USE STIPULATION #1 FS CONTROLLED SURFACE USE STIPULATION #2 (SEC.6,9) FS LEASE NOTICE NO.3</t>
  </si>
  <si>
    <t>LAES56693</t>
  </si>
  <si>
    <t>Sec.18, E2NW</t>
  </si>
  <si>
    <t>SUBJECT TO FS CONTROLLED SURFACE USE STIPULATION #1,2  FS NO SURFACE OCCUPANCY STIPULATION FS LEASE NOTICE NO.3</t>
  </si>
  <si>
    <t>LAES56694</t>
  </si>
  <si>
    <t>T11N, R4W, Louisiana Meridian Sec.22, SESENE; Sec.23, SWSWNW,S2NE,SE; Sec.26, NENE</t>
  </si>
  <si>
    <t>FS LEASE NOTICE NO.3</t>
  </si>
  <si>
    <t>LAES56695</t>
  </si>
  <si>
    <t>Sec.7, E2NE</t>
  </si>
  <si>
    <t>SUBJECT TO FS LEASE NOTICE NO.3</t>
  </si>
  <si>
    <t>LAES56696</t>
  </si>
  <si>
    <t>MERIDIAN LOUISIANA T11N, R5W</t>
  </si>
  <si>
    <t>Sec.1, SWSW less &amp; except 1.0 acres in NE/c being part lying N&amp;E of road and less &amp; except 2.02 acres in S2; Sec.11, Tract C-63f lying in E2NENE Sec.12, NWNW less &amp; except 1.0 acres in SE/c</t>
  </si>
  <si>
    <t>SUBJECT TO FS CONTROLLED SURFACE USE STIPULATION #1; FS LEASE NOTICE NO.3</t>
  </si>
  <si>
    <t>LAES56697</t>
  </si>
  <si>
    <t>winn and natchitoches parishes</t>
  </si>
  <si>
    <t>Sec.1, SESW, NWSE,S2SE; Sec.2, SESE; Sec.4, Tract in E2W2 west of Saline Bayou, W2W2</t>
  </si>
  <si>
    <t>SUBJECT TO FS CONTROLLED SURFACE USE STIPULATION #1; FS CONTROLLED SURFACE USE STIPULATION #2(SEC.2,4) FS NO SURFACE OCCUPANCY STIPULATION (SEC.4); FS LEASE NOTICE NO.3</t>
  </si>
  <si>
    <t>LAES56698</t>
  </si>
  <si>
    <t>Sec.3, Tract in SESW; Sec.12, W2NE,NENW less &amp; except 4 acres in SW/c, SENW,SWNW,NWSW,SESE</t>
  </si>
  <si>
    <t>SUBJECT TO FS CONTROLLED SURFACE USE STIPULATION #1; FS CONTROLLED SURFACE USE STIPULATION #2 (SEC.12); FS LEASE NOTICE NO.3</t>
  </si>
  <si>
    <t>LAES56699</t>
  </si>
  <si>
    <t>Sec.12, SWSW less &amp; except 2.02 acres in NW/c</t>
  </si>
  <si>
    <t>SUBJECT TO FS CONTROLLED SURFACE USE STIPULATION #1 FS LEASE NOTICE NO.3</t>
  </si>
  <si>
    <t>LAES56700</t>
  </si>
  <si>
    <t>Sec.11, nwse; Sec.14, E2SWSW, SESW</t>
  </si>
  <si>
    <t>SUBJECT TO FS CONTROLLED SURFACE USE STIPULATION #1; FS CONTROLLED SURFACE USE STIPULATION #2, FS LEASE NOTICE NO.3</t>
  </si>
  <si>
    <t>LAES56701</t>
  </si>
  <si>
    <t>MERIDIAN LOUISIANA T12N, R4W</t>
  </si>
  <si>
    <t>Sec.16, Tract C-107 in N2 &amp; N2SE west of Dudgemonia bayou, SESE</t>
  </si>
  <si>
    <t>SUBJECT TO FS CONTROLLED SURFACE USE STIPULATION #1; FS CONTROLLED SURFACE USE STIPULATION #2; FS NO SURFACE OCCUPANCY STIPULATION; FS LEASE NOTICE NO.3</t>
  </si>
  <si>
    <t>LAES56705</t>
  </si>
  <si>
    <t>MERIDIAN LOUISIANA T23N, R4W</t>
  </si>
  <si>
    <t>Sec.33, All</t>
  </si>
  <si>
    <t>SUBJECT TO FS CONTROLLED SURFACE USE STIPULATION #1,2; FS NO SURFACE OCCUPANCY STIPULATION #2; FS LEASE NOTICE NO.3,4</t>
  </si>
  <si>
    <t>MIES56707</t>
  </si>
  <si>
    <t>mason</t>
  </si>
  <si>
    <t>MERIDIAN MICHIGAN T17N, R15W</t>
  </si>
  <si>
    <t>Sec.26, W2NW; Sec.27, E2NE</t>
  </si>
  <si>
    <t>SUBJECT TO FOREST SERVICE STANDARD LEASE STIPULATIONS, LEASE NOTICES #1,2,3,6, LEASE STIPULATION #1 APPLIES TO SEC.26, E3/4NWNW, SWNWNW, N2SWNW, NWSWSWNW; AND SEC.27, E2SENE, SWSENE, SENWSENE, S2SENENE LEASE STIPULATION #9 APPLIES TO ALL LANDS</t>
  </si>
  <si>
    <t>MSES56709</t>
  </si>
  <si>
    <t>smith</t>
  </si>
  <si>
    <t>MERIDIAN CHOCTOW,T3N, R7E</t>
  </si>
  <si>
    <t>Sec.27, E 7.00 ACRES OF NENNE, W2, NWSE</t>
  </si>
  <si>
    <t>SUBJECT TO FS STIPULATION, FS LEASE NOTICES NO.3, 4 FS NOTICE TO LESSEE 5&amp;6, FS TIMING LIMITATION STIPULATION 1</t>
  </si>
  <si>
    <t>MSES56710</t>
  </si>
  <si>
    <t>MERIDIAN CHOCTOW,T4N, R6E</t>
  </si>
  <si>
    <t>Sec.1, W2NW, SENW, SWSW,N2SE, SWSE; Sec.2, NENE, S2NWNE, SENE,S2NENW,W2NW,SENW,NWSW,NESESW,N2SE; Sec.3, NE</t>
  </si>
  <si>
    <t>SUBJECT TO FS STIPULATION, FS LEASE NOTICES NO.3, 4 FS NOTICE TO LESSEE 5, FS TIMING LIMITATION STIPULATION 1</t>
  </si>
  <si>
    <t>MSES56715</t>
  </si>
  <si>
    <t>MERIDIAN CHOCTOW,T4N, R7E</t>
  </si>
  <si>
    <t>Sec.4, N2NE less Tracts B-847 &amp; B-847a, W2NW,SENW, NWSW; Sec.5, E2NE, E2SW, SE.</t>
  </si>
  <si>
    <t>SUBJECT TO FS STIPULATION, FS LEASE NOTICES NO.3,4, FS NOTICE TO LESSEE 5 &amp; 6, FS TIMING LIMITATION STIPULATION 1</t>
  </si>
  <si>
    <t>MSES56716</t>
  </si>
  <si>
    <t>Sec.7, E2, Esec.7, E2,E2W2,S 30 acres of SWNW, W2SW.2W2</t>
  </si>
  <si>
    <t>MSES56717</t>
  </si>
  <si>
    <t xml:space="preserve">Sec.8, N2NE, SWNE, N 24 acres of SENE, W2, NWSE, W15 acres of SWSE; Sec.14, SWNE, S2SENE, E2SENW, NESW, N2SE, North 10 acres of SESE; </t>
  </si>
  <si>
    <t>MSES56718</t>
  </si>
  <si>
    <t>Sec.17, N2NW,W2SWNW, NWSW less Tract B-78; Sec.18, All less 4 acres in SE corner.</t>
  </si>
  <si>
    <t>MSES56721</t>
  </si>
  <si>
    <t>perry</t>
  </si>
  <si>
    <t>MERIDIAN ST.STEPHENS T1S, R9W</t>
  </si>
  <si>
    <t>Sec.8, All; Sec.9, All. Sec.10, All;</t>
  </si>
  <si>
    <t>SUBJECT TO FS STIPULATION, FS LEASE NOTICES NO.3,4, FS NOTICE TO LESSEE 5 , FS TIMING LIMITATION STIPULATION 1,FS SPECIAL STIPULATION 6</t>
  </si>
  <si>
    <t>MSES56722</t>
  </si>
  <si>
    <t>Sec.17, N2NE,SWNE,W2,W2SE; Sec.18, E2,E2NW,N2SW,SESW</t>
  </si>
  <si>
    <t>MSES56724</t>
  </si>
  <si>
    <t>Sec.21, All; Sec.22, All</t>
  </si>
  <si>
    <t>MSES56725</t>
  </si>
  <si>
    <t>Sec.23, All; Sec.24, All</t>
  </si>
  <si>
    <t>MSES56726</t>
  </si>
  <si>
    <t>Sec.25, All; Sec.26, N2,W2SW,NWSE</t>
  </si>
  <si>
    <t>MSES56728</t>
  </si>
  <si>
    <t>See attached sheet(on the lease)</t>
  </si>
  <si>
    <t>SEE LEASE FOR MORE INFORMATION</t>
  </si>
  <si>
    <t>MSES56729</t>
  </si>
  <si>
    <t>MSES56730</t>
  </si>
  <si>
    <t>Sec.33, N2, N2SW,NWSE; Sec.34, All; Sec.35, W2NW, W2SW,NESW</t>
  </si>
  <si>
    <t>MSES56731</t>
  </si>
  <si>
    <t>MERIDIAN ST.STEPHENS T1S, R10W</t>
  </si>
  <si>
    <t>MSES56732</t>
  </si>
  <si>
    <t>Sec.4,NWNW 7/32 U.S. Mineral interest</t>
  </si>
  <si>
    <t>SUBJECT TO FS STIPULATION, FS LEASE NOTICES NO.3,4, FS NOTICE TO LESSEE 5 &amp; 6, FS TIMING LIMITATION STIPULATION 1, FS SPECIAL STIPULATION 6</t>
  </si>
  <si>
    <t>MSES56733</t>
  </si>
  <si>
    <t>MSES56734</t>
  </si>
  <si>
    <t>Sec.11, NWNE,S2NE, NW,NESW,S2SW, SESE; Sec.13, NW,S2;</t>
  </si>
  <si>
    <t>MSES56735</t>
  </si>
  <si>
    <t>MSES56736</t>
  </si>
  <si>
    <t>Sec.17, 21.051 acres in NENE; Sec.18, SWSW, 3.43 acres in SW corner of NWSW; 1/16 U.S. Mineral Interest</t>
  </si>
  <si>
    <t>MSES56737</t>
  </si>
  <si>
    <t>MSES56740</t>
  </si>
  <si>
    <t>Sec.26, SESE. 1/10 U.S. Mineral Interest</t>
  </si>
  <si>
    <t>MSES56741</t>
  </si>
  <si>
    <t>forrest</t>
  </si>
  <si>
    <t>MERIDIAN ST.STEPHENS T1S, R13W</t>
  </si>
  <si>
    <t>MSES56742</t>
  </si>
  <si>
    <t>Sec.13, S2NW, SW; Sec.14, NE,E2SE; Sec.23, NENE, S2</t>
  </si>
  <si>
    <t>MSES56743</t>
  </si>
  <si>
    <t>Sec.24, SWNE 25% U.S. Mineral Interest</t>
  </si>
  <si>
    <t>SUBJECT TO FS STIPULATION, FS LEASE NOTICES NO.3,4, FS NOTICE TO LESSEE 5, FS TIMING LIMITATION STIPULATION 1</t>
  </si>
  <si>
    <t>MSES56744</t>
  </si>
  <si>
    <t>Sec.25,SE,Sec.26,All</t>
  </si>
  <si>
    <t>MSES56745</t>
  </si>
  <si>
    <t>pearl river</t>
  </si>
  <si>
    <t>MERIDIAN ST.STEPHENS T1S, R14W</t>
  </si>
  <si>
    <t>Sec.8,N2NE,NENW,S2S2</t>
  </si>
  <si>
    <t>MSES56746</t>
  </si>
  <si>
    <t>Sec.17,N2NE; Sec.25, W2NE,N2NW.N2SE</t>
  </si>
  <si>
    <t>MSES56747</t>
  </si>
  <si>
    <t>wayne</t>
  </si>
  <si>
    <t>MERIDIAN ST.STEPHENS T7N, R9W</t>
  </si>
  <si>
    <t>Sec.1, N2NW, SWNW, W2SENW, NWSW, S2SW; Sec.5, NENE, N2NWNE, SENWNE, S2NE, N2NENW, SWNENW, NWNW, NESW,S2SW,SE; Sec.6 E2, S2NW,SW</t>
  </si>
  <si>
    <t>MSES56748</t>
  </si>
  <si>
    <t>Sec.7, N2, SW, N2SE, SESE; Sec.8, All</t>
  </si>
  <si>
    <t>MSES56749</t>
  </si>
  <si>
    <t>Sec.9, E2NE; Sec.10, SWNE; Sec.12, NE, W2W2; Sec.13, N2N2,SENE,SWNW,SW,NESE</t>
  </si>
  <si>
    <t>MSES56751</t>
  </si>
  <si>
    <t xml:space="preserve">TO BE ASSIGNED TO SAVANNAH </t>
  </si>
  <si>
    <t>Sec.15, W2NE,W2,SESE; Sec.17, N2,N2S2, S2SE</t>
  </si>
  <si>
    <t>MSES56752</t>
  </si>
  <si>
    <t>Sec.18, NENE,NWNW,S2NW,NESW,S2SW;Sec.19,W2NE,SESW,N2SE; Sec.20 ,NENE,S2NE,SWNW,S2</t>
  </si>
  <si>
    <t>MSES56755</t>
  </si>
  <si>
    <t>Sec.26, NE,N2SE; Sec.27, NW, SENE, N2SW, SWSW less 10 acres of SE corner, SESW less 5 acres off SW corner, SE; Sec.28, N2, SW, N2SE</t>
  </si>
  <si>
    <t>MSES56756</t>
  </si>
  <si>
    <t>Sec.30, All; Sec.31, All</t>
  </si>
  <si>
    <t>MSES56757</t>
  </si>
  <si>
    <t>CHECK 3551</t>
  </si>
  <si>
    <t>CHECK 3554</t>
  </si>
  <si>
    <t>ARES056805</t>
  </si>
  <si>
    <t>MERIDIAN 5TH PRINCIPAL, T10N R20W</t>
  </si>
  <si>
    <t>SEC.24, SENE,W2SWNE,W2NENW,SWNW,S2SENW,NESW,NWSE EXPECTING A TRIANGULAR PARCEL OF LAND CONTAINING 2 ACRES IN THE NORTHEAST CORNER SEC.25 NE NWNW NESE N2SESE N2S2SESE</t>
  </si>
  <si>
    <t>ES-009-06/11</t>
  </si>
  <si>
    <t>ARES056806</t>
  </si>
  <si>
    <t>SEC.24, N2NE, W2SW,SESW, SWSE</t>
  </si>
  <si>
    <t>ES-010-06/11</t>
  </si>
  <si>
    <t>LAES056818</t>
  </si>
  <si>
    <t>MERIDIAN LOUISIANA, T10 N R1W</t>
  </si>
  <si>
    <t>SEC.19 NESW</t>
  </si>
  <si>
    <t>ES-023-06/11</t>
  </si>
  <si>
    <t>LAES056819</t>
  </si>
  <si>
    <t>SEC.19 S2NE, N2NW, SWNW, N2SENW, NWSE; SEC.20, SWNW, W2SW</t>
  </si>
  <si>
    <t>LAES056820</t>
  </si>
  <si>
    <t>SEC.19, NWSW, S2S2, NESE, SEC.20, E2N2, E2NW, NESE, SEC.21, N2</t>
  </si>
  <si>
    <t>ES-024-06/11</t>
  </si>
  <si>
    <t>LAES056821</t>
  </si>
  <si>
    <t>SEC.28, NENE, SE, SEC.32, N2, N2SW, NWSE, S2SE less &amp; except 0.85 ac.</t>
  </si>
  <si>
    <t>ES-025-06/11</t>
  </si>
  <si>
    <t>LAES056822</t>
  </si>
  <si>
    <t>SEC.28, N2NW, SENW, S2NWSW, S2SW, SEC.29, NE. N2NW, SENW, S2; SEC.30, SW, NWSE; SEC.31, NE, NWNW, S2NW, S2</t>
  </si>
  <si>
    <t>ES-026-06/11</t>
  </si>
  <si>
    <t>LAES056823</t>
  </si>
  <si>
    <t>SEC.29, SWNW, SEC.30, N2NE, N2SENE, SWNW, TRACT IN N2N2NW; SEC.33, NESW</t>
  </si>
  <si>
    <t>ES-027-06/11</t>
  </si>
  <si>
    <t>LAES056828</t>
  </si>
  <si>
    <t>MERIDIAN LOUISIANA, T10 N R3W</t>
  </si>
  <si>
    <t>SEC.9 NENE, SEC.10, NWNW</t>
  </si>
  <si>
    <t>ES-032-06/11</t>
  </si>
  <si>
    <t>LAES056829</t>
  </si>
  <si>
    <t>SEC.22, E2SE</t>
  </si>
  <si>
    <t>ES-033-06/11</t>
  </si>
  <si>
    <t>LAES056831</t>
  </si>
  <si>
    <t>SEC.26, S2NW, SESW, SE</t>
  </si>
  <si>
    <t>ES-035-06/11</t>
  </si>
  <si>
    <t>LAES056832</t>
  </si>
  <si>
    <t>SEC.34 E2NW</t>
  </si>
  <si>
    <t>ES-036-06/11</t>
  </si>
  <si>
    <t>LAES056833</t>
  </si>
  <si>
    <t>SEC.35 W2NE, NW, N2SW, SWSW, NWSE</t>
  </si>
  <si>
    <t>ES-037-06/11</t>
  </si>
  <si>
    <t>MSES056853</t>
  </si>
  <si>
    <t>GRENADA</t>
  </si>
  <si>
    <t>MERIDIAN CHOCTAW, T23N R6E</t>
  </si>
  <si>
    <t>SEC.14, SWSW</t>
  </si>
  <si>
    <t>ES-057-06/11</t>
  </si>
  <si>
    <t>MSES056854</t>
  </si>
  <si>
    <t>MERIDIAN CHOCTAW, T5N R8E</t>
  </si>
  <si>
    <t>SEC.2 NWNE less 3.72 acres described as beginning at a point 7.50 chains S of NW corner of NWNE, thence E 8.18 chains, thence S 4.54 chains, thence W 8.18 chains, thence N 4.54 chains to POB</t>
  </si>
  <si>
    <t>ES-058-06/11</t>
  </si>
  <si>
    <t>MSES056855</t>
  </si>
  <si>
    <t>SEC.7, ALL</t>
  </si>
  <si>
    <t>ES-059-06/11</t>
  </si>
  <si>
    <t>MSES056856</t>
  </si>
  <si>
    <t>SEE ATTACHED PAGE</t>
  </si>
  <si>
    <t>ES-060-06/11</t>
  </si>
  <si>
    <t>MSES056857</t>
  </si>
  <si>
    <t>SEC.21 NENE S2NE NESW NWSE</t>
  </si>
  <si>
    <t>ES-061-06/11</t>
  </si>
  <si>
    <t>MSES056858</t>
  </si>
  <si>
    <t>SEC.22, S2SWNE, SENW</t>
  </si>
  <si>
    <t>ES-062-06/11</t>
  </si>
  <si>
    <t>MSES056859</t>
  </si>
  <si>
    <t>SEC.25 N2NE SW W2SE SEC.26 NENW SESW NESE S2SE SEC.30 SENW</t>
  </si>
  <si>
    <t>ES-063-06/11</t>
  </si>
  <si>
    <t>MSES056860</t>
  </si>
  <si>
    <t>ES-064-06/11</t>
  </si>
  <si>
    <t>MSES056861</t>
  </si>
  <si>
    <t>SEC. 34 E2E2</t>
  </si>
  <si>
    <t>ES-065-06/11</t>
  </si>
  <si>
    <t>MSES056862</t>
  </si>
  <si>
    <t>SEC.35 SWNE SENE LESS NE 10 ACRES SEC.36 W2NE N2NW SENW E2SW SE</t>
  </si>
  <si>
    <t>ES-066-06/11</t>
  </si>
  <si>
    <t>MSES056946</t>
  </si>
  <si>
    <t>BOUGHT FROM  SOLAR RESOURCES &amp; SOLD TO REAGAN SMITH/BOUGHT BACK</t>
  </si>
  <si>
    <t>MERIDIAN ST.STEPHENS, T5S R9W</t>
  </si>
  <si>
    <t xml:space="preserve">SEC.1 ALL  </t>
  </si>
  <si>
    <t>ES-150-06/11</t>
  </si>
  <si>
    <t>MSES056947</t>
  </si>
  <si>
    <t>SEC.2 ALL</t>
  </si>
  <si>
    <t>ES-151-06/11</t>
  </si>
  <si>
    <t>MSES056948</t>
  </si>
  <si>
    <t>SEC.3 N2 E2SW E2SE NWSE W2SWSE</t>
  </si>
  <si>
    <t>ES-152-06/11</t>
  </si>
  <si>
    <t>MSES056949</t>
  </si>
  <si>
    <t>SEC.4 E2NE NENW SW W2SE</t>
  </si>
  <si>
    <t>ES-153-06/11</t>
  </si>
  <si>
    <t>MSES056950</t>
  </si>
  <si>
    <t>SEC.5 E2SE SEC.7 N2</t>
  </si>
  <si>
    <t>ES-154-06/11</t>
  </si>
  <si>
    <t>MSES056951</t>
  </si>
  <si>
    <t>SEC.8 NE, NENW, S2NW, S2 SEC.9 ALL</t>
  </si>
  <si>
    <t>ES-155-06/11</t>
  </si>
  <si>
    <t>MSES056952</t>
  </si>
  <si>
    <t>SEC.10 N2 SWSW E2SW SE SEC.11 N2NE SENE W2NW NENW SW SE</t>
  </si>
  <si>
    <t>ES-156-06/11</t>
  </si>
  <si>
    <t>MSES056953</t>
  </si>
  <si>
    <t>SEC.12 N2 NESE SEC.13 N2 N2SE SESE</t>
  </si>
  <si>
    <t>ES-157-06/11</t>
  </si>
  <si>
    <t>MSES056954</t>
  </si>
  <si>
    <t>SEC. 14 ALL SEC.15 NE, E2NW, N2SE</t>
  </si>
  <si>
    <t>ES-158-06/11</t>
  </si>
  <si>
    <t>MSES056955</t>
  </si>
  <si>
    <t>SEC. 17 ALL SEC.18 ALL</t>
  </si>
  <si>
    <t>ES-159-06/11</t>
  </si>
  <si>
    <t>MSES056956</t>
  </si>
  <si>
    <t>SEC.19 ALL SEC.20 ALL</t>
  </si>
  <si>
    <t>ES-160-06/11</t>
  </si>
  <si>
    <t>MSES056957</t>
  </si>
  <si>
    <t>JACKSON &amp; HARRISON</t>
  </si>
  <si>
    <t>SEC.21 E2NE SEC.23 N2 NESW S2SW SE SEC.24 ALL</t>
  </si>
  <si>
    <t>ES-161-06/11</t>
  </si>
  <si>
    <t>MSES056958</t>
  </si>
  <si>
    <t>SEC.25 N2NE SENE NENW W2NW N2SW SESW E2SE SEC.26 N2SW W2SE</t>
  </si>
  <si>
    <t>ES-162-06/11</t>
  </si>
  <si>
    <t>MSES056959</t>
  </si>
  <si>
    <t>SEC.27 E2E2 NWNW SEC.28 NWNW SEC.29 N2 SW N2SE SESE</t>
  </si>
  <si>
    <t>ES-163-06/11</t>
  </si>
  <si>
    <t>MSES056960</t>
  </si>
  <si>
    <t>SEC.30 ALL SEC.31 NE N2NW, SENW, E2SW, N2NESE, S2SE</t>
  </si>
  <si>
    <t>ES-164-06/11</t>
  </si>
  <si>
    <t>MSES056961</t>
  </si>
  <si>
    <t>SEC. 33 ALL</t>
  </si>
  <si>
    <t>ES-165-06/11</t>
  </si>
  <si>
    <t>MSES056962</t>
  </si>
  <si>
    <t>SEC. 35 ALL SEC.36 SENW S2</t>
  </si>
  <si>
    <t>ES-166-06/11</t>
  </si>
  <si>
    <t>MSES056963</t>
  </si>
  <si>
    <t>MERIDIAN WASHINGTON, T3N R2E</t>
  </si>
  <si>
    <t>SEC. 5 SWSE SEC.7 E2 NWNW S2NW N2SW SESW SEC.8 SW</t>
  </si>
  <si>
    <t>ES-167-06/11</t>
  </si>
  <si>
    <t>MSES056964</t>
  </si>
  <si>
    <t>MERIDIAN WASHINGTON, T3N R3E</t>
  </si>
  <si>
    <t>ES-168-06/11</t>
  </si>
  <si>
    <t>MSES056965</t>
  </si>
  <si>
    <t>MERIDIAN WASHINGTON, T4N R1E</t>
  </si>
  <si>
    <t>SEC.5 TRACT H-1028 (LOTS 1 &amp; 7)</t>
  </si>
  <si>
    <t>ES-169-06/11</t>
  </si>
  <si>
    <t>MSES056966</t>
  </si>
  <si>
    <t>WILKINSON</t>
  </si>
  <si>
    <t>SEC. 22 TRACT H-1088</t>
  </si>
  <si>
    <t>ES-170-06/11</t>
  </si>
  <si>
    <t>MSES056967</t>
  </si>
  <si>
    <t>SEC. 25 NENE S2NE, W2 SE SEC.26 N2SWSW</t>
  </si>
  <si>
    <t>ES-171-06/11</t>
  </si>
  <si>
    <t>MSES056968</t>
  </si>
  <si>
    <t>SEC.33 NWSW</t>
  </si>
  <si>
    <t>ES-172-06/11</t>
  </si>
  <si>
    <t>MSES056969</t>
  </si>
  <si>
    <t>MERIDIAN WASHINGTON, T4N R2E</t>
  </si>
  <si>
    <t>ES-173-06/11</t>
  </si>
  <si>
    <t>MSES056970</t>
  </si>
  <si>
    <t>SEC.14 E2NESE 50% US MINERAL INTEREST</t>
  </si>
  <si>
    <t>ES-174-06/11</t>
  </si>
  <si>
    <t>MSES056971</t>
  </si>
  <si>
    <t>SEC.15 NWSW 50% US MINERAL INTEREST</t>
  </si>
  <si>
    <t>ES-175-06/11</t>
  </si>
  <si>
    <t>MSES056972</t>
  </si>
  <si>
    <t>MERIDIAN WASHINGTON, T4N R3E</t>
  </si>
  <si>
    <t>SEC.1 ALL SEC.2 N2, S2SW, N2SE, SESE</t>
  </si>
  <si>
    <t>ES-176-06/11</t>
  </si>
  <si>
    <t>MSES056973</t>
  </si>
  <si>
    <t>SEC.3 W2NE SENE W2 SE LESS TRACT H-28D SEC.4 N2NE SWNE SENE LESS 0.49 ACRES FOR COMMUNITY CEMETERY. NESE E2NWSE E2SWSE SEC.5 NENW W2W2 SESW W2SE</t>
  </si>
  <si>
    <t>ES-177-06/11</t>
  </si>
  <si>
    <t>MSES056974</t>
  </si>
  <si>
    <t>SEC.6 W2NE NENW S2NW S2 SEC.7 ALL</t>
  </si>
  <si>
    <t>ES-178-06/11</t>
  </si>
  <si>
    <t>MSES056976</t>
  </si>
  <si>
    <t>SEC.10 ALL SEC.11 N2NE NW W2SW SESW SWSE</t>
  </si>
  <si>
    <t>ES-180-06/11</t>
  </si>
  <si>
    <t>MSES056977</t>
  </si>
  <si>
    <t>SEC.12 N2 NESE SEC.13 W2NW SEC.14 ALL</t>
  </si>
  <si>
    <t>ES-181-06/11</t>
  </si>
  <si>
    <t>MSES056980</t>
  </si>
  <si>
    <t>MERIDIAN WASHINGTON, T4N R4E</t>
  </si>
  <si>
    <t>SEC.4 W2NE NW E2W2SW S2W2SWSW SEC.5 N2 SW W2NESE W2SE SESE SEC.6 ALL</t>
  </si>
  <si>
    <t>ES-184-06/11</t>
  </si>
  <si>
    <t>MSES056981</t>
  </si>
  <si>
    <t>SEC.7 N2 NESE E2NWSE LESS 2 ACRES IN A STRIP OF UNIFORM WIDTH ACROSS SOUTH END; SEC.8 N2 LESS 1 ACRE IN SE CORNER N2SW NWSE 1 ACRE IN FORM OF SQUARE IN NW CORNER OF NESE SEC.9 NENW SWNW</t>
  </si>
  <si>
    <t>ES-185-06/11</t>
  </si>
  <si>
    <t>MSES056982</t>
  </si>
  <si>
    <t>MERIDIAN WASHINGTON, T5N R1E</t>
  </si>
  <si>
    <t>ES-186-06/11</t>
  </si>
  <si>
    <t>MSES056983</t>
  </si>
  <si>
    <t>SEC.20 N2SE NWNW W2SW SESW</t>
  </si>
  <si>
    <t>ES-187-06/11</t>
  </si>
  <si>
    <t>MSES056984</t>
  </si>
  <si>
    <t>SEC.22 TRACT H-1 OR LOTS 1-5 W2 OF LOTS 6 LOTS 8 &amp; 13 SEC.23 TRACT H-1 OR ALL</t>
  </si>
  <si>
    <t>ES-188-06/11</t>
  </si>
  <si>
    <t>MSES056985</t>
  </si>
  <si>
    <t>SEC.27 TRACT H-20B &amp; H-82</t>
  </si>
  <si>
    <t>ES-189-06/11</t>
  </si>
  <si>
    <t>MSES056986</t>
  </si>
  <si>
    <t>SEC.28 TRACT H-20B SEC,29 TRACT H-20B</t>
  </si>
  <si>
    <t>ES-190-06/11</t>
  </si>
  <si>
    <t>MSES056987</t>
  </si>
  <si>
    <t>SEC. 30 TRACT H-20B SEC.48 TRACT H-1 OR N2NE W2NW SEC.49 N2N2 W2SWNE NWSE N2NESE (TRACTS H-1 &amp; H-131)</t>
  </si>
  <si>
    <t>ES-191-06/11</t>
  </si>
  <si>
    <t>MSES056988</t>
  </si>
  <si>
    <t>SEC.36 N2NE NENW SWNW NESW S2SW SEC.37 ALL (TRACT H-1, H-146)</t>
  </si>
  <si>
    <t>ES-192-06/11</t>
  </si>
  <si>
    <t>MSES056989</t>
  </si>
  <si>
    <t>SEC. 38 N2 LOT 2 N2NW AND FRACTIONAL SWNW IN LOT 3 , LOT 4, S2 LOT 5 (SWSE), S2 LOT 6 (SESE) SEC.47 NWNE NENW S2SW W2SE SESE(TRACTS H-13 &amp; H-13 A)</t>
  </si>
  <si>
    <t>ES-193-06/11</t>
  </si>
  <si>
    <t>MSES056990</t>
  </si>
  <si>
    <t>MERIDIAN WASHINGTON, T5N R2E</t>
  </si>
  <si>
    <t>SEC.2 NENW SWNW SWSW SWSE</t>
  </si>
  <si>
    <t>ES-194-06/11</t>
  </si>
  <si>
    <t>MSES056991</t>
  </si>
  <si>
    <t>SEC. 7 PART W OF ROCKY RUN IN NWNE S2NE SESW</t>
  </si>
  <si>
    <t>ES-195-06/11</t>
  </si>
  <si>
    <t>MSES057015</t>
  </si>
  <si>
    <t>AMENDED ACREAGE:SEPT 2011</t>
  </si>
  <si>
    <t>MERIDIAN WASHINGTON, T5N R1W</t>
  </si>
  <si>
    <t>SEC.3 ALL (TRACT H-20B) SEC.4 ALL (TRACT H-20B) SEC.7 ALL (TRACT H-20B) FOR SEC. 8 &amp; 9 - SEE ATTACHED PAGE</t>
  </si>
  <si>
    <t>MSES057017</t>
  </si>
  <si>
    <t>SEC.18 ALL (LOTS 1-3, TRACT H-84) SEC.19 TRACT H-82</t>
  </si>
  <si>
    <t>ES-221-06/11</t>
  </si>
  <si>
    <t>MSES057018</t>
  </si>
  <si>
    <t>ES-222-06/11</t>
  </si>
  <si>
    <t>MSES057019</t>
  </si>
  <si>
    <t>AMENDED ACREAGE :SEPT2011</t>
  </si>
  <si>
    <t>SEC.24 PART OF TRACT H-20B BEING ALL THAT PART OF LOTS 1,3 &amp;4 LYING SOUTH AND EAST OF FS ROAD 172</t>
  </si>
  <si>
    <t>MSES057020</t>
  </si>
  <si>
    <t>SEC.32 TRACT H-20B, SEC.52 TRACT H-20B TRACT H-84 SEC.58 TRACT H-20B</t>
  </si>
  <si>
    <t>ES-224-06/11</t>
  </si>
  <si>
    <t>MSES057022</t>
  </si>
  <si>
    <t>CANCELLED : TB REFUNDED $ 1867 AS PER LETTER RECEIVED ON 14 SEPT 2011</t>
  </si>
  <si>
    <t>WE NO LONGER OWN THIS LEASE - CANCELLED BY BLM-ES</t>
  </si>
  <si>
    <t>MSES057047</t>
  </si>
  <si>
    <t>SEC.15 N2 NESW S2SW SE</t>
  </si>
  <si>
    <t>ES-230-06/11</t>
  </si>
  <si>
    <t xml:space="preserve">TO BE REFUNDED BY BLM-ES </t>
  </si>
  <si>
    <t>NMNM126964</t>
  </si>
  <si>
    <t>MERIDIAN NMPM, T0060S R0270E</t>
  </si>
  <si>
    <t>SEC.27 SW; 028 ALL; 033 N2, SW; 034 N2;</t>
  </si>
  <si>
    <t>NM-201107-003</t>
  </si>
  <si>
    <t>NMNM126978</t>
  </si>
  <si>
    <t>MERIDIAN NMPM, T0110S R0360E</t>
  </si>
  <si>
    <t>SEC.009 E2NE, SWNE;</t>
  </si>
  <si>
    <t>NM-201107-017</t>
  </si>
  <si>
    <t>Instrument# 50520 Book 1806 Page- 269</t>
  </si>
  <si>
    <t>OKNM126984</t>
  </si>
  <si>
    <t>CANCELLED : TB REFUNDED $ 565 AS PER LETTER RECEIVED ON AUG 29 2011</t>
  </si>
  <si>
    <t>OKNM126985</t>
  </si>
  <si>
    <t>CANCELLED : TB REFUNDED $ 1865 AS PER LETTER RECEIVED ON AUG 29 2011</t>
  </si>
  <si>
    <t>TXNM126988</t>
  </si>
  <si>
    <t>TRACT W-K 1023;</t>
  </si>
  <si>
    <t>SEE ATTACHED FOR METES AND BOUNDS WITH MAP;</t>
  </si>
  <si>
    <t>NM-201107-027</t>
  </si>
  <si>
    <t>TXNM126989</t>
  </si>
  <si>
    <t>TRACT S-2K-1 PARCEL #14;</t>
  </si>
  <si>
    <t>NM-201107-028</t>
  </si>
  <si>
    <t>MSES057091</t>
  </si>
  <si>
    <t>MERIDIAN WASHINGTON , T6N R2E</t>
  </si>
  <si>
    <t>SEC.38, SWSE LESS THE EAST 25 ACRES; SEC.40, ALL</t>
  </si>
  <si>
    <t>ES-019-09/11</t>
  </si>
  <si>
    <t>MSES057092</t>
  </si>
  <si>
    <t>SEC.44, N2NE, SENE, NW, NWSW, S2SW</t>
  </si>
  <si>
    <t>ES-020-09/11</t>
  </si>
  <si>
    <t>MSES057093</t>
  </si>
  <si>
    <t>SEC.45, N2NE W2 S2NESSE W2SE SESE</t>
  </si>
  <si>
    <t>ES-021-09/11</t>
  </si>
  <si>
    <t>MSES057094</t>
  </si>
  <si>
    <t>MERIDIAN WASHINGTON , T7N R3E</t>
  </si>
  <si>
    <t>SEE ATTACHED PAGE (LEASE)</t>
  </si>
  <si>
    <t>ES-022-09/11</t>
  </si>
  <si>
    <t>MSES057095</t>
  </si>
  <si>
    <t>TERM ASSGN. W/ VICTOR SMITH OIL CO. OPERATING RIGHTS ASSGN. - 280 ACRES ( 2 YR TERM)</t>
  </si>
  <si>
    <t>ES-023-09/11</t>
  </si>
  <si>
    <t>MSES057100</t>
  </si>
  <si>
    <t>MERIDIAN WASHINGTON , T6N R4E</t>
  </si>
  <si>
    <t>ES-028-09/11</t>
  </si>
  <si>
    <t>MSES057101</t>
  </si>
  <si>
    <t>MERIDIAN WASHINGTON,  T6N R4E</t>
  </si>
  <si>
    <t>ES-029-09/11</t>
  </si>
  <si>
    <t>MSES057102</t>
  </si>
  <si>
    <t>SEC.25, NE LESS S2SWNE, W2, SE LESS N2NWSE</t>
  </si>
  <si>
    <t>ES-030-09/11</t>
  </si>
  <si>
    <t>MSES057103</t>
  </si>
  <si>
    <t>SEC.26 N2 N2SW SESW SE</t>
  </si>
  <si>
    <t>ES-031-09/11</t>
  </si>
  <si>
    <t>MSES057108</t>
  </si>
  <si>
    <t>MERIDIAN WASHINGTON , T7N R4E</t>
  </si>
  <si>
    <t>ES-036-09/11</t>
  </si>
  <si>
    <t>MSES057109</t>
  </si>
  <si>
    <t>ES-037-09/11</t>
  </si>
  <si>
    <t>MSES057110</t>
  </si>
  <si>
    <t>ES-038-09/11</t>
  </si>
  <si>
    <t>MSES057111</t>
  </si>
  <si>
    <t>ES-039-09/11</t>
  </si>
  <si>
    <t>MSES057112</t>
  </si>
  <si>
    <t>SEC.5 NE NESW SEC.9 E2SENE NESE, THAT PART OF SWNE AND NWSE LYING EAST OF CREEK</t>
  </si>
  <si>
    <t>ES-040-09/11</t>
  </si>
  <si>
    <t>MSES057113</t>
  </si>
  <si>
    <t>SEC.10 ALL</t>
  </si>
  <si>
    <t>ES-041-09/11</t>
  </si>
  <si>
    <t>MSES057114</t>
  </si>
  <si>
    <t>ES-042-09/11</t>
  </si>
  <si>
    <t>MSES057120</t>
  </si>
  <si>
    <t>SEC.28, ALL, LESS  AND EXCLUDING THE SWNW,NWSW,SWSW, AND THAT PART OF SESW LYING WEST OF MARY ROAD</t>
  </si>
  <si>
    <t>ES-048-09/11</t>
  </si>
  <si>
    <t>MSES057267</t>
  </si>
  <si>
    <t>SEGREGATED FROM MSES057120</t>
  </si>
  <si>
    <t xml:space="preserve">SEC.28, E2SWNW </t>
  </si>
  <si>
    <t>MSES057126</t>
  </si>
  <si>
    <t>MERIDIAN WASHINGTON , T6N R5E</t>
  </si>
  <si>
    <t>SEC.17 SESW</t>
  </si>
  <si>
    <t>ES-054-09/11</t>
  </si>
  <si>
    <t>MSES057127</t>
  </si>
  <si>
    <t>SEC.4 NW; SEC.5 NWNE N2NW SWNW NWSW SWSW THAT PART OF SESW LYING WEST OF PUBLIC ROAD</t>
  </si>
  <si>
    <t>ES-055-09/11</t>
  </si>
  <si>
    <t>MSES057128</t>
  </si>
  <si>
    <t>SEC.6 NE E2SE SEC.7 TRACTS H-2d and H-16 ; SEC.8 S2SE</t>
  </si>
  <si>
    <t>ES-056-09/11</t>
  </si>
  <si>
    <t>MSES057137</t>
  </si>
  <si>
    <t>MERIDIAN WASHINGTON , T7N R5E</t>
  </si>
  <si>
    <t>ES-065-09/11</t>
  </si>
  <si>
    <t>MSES057138</t>
  </si>
  <si>
    <t>SEC.20 W2NE NW N2SW SWSW W2SESW SESESW NWSE</t>
  </si>
  <si>
    <t>ES-066-09/11</t>
  </si>
  <si>
    <t>MSES057140</t>
  </si>
  <si>
    <t>SEC.29 SWNE SEC.30 NE NESW S2SW N2SE SWSE , THAT PART IN SESE LYING WEST OF PUBLIC ROAD AND CONTAINING 13.52 ACRES</t>
  </si>
  <si>
    <t>ES-068-09/11</t>
  </si>
  <si>
    <t>MSES057141</t>
  </si>
  <si>
    <t>SEC.31, E2, NENW, SW</t>
  </si>
  <si>
    <t>ES-069-09/11</t>
  </si>
  <si>
    <t>NMNM127451</t>
  </si>
  <si>
    <t>MERIDIAN NMPM, T0260S R0360E</t>
  </si>
  <si>
    <t>SEC. 013 W2E2</t>
  </si>
  <si>
    <t>NMNM127452</t>
  </si>
  <si>
    <t>ASSIGNED 100% OF 320 ACRES TO PINTADO O&amp;G. 7.5% ORRI RESERVED BY R&amp;R</t>
  </si>
  <si>
    <t>MERIDIAN NMPM, T0210N R0080W</t>
  </si>
  <si>
    <t>SEC.013 NE,S2</t>
  </si>
  <si>
    <t>LAES57204</t>
  </si>
  <si>
    <t>MERIDIAN LOUISIANA T2N R1W</t>
  </si>
  <si>
    <t>SEC.6 PART OF TRACT E-1 LING WEST OF HWY 165 IN THE E2 AND THE SENW CONTAINING 247.72 ACRES SW; SWNW</t>
  </si>
  <si>
    <t>ES-001-12/11</t>
  </si>
  <si>
    <t>LAES57205</t>
  </si>
  <si>
    <t>SEC.7 NWNE S2NE NW N2S2</t>
  </si>
  <si>
    <t>ES-002-12/11</t>
  </si>
  <si>
    <t>LAES57206</t>
  </si>
  <si>
    <t>SEC.8 PART OF TRACT E-2 IN SWNW LYING WEST OF HWY. 165 CONTAINING 8.87 ACRES</t>
  </si>
  <si>
    <t>ES-003-12/11</t>
  </si>
  <si>
    <t>MSES57207</t>
  </si>
  <si>
    <t>MERIDIAN WASHINGTON T4N R1W</t>
  </si>
  <si>
    <t>SEC.34 NWNE</t>
  </si>
  <si>
    <t>ES-004-12/11</t>
  </si>
  <si>
    <t>MSES57208</t>
  </si>
  <si>
    <t>SEC.4 LOTS 2 &amp; 4</t>
  </si>
  <si>
    <t>ES-005-12/11</t>
  </si>
  <si>
    <t>MSES57209</t>
  </si>
  <si>
    <t>SEC.14 E2 N2NW SW LESS 12.09 ACRES ON N SIDE</t>
  </si>
  <si>
    <t>ES-006-12/11</t>
  </si>
  <si>
    <t>MSES57210</t>
  </si>
  <si>
    <t>SEC.15 SW</t>
  </si>
  <si>
    <t>ES-007-12/11</t>
  </si>
  <si>
    <t>MSES57211</t>
  </si>
  <si>
    <t>SEC.17 PART SESW; SWSW LESS 2 ACCRES FOR PERRYTOWN CHURCH</t>
  </si>
  <si>
    <t>ES-008-12/11</t>
  </si>
  <si>
    <t>MSES57212</t>
  </si>
  <si>
    <t>SEC.18,SWNWNE; NWSWNE S2SENE S2NENW N2SWNW SWSWNW SENW E2NESW SESW SE; SOUTH PART OF SWSW DESCRIBED AS: BEGINNING AT SW CORNER OF SEC.18, THENCE S 89 DEGREE 20' E21.38 CHAINS, THENCE N 1 DEGREE 30' E 11.50 CHAINS, N 89 DEGREE 20' W 21.88 CHAINS TO THE SECTION LINE, THENCE S 1 DEGREE 30' W 11.50 CHAINS TO THE BEGINNING CONTAINING 25.16 ACRES</t>
  </si>
  <si>
    <t>ES-009-12/11</t>
  </si>
  <si>
    <t>MSES57213</t>
  </si>
  <si>
    <t xml:space="preserve">SEC.19 SW NESE LESS THAT PART LYING W OF PUBLIC ROAD IN NW CORNER SWSE </t>
  </si>
  <si>
    <t>ES-010-12/11</t>
  </si>
  <si>
    <t>MSES57214</t>
  </si>
  <si>
    <t>SEC.20 ALL</t>
  </si>
  <si>
    <t>ES-011-12/11</t>
  </si>
  <si>
    <t>MSES57215</t>
  </si>
  <si>
    <t>SEC.21 ALL LESS 25.07 ACRE EXCEPTION IN S2NW</t>
  </si>
  <si>
    <t>ES-012-12/11</t>
  </si>
  <si>
    <t>MSES57216</t>
  </si>
  <si>
    <t>SEE ATTACHED PAGE (ON THE LEASE)</t>
  </si>
  <si>
    <t>ES-013-12/11</t>
  </si>
  <si>
    <t>MSES57217</t>
  </si>
  <si>
    <t>SEC.23 W2NE SENE NW S2</t>
  </si>
  <si>
    <t>ES-014-12/11</t>
  </si>
  <si>
    <t>MSES57218</t>
  </si>
  <si>
    <t>SEC.24 ALL THAT PART OF TRACTS H-1083 H-334A AND H-1093 LYING IN SEC.24</t>
  </si>
  <si>
    <t>ES-015-12/11</t>
  </si>
  <si>
    <t>MSES57219</t>
  </si>
  <si>
    <t>SEC.25 N2NENE W2NW THAT PART OF TRACT H-1093 LYING IN THE SWSW CONTAINING 23.45 ACRES</t>
  </si>
  <si>
    <t>ES-016-12/11</t>
  </si>
  <si>
    <t>MSES57220</t>
  </si>
  <si>
    <t>SEC.28 N2 W2SW SE4</t>
  </si>
  <si>
    <t>ES-017-12/11</t>
  </si>
  <si>
    <t>MSES57221</t>
  </si>
  <si>
    <t>SEC.29 ALL</t>
  </si>
  <si>
    <t>ES-018-12/11</t>
  </si>
  <si>
    <t>MSES57222</t>
  </si>
  <si>
    <t>SEC.33 W2NW</t>
  </si>
  <si>
    <t>ES-019-12/11</t>
  </si>
  <si>
    <t>MSES57223</t>
  </si>
  <si>
    <t>SEC.34 E2NE SWNE W2 SE</t>
  </si>
  <si>
    <t>ES-020-12/11</t>
  </si>
  <si>
    <t>MSES57224</t>
  </si>
  <si>
    <t xml:space="preserve">MARCH 2017-FARMOUT W/ WILCOX ENERGY CO. WE WILL PAY RENTALS &amp; BILL THEM 100% </t>
  </si>
  <si>
    <t>SEC.35 E2NENE W2SW</t>
  </si>
  <si>
    <t>ES-021-12/11</t>
  </si>
  <si>
    <t>MSES57225</t>
  </si>
  <si>
    <t>SEC.36 NENE S2NE NWNW LESS 2 ACRES IN SE CORNER SWNW</t>
  </si>
  <si>
    <t>ES-022-12/11</t>
  </si>
  <si>
    <t>MSES57226</t>
  </si>
  <si>
    <t>SEC.37 S2NENE NWNE SENE N2NW SWNW</t>
  </si>
  <si>
    <t>ES-023-12/11</t>
  </si>
  <si>
    <t>MSES57227</t>
  </si>
  <si>
    <t>SEC.38 NENE NW</t>
  </si>
  <si>
    <t>ES-024-12/11</t>
  </si>
  <si>
    <t>MSES57228</t>
  </si>
  <si>
    <t>MERIDIAN WASHINGTON, T4N R1W</t>
  </si>
  <si>
    <t>SEC.41 NESW</t>
  </si>
  <si>
    <t>ES-025-12/11</t>
  </si>
  <si>
    <t>MSES57229</t>
  </si>
  <si>
    <t>MERIDIAN CHOCTOW T4N R8E</t>
  </si>
  <si>
    <t>SEC.8 SWSE</t>
  </si>
  <si>
    <t>ES-026-12/11</t>
  </si>
  <si>
    <t>MSES57230</t>
  </si>
  <si>
    <t>MERIDIAN ST.STEPHENS, T6N R14W</t>
  </si>
  <si>
    <t>SEC.21 S2NE NENE ALL THAT PART OF E2NWNE NORTH OF PUBLIC ROAD, ALL THAT PART OF SENW OF HIGHWAY 49</t>
  </si>
  <si>
    <t>ES-027-12/11</t>
  </si>
  <si>
    <t>MSES57231</t>
  </si>
  <si>
    <t>MERIDIAN WASHINGTON T7N R4E</t>
  </si>
  <si>
    <t>SEC.12 NWNW S2NW S2 LESS ALL THAT PART LYING SOUTH &amp; EAST OF THE CENTERLINE OF COUNTY ROAD 109, CONSISTING OF TRACTS: H-40A, B,C,D &amp; PART OF H-40 IN SEC.12 TOTALING 272.58 ACRES. SEC.13 ALL THAT PART OF NW LYING NORTH 7 WEST OF THE CENTERLINE OF COUNTY ROAD 109 &amp; BEING A PART OF TRACT H-40 CONSISTING OF 36.69 ACRES</t>
  </si>
  <si>
    <t>ES-028-12/11</t>
  </si>
  <si>
    <t>MSES57232</t>
  </si>
  <si>
    <t>MERIDIAN ST.STEPHENS, T8N R17W</t>
  </si>
  <si>
    <t xml:space="preserve">SEC.5 NWNE LESS THAT PART DESCRIBED AS BEGINNING AT THE NORTHWEST CORNER AND RUNNING SOUTH 220 YARDS, THENCE EAST 70 YARDS, THENCE NORTH 220 YARDS, THENCE WEST 70 YARDS TO THE POINT OF BEGINNNING </t>
  </si>
  <si>
    <t>ES-029-12/11</t>
  </si>
  <si>
    <t>MSES57233</t>
  </si>
  <si>
    <t>MERIDIAN ST.STEPHENS T9N R16W</t>
  </si>
  <si>
    <t>SEC.1 SENW NESW E2NWSW</t>
  </si>
  <si>
    <t>ES-030-12/11</t>
  </si>
  <si>
    <t>MSES57234</t>
  </si>
  <si>
    <t>SEC.14 SWNW SEC.15 SENE AND BEGINNING AT SOUTHWEST CORNER OF NENE RUNNING NORTH 220 YARDS THENCE EAST 154 YARDS THENCE 220 YARDS THENCE WEST 154 YARDS</t>
  </si>
  <si>
    <t>ES-031-12/11</t>
  </si>
  <si>
    <t>MSES57235</t>
  </si>
  <si>
    <t>MERIDIAN ST.STEPHENS T9N R17W</t>
  </si>
  <si>
    <t>SEC.29 10 ACRES DESCRIBED AS THAT PART OF THE NEWSW LYING NORTH OF PUBLIC ROAD SEC.32 TRACT BEGINNING AT A POINT 220 YARDS WEST OF THE SOUTHEAST CORNER OF THE SWSE THENCE 220 YARDS NORTH THENCE WEST 70 YARDS THENCE SOUTH 220 YARDS THENCE EAST 70 YARDS TO THE POINT OF THE BEGINNING</t>
  </si>
  <si>
    <t>ES-032-12/11</t>
  </si>
  <si>
    <t>MSES57236</t>
  </si>
  <si>
    <t>MERIDIAN CHOCTOW T3N R7E</t>
  </si>
  <si>
    <t>SEC.20 S2NE S2SW</t>
  </si>
  <si>
    <t>ES-033-12/11</t>
  </si>
  <si>
    <t>MSES57237</t>
  </si>
  <si>
    <t>MERIDIAN CHOCTAW T22N R7E</t>
  </si>
  <si>
    <t>SEC.12 PART OF TRACT D-365 LYING IN THE NWNE LESS AND EXCEPT 4 AC IN SE PT S2NE NENW N2N2SENW N2SE</t>
  </si>
  <si>
    <t>ES-034-12/11</t>
  </si>
  <si>
    <t>MSES57238</t>
  </si>
  <si>
    <t>MERIDIAN CHOCTAW T23N R6E</t>
  </si>
  <si>
    <t>ES-035-12/11</t>
  </si>
  <si>
    <t>MSES57239</t>
  </si>
  <si>
    <t>ES-036-12/11</t>
  </si>
  <si>
    <t>MSES57240</t>
  </si>
  <si>
    <t>ES-037-12/11</t>
  </si>
  <si>
    <t>MSES57241</t>
  </si>
  <si>
    <t>ES-038-12/11</t>
  </si>
  <si>
    <t>MSES57242</t>
  </si>
  <si>
    <t>SEC.25 NWNW SEC.26 NENE</t>
  </si>
  <si>
    <t>ES-039-12/11</t>
  </si>
  <si>
    <t>MSES57243</t>
  </si>
  <si>
    <t>MERIDIAN CHOCTAW T23N R7E</t>
  </si>
  <si>
    <t>ES-040-12/11</t>
  </si>
  <si>
    <t>ALES57296</t>
  </si>
  <si>
    <t>ST.STEPHENS T2N R14E</t>
  </si>
  <si>
    <t>SEC.36 SENE</t>
  </si>
  <si>
    <t>ES-013-03/12</t>
  </si>
  <si>
    <t>ALES57297</t>
  </si>
  <si>
    <t>ST.STEPHENS T2N R15E</t>
  </si>
  <si>
    <t xml:space="preserve">SEE LEASE FOR LAND DESCRIPTION &amp; STIPULATIONS </t>
  </si>
  <si>
    <t>ES-014-03/12</t>
  </si>
  <si>
    <t>ALES57302</t>
  </si>
  <si>
    <t>TALLAHASSEE T6N R24W</t>
  </si>
  <si>
    <t>SEC.30 FRACTIONAL W2</t>
  </si>
  <si>
    <t>ES-019-03/12</t>
  </si>
  <si>
    <t>ALES57298</t>
  </si>
  <si>
    <t>SEC.9 ALL, SEC.21 ALL, SEC.33, E2 NWNW E2W2</t>
  </si>
  <si>
    <t>ES-015-03/12</t>
  </si>
  <si>
    <t>ALES57285</t>
  </si>
  <si>
    <t>ST.STEPHENS T1N R12E</t>
  </si>
  <si>
    <t>ES-002-03/12</t>
  </si>
  <si>
    <t>ALES57287</t>
  </si>
  <si>
    <t>ST.STEPHENS T2N R13E</t>
  </si>
  <si>
    <t>SEC.13 S2, SEC.14 S2SW, SEC.23 ALL, SEC.24,W2 SE N2NE SENE, SEC.25 ALL</t>
  </si>
  <si>
    <t>ES-004-03/12</t>
  </si>
  <si>
    <t>ALES57300</t>
  </si>
  <si>
    <t>ST. STEPHENS T2N R15E</t>
  </si>
  <si>
    <t>SEC. 31, S2NW N2SW</t>
  </si>
  <si>
    <t>ES-017-03/12</t>
  </si>
  <si>
    <t>ALES57299</t>
  </si>
  <si>
    <t>SEC.19 ALL SEC.30 ALL SEC.31 E2 N2NW</t>
  </si>
  <si>
    <t>ES-016-03/12</t>
  </si>
  <si>
    <t>ALES57301</t>
  </si>
  <si>
    <t>ST.STEPHENS T3N R15E</t>
  </si>
  <si>
    <t>SEC.34 E2SE</t>
  </si>
  <si>
    <t>ES-018-03/12</t>
  </si>
  <si>
    <t>ALES57286</t>
  </si>
  <si>
    <t>ST.STEPHENS T1N R14E</t>
  </si>
  <si>
    <t>SEC.22 S2</t>
  </si>
  <si>
    <t>ES-003-03/12</t>
  </si>
  <si>
    <t>ALES57292</t>
  </si>
  <si>
    <t>SEC.25 ALL, SEC.26 W2NE EXPECTING 0.498 AC. QUITCLAIMED TO JUDY V GODWIN, NW S2, SEC.27 ALL, SEC.28 W2NE NESE W2SE W2</t>
  </si>
  <si>
    <t>ES-009-03/12</t>
  </si>
  <si>
    <t>ALES57293</t>
  </si>
  <si>
    <t>SEC.29 E2 E2SW, SEC.32 NE SW W2SE SESE NESE, SEC.33 W2 NE W2SE</t>
  </si>
  <si>
    <t>ES-010-03/12</t>
  </si>
  <si>
    <t>ALES57294</t>
  </si>
  <si>
    <t>SEC.31 ALL</t>
  </si>
  <si>
    <t>ES-011-03/12</t>
  </si>
  <si>
    <t>ALES57295</t>
  </si>
  <si>
    <t>SEC.34 E2 NW E2SW SEC.35 ALL SEC.36 N2NE,SWNE,NW S2</t>
  </si>
  <si>
    <t>ES-012-03/12</t>
  </si>
  <si>
    <t>ALES57284</t>
  </si>
  <si>
    <t>PICKENS</t>
  </si>
  <si>
    <t>HUNTSVILLE T21S R15W</t>
  </si>
  <si>
    <t>SEC.8 SWSW SEC.17 S2NW SEC.18 N2NE</t>
  </si>
  <si>
    <t>ES-001-03/12</t>
  </si>
  <si>
    <t>ALES57303</t>
  </si>
  <si>
    <t>BIBB</t>
  </si>
  <si>
    <t>ST.STEPHENS T23N R7E</t>
  </si>
  <si>
    <t>ES-020-03/12</t>
  </si>
  <si>
    <t>MSES57385</t>
  </si>
  <si>
    <t>WASHINGTON T5N R4E</t>
  </si>
  <si>
    <t>SEC.20 N2NE SWNW SESW</t>
  </si>
  <si>
    <t>ES-093-03/12</t>
  </si>
  <si>
    <t>MSES57372</t>
  </si>
  <si>
    <t>ES-089-03/12</t>
  </si>
  <si>
    <t>MSES57386</t>
  </si>
  <si>
    <t>SEC.30 NENE SWNE NESENW S2SENW NESW E2NWSW SWNWSW S2SW SWSE</t>
  </si>
  <si>
    <t>ES-094-03/12</t>
  </si>
  <si>
    <t>MSES57371</t>
  </si>
  <si>
    <t>SEC.19 W2NE SENE W2NW SENW SW, SEC.21 N2N2 SWNE NESE LESS THAN 10 ACQ IN SQUARE IN NE CORNER S2SE, SEC.22 N2NW,SWNW,N2SENW,SWSW,N2SE,N2SWSE,SESE. SEC.23 N2SW</t>
  </si>
  <si>
    <t>ES-088-03/12</t>
  </si>
  <si>
    <t>MSES57368</t>
  </si>
  <si>
    <t>ES-085-03/12</t>
  </si>
  <si>
    <t>MSES57366</t>
  </si>
  <si>
    <t>ST.STEPHENS T6N R8W</t>
  </si>
  <si>
    <t>SEC.26 E2 E2NW NWNW SWNW LESS A 10 ACRE RECTANGLE STRIP ON THE WEST SIDE; SEC.27, NENE,W2E2,W2,NESE SEC.28 ALL</t>
  </si>
  <si>
    <t>ES-083-03/12</t>
  </si>
  <si>
    <t>MSES57369</t>
  </si>
  <si>
    <t>SEC.7 ALL, SEC.8 ALL, SEC.9 NE NWNW S2NW, S2 SEC.10 S2NW</t>
  </si>
  <si>
    <t>ES-086-03/12</t>
  </si>
  <si>
    <t>MSES57365</t>
  </si>
  <si>
    <t>SEC.25 NW,NWSW</t>
  </si>
  <si>
    <t>ES-082-03/12</t>
  </si>
  <si>
    <t>MSES57364</t>
  </si>
  <si>
    <t>SEC.22 ALL, SEC.23 N2 N2SW SWSW S2SE, SEC.24 ALL</t>
  </si>
  <si>
    <t>ES-081-03/12</t>
  </si>
  <si>
    <t>MSES57363</t>
  </si>
  <si>
    <t>SEC.17 N2 SW W2SE, SEC.19 ALL, SEC.20 ALL</t>
  </si>
  <si>
    <t>ES-080-03/12</t>
  </si>
  <si>
    <t>MSES57370</t>
  </si>
  <si>
    <t>ES-087-03/12</t>
  </si>
  <si>
    <t>MSES57373</t>
  </si>
  <si>
    <t>WASHINGTON T7N R4E</t>
  </si>
  <si>
    <t>SEC.32 W2NE</t>
  </si>
  <si>
    <t>ES-090-03/12</t>
  </si>
  <si>
    <t>MSES57361</t>
  </si>
  <si>
    <t>SEC.5 NE SWNW SW N2SE SEC.6 NWNE S2N2 SW W2SE SESE SEC.7 N2 W2SW SE SEC.8 ALL</t>
  </si>
  <si>
    <t>ES-078-03/12</t>
  </si>
  <si>
    <t>MSES57362</t>
  </si>
  <si>
    <t>SEC.10 N2NE SWNE S2NW N2SW SWSW NWSE S2SE SEC.12 ALL SEC.13 ALL SEC.15 N2NE SENE E2SE</t>
  </si>
  <si>
    <t>ES-079-03/12</t>
  </si>
  <si>
    <t>MSES57360</t>
  </si>
  <si>
    <t>SEC.5 SWSE</t>
  </si>
  <si>
    <t>ES-077-03/12</t>
  </si>
  <si>
    <t>MSES57356</t>
  </si>
  <si>
    <t>CHOCTAW T4N R9E</t>
  </si>
  <si>
    <t>SEC.12 E2SESE SEC.33 10 ACRES IN FORM OF A SQUARE IN NE CORNER OF SENW, THE SOUTH 5 ACRES OF EAST 10 ACRES OF SENW, SEC.35 5 ACRES DESCRIBED AS BEG. AT SW CORNER OF SWNE, E 220 YARD, N 110 YARDS, W 220 YARDS, S 110 YARDS TO POB</t>
  </si>
  <si>
    <t>ES-073-03/12</t>
  </si>
  <si>
    <t>MSES57359</t>
  </si>
  <si>
    <t xml:space="preserve">SEC.1 ALL, SEC.2 N2NE W2 W2SE , SEC.3 N2 E2SW W2SE, SEC.4 W2NE NW N2SW S2SW LESS A 1 ACRE EXCEPTION DESCRIBED AS FOLLOWS BEG. AT A POINT 7.71 CHAINS N OF SE CORNER OF SWSW OF SEC.4 THENCE W 0.39 CHAINS THENCE N 3.17 CHAINS THENCE E 3.17 CHAINS THENCE S 3.17 CHAINS THENCE W 2.78 CHAINS TO THE POINT OF BEG. </t>
  </si>
  <si>
    <t>ES-076-03/12</t>
  </si>
  <si>
    <t>MSES57358</t>
  </si>
  <si>
    <t>CHOCTAW T5N R8E</t>
  </si>
  <si>
    <t>SEC.30 W2SE,W2SW LESS 8 ACRES IN NW CORNER DESCRIBED AS FOLLOWS BEG AT NW CORNER OF SW THENCE S 9.65 CHAINS THENCE E 8.29 CHAINS THENCE N 9.65 CHAINS THENCE W 8.29 CHAINS TO PLACE OF BEG</t>
  </si>
  <si>
    <t>ES-075-03/12</t>
  </si>
  <si>
    <t>MSES57357</t>
  </si>
  <si>
    <t>SEC.8 W2E2 W2</t>
  </si>
  <si>
    <t>ES-074-03/12</t>
  </si>
  <si>
    <t>LAES57346</t>
  </si>
  <si>
    <t>NATCHITOCHES PARISH</t>
  </si>
  <si>
    <t>LOUISIANA T5N R7W</t>
  </si>
  <si>
    <t>SEC.15 N2SW, SEC.16 S2NENW,NESENW,S2SENW, SEC.17 N2N2N2NE,SENE,S2SWNE,NW,E 25 ACRES OF NESW,NESESW,N2NWSE,N2S2SE, SEC.18 NE W2 NWSE SESE, SEC.19 E2 LESS 0.35 ACRE IN SESE, NENWNW,SWNWNW,SWNW,N2SENW,SW</t>
  </si>
  <si>
    <t>ES-063-03/12</t>
  </si>
  <si>
    <t>LAES57340</t>
  </si>
  <si>
    <t>LOUISIANA T5N R6W</t>
  </si>
  <si>
    <t>SEC.23 ALL, SEC.24 E2 NW E2SW SWSW SEC.25 ALL, SEC.26 THAT PART OF TRACT 402a LYING IN THE S/2N/2 AND E/2NESE LESS &amp; EXCEPT 1.65 ACRES QUITCLAIMED CONTAINING 168.69 ACRES</t>
  </si>
  <si>
    <t>ES-057-03/12</t>
  </si>
  <si>
    <t>LAES57339</t>
  </si>
  <si>
    <t>SEC.14 TRACT K-14 IN SENE</t>
  </si>
  <si>
    <t>ES-056-03/12</t>
  </si>
  <si>
    <t>LAES57341</t>
  </si>
  <si>
    <t>ES-058-03/12</t>
  </si>
  <si>
    <t>LAES57304</t>
  </si>
  <si>
    <t>LOUISIANA T14N R4W</t>
  </si>
  <si>
    <t>SEC.14 N2NW SESW SWSE LOTS 2,6,7 SEC.22 NENE SEC.23 SWNW LOT 2 SEC.26 W2,W2NE LOTS 1-5</t>
  </si>
  <si>
    <t>ES-021-03/12</t>
  </si>
  <si>
    <t>LAES57338</t>
  </si>
  <si>
    <t>ES-055-03/12</t>
  </si>
  <si>
    <t>LAES57336</t>
  </si>
  <si>
    <t>SEC.2 LOTS 1,2,3,4 SEC.3 NE W2 SEC.4 N2N2NE SWNE NW S2 SEC.5 N2 NWSW W2SWSW NESE SEC.6 ALL</t>
  </si>
  <si>
    <t>ES-053-03/12</t>
  </si>
  <si>
    <t>LAES57337</t>
  </si>
  <si>
    <t>SEC.7 NW N2SW FRACTION SWSW SESW SEC.8 N2NE NWSW SESW SEC.9 E2 E2E2NENW W2E2NWNW W2NWNW LESS 2.02 ACRES SEC.10 SE SEC.11 LOTS 1,2,3, SW W2SE</t>
  </si>
  <si>
    <t>ES-054-03/12</t>
  </si>
  <si>
    <t>LAES57342</t>
  </si>
  <si>
    <t>SEC.1 ALL SEC.2 ALL SEC.3 ALL</t>
  </si>
  <si>
    <t>ES-059-03/12</t>
  </si>
  <si>
    <t>LAES57343</t>
  </si>
  <si>
    <t>SEC.4 S2NE,S2NENW,W2NW,SENW,S2 SEC.5 ALL SEC.6 ALL</t>
  </si>
  <si>
    <t>ES-060-03/12</t>
  </si>
  <si>
    <t>LAES57344</t>
  </si>
  <si>
    <t>SEC.7 ALL SEC.8 ALL SEC.9 NENE W2NE W2 W2SE SESE SEC.10 N2 NESW S2SW N2SE N2SWSE SESWSE SESE</t>
  </si>
  <si>
    <t>ES-061-03/12</t>
  </si>
  <si>
    <t>LAES57345</t>
  </si>
  <si>
    <t>SEC.11 ALL, SEC.12 N2 LESS SOUTH 14 ACRES IN SENW FR.S2 SEC.13 FR.ALL SEC.14 FR ALL</t>
  </si>
  <si>
    <t>ES-062-03/12</t>
  </si>
  <si>
    <t>LAES57354</t>
  </si>
  <si>
    <t>LOUISIANA T5N R8W</t>
  </si>
  <si>
    <t>SEC.15 N2N2, SEC.16 W2NE SEC.18 NENE SEC.20 E2NESE SEC.21 SENE S2NW NWSW E2SE SEC.22 N2NENW E2NWNW SEC.23 S2N2N2 S2N2 N2NENW S2 SEC.24 NE S2NENW SWNW S2SENW S2</t>
  </si>
  <si>
    <t>ES-071-03/12</t>
  </si>
  <si>
    <t>LAES57353</t>
  </si>
  <si>
    <t>SEC.11 ALL SEC.12 ALL SEC.13 N2 N2S2 SESE NWSWSE SEC.14 N2N2NE E2SENE N2NW LESS 1 ACRE IN SECSENENW SENW</t>
  </si>
  <si>
    <t>ES-070-03/12</t>
  </si>
  <si>
    <t>LAES57352</t>
  </si>
  <si>
    <t>SEC.7 ALL, SEC.8 N2NE SWNE S2SENW W2NW SW W2SE S2NESE SESE SEC.9 N2NE NWNW E2SENW N2S2 SESW SWSE SEC.10 NE E2NW NWNW NWSW S2SESW N2SE SESE</t>
  </si>
  <si>
    <t>ES-069-03/12</t>
  </si>
  <si>
    <t>LAES57350</t>
  </si>
  <si>
    <t>ES-067-03/12</t>
  </si>
  <si>
    <t>LAES57355</t>
  </si>
  <si>
    <t>SEC.25 ALL SEC.26 N2NE TRACT K-2 IN SWNE CONTAINING 19.87 ACRES W2 LESS 140 ACRES WEST OF LA HWY 117 SE SEC.35 ALL LESS 20 ACRES IN W2NW WEST OF HWY LA HWY 117 SEC.36 ALL</t>
  </si>
  <si>
    <t>ES-072-03/12</t>
  </si>
  <si>
    <t>LAES57347</t>
  </si>
  <si>
    <t xml:space="preserve">SEC.20 NENE S2NE W2NW SWSWNENW N2SW LESS 1.97 ACRES SESW SE SEC.21 ALL SEC.22 NENE LESS 4.8 ACRES IN SEC/C W2NW SEC.23 E2E2W2 SWNW E2NWSW SWSWSW E2SWSW LESS 6.18 ACRES SEC.24 NESE </t>
  </si>
  <si>
    <t>ES-064-03/12</t>
  </si>
  <si>
    <t>LAES57348</t>
  </si>
  <si>
    <t>SEC.27 S2N2,NWNW,S2 SEC.28 W2W2 SEC.29 ALL, SEC.30 NE LESS 52.16 ACRES NORTH OF KISATCHIE CREEK W2 SE</t>
  </si>
  <si>
    <t>ES-065-03/12</t>
  </si>
  <si>
    <t>LAES57349</t>
  </si>
  <si>
    <t>SEC.31 ALL SEC.32 ALL SEC.34 N2NENE W2NE SEC.37 ALL</t>
  </si>
  <si>
    <t>ES-066-03/12</t>
  </si>
  <si>
    <t>LAES57351</t>
  </si>
  <si>
    <t>SEC.4 E2 NENW W2NW NWNWSW S2NWSW NESW SWSW SEC.5 ALL SEC.6 ALL</t>
  </si>
  <si>
    <t>ES-068-03/12</t>
  </si>
  <si>
    <t>NMNM128371</t>
  </si>
  <si>
    <t xml:space="preserve">ESPEJO PAID $65,527 FOR 10% WI. R&amp;R'S WI - 0.71 &amp; NRI - 0.52 RESPECTIVELY. </t>
  </si>
  <si>
    <t>NMPM T0240N R0020W</t>
  </si>
  <si>
    <t>SEC.012 E2,E2W2</t>
  </si>
  <si>
    <t>NM-201204-012</t>
  </si>
  <si>
    <t>NMNM128376</t>
  </si>
  <si>
    <t>SEC.036 NE</t>
  </si>
  <si>
    <t>NM-201204-017</t>
  </si>
  <si>
    <t>OKNM128387</t>
  </si>
  <si>
    <t>GARVIN</t>
  </si>
  <si>
    <t>IM T0040N R0020W</t>
  </si>
  <si>
    <t>SEC.025 S2SWSW</t>
  </si>
  <si>
    <t>NM-201204-029</t>
  </si>
  <si>
    <t>MSES57478</t>
  </si>
  <si>
    <t>CHOCTAW T5N R9E</t>
  </si>
  <si>
    <t xml:space="preserve">SEC.2 NESW, SWSW LYING EAST OF ROAD SEC.4 NW LAYING SOUTH OF ROAD NWNE </t>
  </si>
  <si>
    <t>ES-067-06/12</t>
  </si>
  <si>
    <t>MSES57476</t>
  </si>
  <si>
    <t>SEE ATTACHED FOR DESCRIPTIONS</t>
  </si>
  <si>
    <t>ES-065-06/12</t>
  </si>
  <si>
    <t>MSES57491</t>
  </si>
  <si>
    <t>JASPER</t>
  </si>
  <si>
    <t>CHOCTAW T4N R10E</t>
  </si>
  <si>
    <t>SEC.34 W2W2</t>
  </si>
  <si>
    <t>ES-080-06/12</t>
  </si>
  <si>
    <t>MSES57490</t>
  </si>
  <si>
    <t xml:space="preserve">SEC.32 ALL, SEC.33 ALL </t>
  </si>
  <si>
    <t>ES-079-06/12</t>
  </si>
  <si>
    <t>MSES57489</t>
  </si>
  <si>
    <t>SEC.31 E2NE NWNE SENW SWNW S2W2NWNW</t>
  </si>
  <si>
    <t>ES-078-06/12</t>
  </si>
  <si>
    <t>MSES57488</t>
  </si>
  <si>
    <t>SEC.30 ALL</t>
  </si>
  <si>
    <t>ES-077-06/12</t>
  </si>
  <si>
    <t>LAES57462</t>
  </si>
  <si>
    <t>LOUISIANA T6N R7W</t>
  </si>
  <si>
    <t>SEC.17 ALL</t>
  </si>
  <si>
    <t>ES-051-06/12</t>
  </si>
  <si>
    <t>LAES57466</t>
  </si>
  <si>
    <t>SEC.21 ALL SEC.22 ALL</t>
  </si>
  <si>
    <t>ES-055-06/12</t>
  </si>
  <si>
    <t>LAES57467</t>
  </si>
  <si>
    <t>SEC.23 ALL SEC.24 ALL LESS 5.0 ACRES EAST OF HWY 360-1 IN NENE SEC.25 ALL</t>
  </si>
  <si>
    <t>ES-056-06/12</t>
  </si>
  <si>
    <t>LAES57468</t>
  </si>
  <si>
    <t>SEC.26 ALL SEC.27 ALL SEC.28 ALL</t>
  </si>
  <si>
    <t>ES-057-06/12</t>
  </si>
  <si>
    <t>MSES57487</t>
  </si>
  <si>
    <t>ES-076-06/12</t>
  </si>
  <si>
    <t>LAES57461</t>
  </si>
  <si>
    <t>SEC.15 ALL SEC.16 ALL</t>
  </si>
  <si>
    <t>ES-050-06/12</t>
  </si>
  <si>
    <t>MSES57477</t>
  </si>
  <si>
    <t>SEC.4 SWSW, 4.5 ACRES IN THE SW CORNER OF THE NWSW NESW LESS 4.375 ACRES, 4.375 ACRES IN THE NEWSW. SEC.5 E2NE SESW; SEC.6 NWSW</t>
  </si>
  <si>
    <t>ES-066-06/12</t>
  </si>
  <si>
    <t>LAES57452</t>
  </si>
  <si>
    <t>SEC.1 ALL, SEC.2 ALL, SEC.3 ALL</t>
  </si>
  <si>
    <t>ES-041-06/12</t>
  </si>
  <si>
    <t>MSES57475</t>
  </si>
  <si>
    <t>SEC.3 W2NE NENW SW</t>
  </si>
  <si>
    <t>ES-064-06/12</t>
  </si>
  <si>
    <t>MSES57486</t>
  </si>
  <si>
    <t xml:space="preserve">SEC.26 W2 SWSE SEC.27 N2 N2S2 SWSW SESW LESS N2E2W2SESW SWSE SESE LESS 9.50 ACRES IN A SQUARE IN SE CORNER SEC.28 N2 N2S2 SESE </t>
  </si>
  <si>
    <t>ES-075-06/12</t>
  </si>
  <si>
    <t>LAES57455</t>
  </si>
  <si>
    <t>SEC.6 S2N2 NENW S2 SEC.7 ALL</t>
  </si>
  <si>
    <t>ES-044-06/12</t>
  </si>
  <si>
    <t>LAES57454</t>
  </si>
  <si>
    <t>SEC.5 ALL</t>
  </si>
  <si>
    <t>ES-043-06/12</t>
  </si>
  <si>
    <t>LAES57456</t>
  </si>
  <si>
    <t>SEC.8 ALL</t>
  </si>
  <si>
    <t>ES-045-06/12</t>
  </si>
  <si>
    <t>LAES57459</t>
  </si>
  <si>
    <t>SEC.11 ALL SEC.12 ALL LESS 7.5 ACRES EAST OF HWY 360-1 IN SE SEC.13 ALL LESS 40.0 ACRES EAST OF HWY 360-1 IN E2</t>
  </si>
  <si>
    <t>ES-048-06/12</t>
  </si>
  <si>
    <t>MSES57498</t>
  </si>
  <si>
    <t>ST.STEPHENS T1S R12W</t>
  </si>
  <si>
    <t>SEC.24 SWSE</t>
  </si>
  <si>
    <t>ES-087-06/12</t>
  </si>
  <si>
    <t>LAES57469</t>
  </si>
  <si>
    <t>ES-058-06/12</t>
  </si>
  <si>
    <t>LAES57465</t>
  </si>
  <si>
    <t xml:space="preserve">SEC.20 ALL </t>
  </si>
  <si>
    <t>ES-054-06/12</t>
  </si>
  <si>
    <t>LAES57464</t>
  </si>
  <si>
    <t>SEC.19 N2 NESW LESS 5.87 ACRES IN S2NESW S2SW SE</t>
  </si>
  <si>
    <t>ES-053-06/12</t>
  </si>
  <si>
    <t>LAES57463</t>
  </si>
  <si>
    <t>SEC.18 ALL</t>
  </si>
  <si>
    <t>ES-052-06/12</t>
  </si>
  <si>
    <t>LAES57471</t>
  </si>
  <si>
    <t>SEC.29 SWNWSW N2SE 50% US MINERAL INTEREST</t>
  </si>
  <si>
    <t>ES-060-06/12</t>
  </si>
  <si>
    <t>LAES57470</t>
  </si>
  <si>
    <t>ES-059-06/12</t>
  </si>
  <si>
    <t>LAES57458</t>
  </si>
  <si>
    <t>ES-047-06/12</t>
  </si>
  <si>
    <t>LAES57457</t>
  </si>
  <si>
    <t>SEC.9 ALL</t>
  </si>
  <si>
    <t>ES-046-06/12</t>
  </si>
  <si>
    <t>LAES57460</t>
  </si>
  <si>
    <t>SEC.14 ALL</t>
  </si>
  <si>
    <t>ES-049-06/12</t>
  </si>
  <si>
    <t>LAES57453</t>
  </si>
  <si>
    <t>SEC.4 ALL</t>
  </si>
  <si>
    <t>ES-042-06/12</t>
  </si>
  <si>
    <t>MSES57494</t>
  </si>
  <si>
    <t>SEE LEASE FOR DESCRIPTION</t>
  </si>
  <si>
    <t>ES-083-06/12</t>
  </si>
  <si>
    <t>MSES57495</t>
  </si>
  <si>
    <t>SEC.1 SWNE SESW NESE SEC.12 NE SENW N2SW NESE SEC.28 SENW SEC.29 E2NE NW NESW W2SE SEC.30 E2 SENW NESW S2SW SEC.31 W2W2 SENW NESW SEC.32 S2SE</t>
  </si>
  <si>
    <t>ES-084-06/12</t>
  </si>
  <si>
    <t>MSES57496</t>
  </si>
  <si>
    <t>SEC.11 SENE, SEC.13 SWSW</t>
  </si>
  <si>
    <t>ES-085-06/12</t>
  </si>
  <si>
    <t>MSES57497</t>
  </si>
  <si>
    <t>SEC.19 SESE SEC.24 S2NE SEC.31 NENW SESW</t>
  </si>
  <si>
    <t>ES-086-06/12</t>
  </si>
  <si>
    <t>LAES57473</t>
  </si>
  <si>
    <t>LOUISIANA T9N R3W</t>
  </si>
  <si>
    <t>SEC.11 TRACT C-681 IN S2NE LYING WEST OF PIERRE JOSEPH MASS SURVEY NWSE N2SW SWSW</t>
  </si>
  <si>
    <t>ES-062-06/12</t>
  </si>
  <si>
    <t>LAES57474</t>
  </si>
  <si>
    <t>SEC.15 E2NE NESE SEC.21 E2NE E2W2NE SEC.22 SWNW SEC.26 SENW SEC.27 NE SEC.35 E2NE SEC.36 W2NW SENW NESW</t>
  </si>
  <si>
    <t>ES-063-06/12</t>
  </si>
  <si>
    <t>LAES57472</t>
  </si>
  <si>
    <t>SEC.3 E2NE W2SESE SEC.7 NWNE SEC.10 W2SENW E2SE</t>
  </si>
  <si>
    <t>ES-061-06/12</t>
  </si>
  <si>
    <t>MSES57492</t>
  </si>
  <si>
    <t>CHOCTAW T5N R7E</t>
  </si>
  <si>
    <t>ES-081-06/12</t>
  </si>
  <si>
    <t>MSES57493</t>
  </si>
  <si>
    <t>ES-082-06/12</t>
  </si>
  <si>
    <t>NMNM128839</t>
  </si>
  <si>
    <t>HIDALGO</t>
  </si>
  <si>
    <t>NMPM T0290S R0140W</t>
  </si>
  <si>
    <t>SEC.20 NENE S2N2 S2; SEC.29 ALL, SEC.30 LOTS 2-4 E2 E2W2; SEC.31 LOTS 1-4 E2 E2W2</t>
  </si>
  <si>
    <t>NMNM128840</t>
  </si>
  <si>
    <t>SEC.21 ALL, SEC.22 ALL, SEC.27 ALL, SEC.28 ALL</t>
  </si>
  <si>
    <t>NMNM128841</t>
  </si>
  <si>
    <t>NMPM T0300S R0140W</t>
  </si>
  <si>
    <t>SEC.001 LOTS 1-14, SEC.001 S2NW SW, SEC.012 LOTS 1-12 W2</t>
  </si>
  <si>
    <t>NMNM128842</t>
  </si>
  <si>
    <t>SEC.013 LOTS 1-12 W2 SEC.24 LOTS 1-12 W2</t>
  </si>
  <si>
    <t>NMNM128843</t>
  </si>
  <si>
    <t>SEC.014 ALL SEC.022 ALL SEC.023 ALL</t>
  </si>
  <si>
    <t>NMNM128844</t>
  </si>
  <si>
    <t>SEC.029 NE</t>
  </si>
  <si>
    <t>OKNM128849</t>
  </si>
  <si>
    <t>KAY</t>
  </si>
  <si>
    <t>IM T0270N R0040E</t>
  </si>
  <si>
    <t>SEC.027 NW TR 1272</t>
  </si>
  <si>
    <t>OKNM128850</t>
  </si>
  <si>
    <t>IM T0270N R0050E</t>
  </si>
  <si>
    <t>SEC.031 1,2(TR 334-3) SWNE TR 305 E2NW TR 334-3 W2SE TR 302</t>
  </si>
  <si>
    <t>TXNM128851</t>
  </si>
  <si>
    <t>FANNIN</t>
  </si>
  <si>
    <t>TX T147</t>
  </si>
  <si>
    <t>TR 372-A 418-D 450-B 545-A; TR 578-A 600 623 624 625, TR 626 628 629 630 631, TR 684-A 687 793 1202</t>
  </si>
  <si>
    <t>TXNM128852</t>
  </si>
  <si>
    <t>TR 253-2 312-A 418-C 442-B, TR 450-A,519-B,565-B,632, TR 633 633-A 638 640-A 678, TR 679 680 681 682 1200</t>
  </si>
  <si>
    <t>TXNM128853</t>
  </si>
  <si>
    <t>TR 73-A 156-B 450 519-E, TR 532 572-1 598-B 636 639 TR 640 640-B 641 647 649, TR 656 671 672 672-A 673 TR 674 675 724 727 906 990</t>
  </si>
  <si>
    <t>TXNM128857</t>
  </si>
  <si>
    <t>T403</t>
  </si>
  <si>
    <t>TR S-2A-C. SEE ATTACHED M&amp;B'S W/MAP;</t>
  </si>
  <si>
    <t>TXNM128858</t>
  </si>
  <si>
    <t>JASPER &amp; SABINE</t>
  </si>
  <si>
    <t>TR S-2K-IV PARCEL #1 SEE ATTACHED M&amp;B'S W/MAP; NOTE - 2063.93 ACRES IN SABINE &amp; 64.00 ACRES IN JASPER COUNTY</t>
  </si>
  <si>
    <t>MSES57576</t>
  </si>
  <si>
    <t>T5N R7E MERIDIAN CHOCTAW</t>
  </si>
  <si>
    <t>SEC.26 NWNW</t>
  </si>
  <si>
    <t>ES-055-09/12</t>
  </si>
  <si>
    <t>MSES57577</t>
  </si>
  <si>
    <t>SEC.33, 4 ACRES IN SWNW</t>
  </si>
  <si>
    <t>ES-056-09/12</t>
  </si>
  <si>
    <t>MSES57578</t>
  </si>
  <si>
    <t>T5N R8E MERIDIAN CHOCTAW</t>
  </si>
  <si>
    <t>ES-057-09/12</t>
  </si>
  <si>
    <t>MSES57579</t>
  </si>
  <si>
    <t>T4N R9E MERIDIAN CHOCTAW</t>
  </si>
  <si>
    <t>SEC.1 SWNE W2SE</t>
  </si>
  <si>
    <t>ES-058-09/12</t>
  </si>
  <si>
    <t>MSES57580</t>
  </si>
  <si>
    <t>ES-059-09/12</t>
  </si>
  <si>
    <t>MSES57581</t>
  </si>
  <si>
    <t>T5N R9E MERIDIAN CHOCTAW</t>
  </si>
  <si>
    <t>SEC 9 S2 SEC 10 W2SW S2SWNW SEC 14 5.75 ACRES WEST OF ROAD IN THE NWNW</t>
  </si>
  <si>
    <t>ES-060-09/12</t>
  </si>
  <si>
    <t>MSES57582</t>
  </si>
  <si>
    <t>SEC.20 N2SE LESS 5 ACRES IN THE NW CORNER E2SWSE SEC.29 E2NWNE</t>
  </si>
  <si>
    <t>ES-061-09/12</t>
  </si>
  <si>
    <t>MSES57583</t>
  </si>
  <si>
    <t>T5N R4E MERIDIAN WASHINGTON</t>
  </si>
  <si>
    <t>ES-062-09/12</t>
  </si>
  <si>
    <t>MSES57584</t>
  </si>
  <si>
    <t>SEC.11 W2NE N2NWSE SESE</t>
  </si>
  <si>
    <t>ES-063-09/12</t>
  </si>
  <si>
    <t>MSES57585</t>
  </si>
  <si>
    <t>ES-064-09/12</t>
  </si>
  <si>
    <t>MSES57586</t>
  </si>
  <si>
    <t>ES-065-09/12</t>
  </si>
  <si>
    <t>MSES57587</t>
  </si>
  <si>
    <t>SEC 18 TRACT H-1108 BEING 3.32 ACRES LYING IN THE S2SENWSE</t>
  </si>
  <si>
    <t>ES-066-09/12</t>
  </si>
  <si>
    <t>LAES57522</t>
  </si>
  <si>
    <t>T6N R1E MERIDIAN LOUISIANA</t>
  </si>
  <si>
    <t>SEC 1 W2 LESS 4.82 ACRS IN S2S2SW (LOTS 3,4,5) SEC 2 E2NE FRL E2SW N2SE</t>
  </si>
  <si>
    <t>SEC 4 N2NE LESS 4 ACRES ON EAST SIDE OF NENE NENW</t>
  </si>
  <si>
    <t>ES-001-09/12</t>
  </si>
  <si>
    <t>LAES57523</t>
  </si>
  <si>
    <t xml:space="preserve">SEC 5 N2 AND NESW ALL LYING NORTH OF BIG CREEK SEC 6 TRACK IN NE NORTH </t>
  </si>
  <si>
    <t>OF BIG CREEK</t>
  </si>
  <si>
    <t>ES-002-09/12</t>
  </si>
  <si>
    <t>LAES57524</t>
  </si>
  <si>
    <t>SEC 7 W2SW SEC 9 S2NE SWNW S2</t>
  </si>
  <si>
    <t>ES-003-09/12</t>
  </si>
  <si>
    <t>LAES57525</t>
  </si>
  <si>
    <t>SEC 10 FRL. N2NE S2N2 S2</t>
  </si>
  <si>
    <t>ES-004-09/12</t>
  </si>
  <si>
    <t>LAES57527</t>
  </si>
  <si>
    <t>SEC 11 FRL ENTIRE SECTION</t>
  </si>
  <si>
    <t>ES-006-09/12</t>
  </si>
  <si>
    <t>LAES57528</t>
  </si>
  <si>
    <t>SEC 12 FRL. W2NW SEC 13 FRL. N2SW S2SW SE</t>
  </si>
  <si>
    <t>ES-007-09/12</t>
  </si>
  <si>
    <t>LAES57529</t>
  </si>
  <si>
    <t>SEC 13 TRACT C-120 IN THE E2NE</t>
  </si>
  <si>
    <t>ES-008-09/12</t>
  </si>
  <si>
    <t>LAES57530</t>
  </si>
  <si>
    <t>SEC 14 7 39 TRACT C-1749 IN N2NESE OF SECS 14 &amp; 39 &amp; N2SWSE OF SEC 14</t>
  </si>
  <si>
    <t>TRACT C-1472 IN NWSE OF SECS 14 &amp; 39 TRACT C-85 IN NESE OF SECS 14 &amp; 39</t>
  </si>
  <si>
    <t>ES-009-09/12</t>
  </si>
  <si>
    <t>LAES57531</t>
  </si>
  <si>
    <t>SEC 15 ALL</t>
  </si>
  <si>
    <t>ES-010-09/12</t>
  </si>
  <si>
    <t>LAES57532</t>
  </si>
  <si>
    <t>SEC 20 E2 SESW</t>
  </si>
  <si>
    <t>ES-011-09/12</t>
  </si>
  <si>
    <t>LAES57533</t>
  </si>
  <si>
    <t>SEC 21 N2 W2SW SESW NESE</t>
  </si>
  <si>
    <t>ES-012-09/12</t>
  </si>
  <si>
    <t>LAES57534</t>
  </si>
  <si>
    <t xml:space="preserve">SEC 22 NWNE N2NW SEC 23 SENE S2S2 NESE SEC 24 W2E2 LESS 4 ACRES IN </t>
  </si>
  <si>
    <t>NWNE NW</t>
  </si>
  <si>
    <t>ES-013-09/12</t>
  </si>
  <si>
    <t>LAES57535</t>
  </si>
  <si>
    <t>SEC 26 ALL THE LESS SWSENW</t>
  </si>
  <si>
    <t>ES-014-09/12</t>
  </si>
  <si>
    <t>LAES57536</t>
  </si>
  <si>
    <t>SEC 27 ALL</t>
  </si>
  <si>
    <t>ES-015-09/12</t>
  </si>
  <si>
    <t>LAES57537</t>
  </si>
  <si>
    <t>SEC 28 NWNE S2N2 S2</t>
  </si>
  <si>
    <t>ES-016-09/12</t>
  </si>
  <si>
    <t>LAES57538</t>
  </si>
  <si>
    <t>SEC 29 E2 NENW E2E2SENW</t>
  </si>
  <si>
    <t>ES-017-09/12</t>
  </si>
  <si>
    <t>LAES57539</t>
  </si>
  <si>
    <t>SEC 32 NE E2NW PART OF W2NW N2SE SESE</t>
  </si>
  <si>
    <t>ES-018-09/12</t>
  </si>
  <si>
    <t>LAES57540</t>
  </si>
  <si>
    <t>SEC 33 ALL</t>
  </si>
  <si>
    <t>ES-019-09/12</t>
  </si>
  <si>
    <t>LAES57541</t>
  </si>
  <si>
    <t>SEC 34 N2NE SWNE NW NESW S2NWSW S2SW W2SE SESE</t>
  </si>
  <si>
    <t>ES-020-09/12</t>
  </si>
  <si>
    <t>LAES57542</t>
  </si>
  <si>
    <t>SEC 38 TRACT C-59 IN N2</t>
  </si>
  <si>
    <t>ES-021-09/12</t>
  </si>
  <si>
    <t>LAES57543</t>
  </si>
  <si>
    <t>T9N R2W MERIDIAN LOUISIANA</t>
  </si>
  <si>
    <t>SEC 2 SENE S2S2NWSW N2SE SEC 4 N2NW SENW SEC 5 ALL OF TRACT C-1685</t>
  </si>
  <si>
    <t>LYING IN THE NE &amp; SENW; SEC 11 NESW S2SENW</t>
  </si>
  <si>
    <t>ES-022-09/12</t>
  </si>
  <si>
    <t>LAES57544</t>
  </si>
  <si>
    <t>SEC 18 S2SW SEC 19 NE NESE</t>
  </si>
  <si>
    <t>ES-023-09/12</t>
  </si>
  <si>
    <t>LAES57545</t>
  </si>
  <si>
    <t xml:space="preserve">SEC 28 SESE SEC 30 S2NE S2NENE N2NW SEC 32 S2SW SEC 34 W2SW SEC 36 </t>
  </si>
  <si>
    <t>NENE</t>
  </si>
  <si>
    <t>ES-024-09/12</t>
  </si>
  <si>
    <t>LAES57546</t>
  </si>
  <si>
    <t>T6N R6W MERIDIAN LOUISIANA</t>
  </si>
  <si>
    <t>SEC 4 SWSW</t>
  </si>
  <si>
    <t>ES-025-09/12</t>
  </si>
  <si>
    <t>LAES57547</t>
  </si>
  <si>
    <t xml:space="preserve">SEC 6 ALL LAND WEST OF RD 339 LESS &amp; EXCEPT THE NENE </t>
  </si>
  <si>
    <t>SEC 7 ALL LAND WEST OF RD 339 (37.50 AC)</t>
  </si>
  <si>
    <t>ES-026-09/12</t>
  </si>
  <si>
    <t>LAES57548</t>
  </si>
  <si>
    <t>SEC 19 ALL LAND SOUTH &amp; WEST OF FOREST HIGHWAY 59</t>
  </si>
  <si>
    <t>ES-027-09/12</t>
  </si>
  <si>
    <t>LAES57549</t>
  </si>
  <si>
    <t xml:space="preserve">SEC 20 PART OF TRACT K-2 IN SESE AS PART OF LONGLEAF TRAIL (35.30 AC) </t>
  </si>
  <si>
    <t>SEC 21 PART OF TRACT K-2 IN SWSW AS PART OF LONGLEAF TRAIL VISTA RECREATION AREA (47.70 AC)</t>
  </si>
  <si>
    <t>ES-028-09/12</t>
  </si>
  <si>
    <t>LAES57550</t>
  </si>
  <si>
    <t>SEC 22 TRACT K-15 IN THE E2SE</t>
  </si>
  <si>
    <t>ES-029-09/12</t>
  </si>
  <si>
    <t>LAES57551</t>
  </si>
  <si>
    <t>SEC 22 TRACT K-178 IN THE N2SE SEC 23 N2 SW</t>
  </si>
  <si>
    <t>ES-030-09/12</t>
  </si>
  <si>
    <t>LAES57552</t>
  </si>
  <si>
    <t>SEC 26 TRACT K-178 IN SENE E2SWNE SW EAST OF LA 119; SE LESS SENESE</t>
  </si>
  <si>
    <t>ES-031-09/12</t>
  </si>
  <si>
    <t>LAES57553</t>
  </si>
  <si>
    <t xml:space="preserve">SEC 28 TRACT K-2 IN N2NW AS PART OF LONGLEAF TRAIL VISTA RECREATION </t>
  </si>
  <si>
    <t>AREA</t>
  </si>
  <si>
    <t>ES-032-09/12</t>
  </si>
  <si>
    <t>LAES57554</t>
  </si>
  <si>
    <t>SEC 28 SWSW SOUTH AND WEST OF FOREST HIGHWAY 59</t>
  </si>
  <si>
    <t>ES-033-09/12</t>
  </si>
  <si>
    <t>LAES57555</t>
  </si>
  <si>
    <t>SEC 29 ALL LAND SOUTH AND WEST OF FOREST HIGHWAY 59</t>
  </si>
  <si>
    <t>ES-034-09/12</t>
  </si>
  <si>
    <t>LAES57556</t>
  </si>
  <si>
    <t>SEC 29 THAT PART OF TRACT K-2 IN NE &amp; NESE AS PART OF LONGLEAF TRAIL</t>
  </si>
  <si>
    <t>VISTA RECREATIONAL AREA</t>
  </si>
  <si>
    <t>ES-035-09/12</t>
  </si>
  <si>
    <t>LAES57557</t>
  </si>
  <si>
    <t>ES-036-09/12</t>
  </si>
  <si>
    <t>LAES57558</t>
  </si>
  <si>
    <t>SEC 31 ALL</t>
  </si>
  <si>
    <t>ES-037-09/12</t>
  </si>
  <si>
    <t>LAES57559</t>
  </si>
  <si>
    <t>SEC 32 ALL</t>
  </si>
  <si>
    <t>ES-038-09/12</t>
  </si>
  <si>
    <t>LAES57560</t>
  </si>
  <si>
    <t>SEC 33 ALL LAND SOUTH OF FOREST HIGHWAY 59</t>
  </si>
  <si>
    <t>ES-039-09/12</t>
  </si>
  <si>
    <t>LAES57561</t>
  </si>
  <si>
    <t>SEC 34 ALL LAND SOUTH OF FOREST HIGHWAY 59 LESS &amp; EXCEPT 9.96 ACRES</t>
  </si>
  <si>
    <t>IN NESENE</t>
  </si>
  <si>
    <t>ES-040-09/12</t>
  </si>
  <si>
    <t>LAES57562</t>
  </si>
  <si>
    <t>SEC 35 NENE W2NE W2 LESS &amp; EXCEPT 12.5 ACRES IN NWNW</t>
  </si>
  <si>
    <t>ES-041-09/12</t>
  </si>
  <si>
    <t>LAES57563</t>
  </si>
  <si>
    <t>VERNON</t>
  </si>
  <si>
    <t>T1N R7W MERIDIAN LOUISIANA</t>
  </si>
  <si>
    <t>SEC 13 S2NE NWNW SWSW SE SEC 14 N2NE SWNE W2 NESE S2SE</t>
  </si>
  <si>
    <t>ES-042-09/12</t>
  </si>
  <si>
    <t>LAES57564</t>
  </si>
  <si>
    <t>SEC 15 E2E2 SWSW SEC 16 SWNW S2S2 NESE</t>
  </si>
  <si>
    <t>ES-043-09/12</t>
  </si>
  <si>
    <t>LAES57565</t>
  </si>
  <si>
    <t>SEC 17 NE N2NW N2SENW S2</t>
  </si>
  <si>
    <t>ES-044-09/12</t>
  </si>
  <si>
    <t>LAES57566</t>
  </si>
  <si>
    <t>SEC 18 E2 NENW NENWNW S2NWNW S2NW E2SW SEC 19 S2NE NENW E2SE</t>
  </si>
  <si>
    <t>ES-045-09/12</t>
  </si>
  <si>
    <t>LAES57567</t>
  </si>
  <si>
    <t>SEC 20 ALL LESS 39.80 ACRES (TRACT V-10) IN E2 SEC 21 NE NENW S2NW S2</t>
  </si>
  <si>
    <t>ES-046-09/12</t>
  </si>
  <si>
    <t>LAES57568</t>
  </si>
  <si>
    <t>SEC 22 ALL SEC 23 N2N2 SWNW S2NESW NWSW S2SW W2SE E2SESE</t>
  </si>
  <si>
    <t>ES-047-09/12</t>
  </si>
  <si>
    <t>LAES57569</t>
  </si>
  <si>
    <t>SEC 24 ALL</t>
  </si>
  <si>
    <t>ES-048-09/12</t>
  </si>
  <si>
    <t>LAES57570</t>
  </si>
  <si>
    <t>SEC 25 N2 N2SW SESW SE SEC 26 N2 SW N2SE SWSE</t>
  </si>
  <si>
    <t>ES-049-09/12</t>
  </si>
  <si>
    <t>LAES57571</t>
  </si>
  <si>
    <t>SEC 27 ALL SEC 28 ALL</t>
  </si>
  <si>
    <t>ES-050-09/12</t>
  </si>
  <si>
    <t>LAES57572</t>
  </si>
  <si>
    <t>SEC 29 N2 N2S2 SESW S2SE LESS 14.0 ACRES (TRACT V-10) SEC 30 E2NE SWNW</t>
  </si>
  <si>
    <t>NWSW S2SW W2SE</t>
  </si>
  <si>
    <t>ES-051-09/12</t>
  </si>
  <si>
    <t>LAES57573</t>
  </si>
  <si>
    <t>SEC 31 NENE S2NE NW S2 SEC 32 W2NW S2</t>
  </si>
  <si>
    <t>ES-052-09/12</t>
  </si>
  <si>
    <t>LAES57574</t>
  </si>
  <si>
    <t>SEC 33 E2 N2NW SENW NWSW SEC 34 ALL</t>
  </si>
  <si>
    <t>ES-053-09/12</t>
  </si>
  <si>
    <t>LAES57575</t>
  </si>
  <si>
    <t>SEC 35 NWNE S2NE NW S2 SEC 36 E2</t>
  </si>
  <si>
    <t>ES-054-09/12</t>
  </si>
  <si>
    <t>LAES57608</t>
  </si>
  <si>
    <t>LAFOURCHE PARISH</t>
  </si>
  <si>
    <t>T14S R18E MERIDIAN LOUISIANA</t>
  </si>
  <si>
    <t>SEC 19 S2SW</t>
  </si>
  <si>
    <t>ES-002-12/12</t>
  </si>
  <si>
    <t>LAES57609</t>
  </si>
  <si>
    <t>LEASE NOT YET ISSUED - UNDER PROTEST</t>
  </si>
  <si>
    <t>LAES57610</t>
  </si>
  <si>
    <t>LAES57611</t>
  </si>
  <si>
    <t>LAES57612</t>
  </si>
  <si>
    <t>LAES57613</t>
  </si>
  <si>
    <t>LAES57614</t>
  </si>
  <si>
    <t>LAES57615</t>
  </si>
  <si>
    <t>LAES57616</t>
  </si>
  <si>
    <t>LAES57617</t>
  </si>
  <si>
    <t>LAES57618</t>
  </si>
  <si>
    <t>LAES57619</t>
  </si>
  <si>
    <t>LAES57620</t>
  </si>
  <si>
    <t>LAES57621</t>
  </si>
  <si>
    <t>LAES57622</t>
  </si>
  <si>
    <t>LAES57623</t>
  </si>
  <si>
    <t>LAES57624</t>
  </si>
  <si>
    <t>LAES57625</t>
  </si>
  <si>
    <t>LAES57626</t>
  </si>
  <si>
    <t>LAES57627</t>
  </si>
  <si>
    <t>LAES57628</t>
  </si>
  <si>
    <t>LAES57629</t>
  </si>
  <si>
    <t>LAES57630</t>
  </si>
  <si>
    <t>LAES57631</t>
  </si>
  <si>
    <t>LAES57632</t>
  </si>
  <si>
    <t>LAES57633</t>
  </si>
  <si>
    <t>LAES57634</t>
  </si>
  <si>
    <t>LAES57635</t>
  </si>
  <si>
    <t>LAES57636</t>
  </si>
  <si>
    <t>LAES57637</t>
  </si>
  <si>
    <t>LAES57638</t>
  </si>
  <si>
    <t>LAES57639</t>
  </si>
  <si>
    <t>LAES57640</t>
  </si>
  <si>
    <t>LAES57641</t>
  </si>
  <si>
    <t>LAES57642</t>
  </si>
  <si>
    <t>LAES57643</t>
  </si>
  <si>
    <t>LAES57644</t>
  </si>
  <si>
    <t>LAES57645</t>
  </si>
  <si>
    <t>LAES57646</t>
  </si>
  <si>
    <t>LAES57647</t>
  </si>
  <si>
    <t>LAES57648</t>
  </si>
  <si>
    <t>LAES57649</t>
  </si>
  <si>
    <t>LAES57650</t>
  </si>
  <si>
    <t>LAES57651</t>
  </si>
  <si>
    <t>LAES57652</t>
  </si>
  <si>
    <t>LAES57653</t>
  </si>
  <si>
    <t>LAES57654</t>
  </si>
  <si>
    <t>LAES57655</t>
  </si>
  <si>
    <t>LAES57656</t>
  </si>
  <si>
    <t>LAES57657</t>
  </si>
  <si>
    <t>LAES57658</t>
  </si>
  <si>
    <t>LAES57659</t>
  </si>
  <si>
    <t>LAES57660</t>
  </si>
  <si>
    <t>LAES57661</t>
  </si>
  <si>
    <t>LAES57662</t>
  </si>
  <si>
    <t>LAES57663</t>
  </si>
  <si>
    <t>NMNM129272</t>
  </si>
  <si>
    <t>NMPM T0200S R0380E</t>
  </si>
  <si>
    <t>SEC.022 SWNE S2NW N2SW NWSE</t>
  </si>
  <si>
    <t>NM-201210-017</t>
  </si>
  <si>
    <t>NMNM129725</t>
  </si>
  <si>
    <t xml:space="preserve">NMPM T0080S R0270E </t>
  </si>
  <si>
    <t>SEC.035 ALL;</t>
  </si>
  <si>
    <t>NM-201301-009</t>
  </si>
  <si>
    <t>NMNM129735</t>
  </si>
  <si>
    <t>NMPM T0200N R0090W</t>
  </si>
  <si>
    <t>SEC.030 LOTS 1-4; 030 E2, E2W2</t>
  </si>
  <si>
    <t>NM-201301-019</t>
  </si>
  <si>
    <t>NMNM129736</t>
  </si>
  <si>
    <t>NMPM T0270N R0130W</t>
  </si>
  <si>
    <t>SEC.004 SW</t>
  </si>
  <si>
    <t>NM-201301-020</t>
  </si>
  <si>
    <t>TXNM129750</t>
  </si>
  <si>
    <t>MONTGOMERY/WALKER</t>
  </si>
  <si>
    <t>MONTGOMERY - 170 ACRS, WALKER - 7.77 ACRS</t>
  </si>
  <si>
    <t xml:space="preserve">TRACT J-1-III PARCEL #9 SEE ATTACHED FOR METES &amp; BOUNDS DESCRIPTION WITH MAP </t>
  </si>
  <si>
    <t>NM-201301-034</t>
  </si>
  <si>
    <t>TXNM129757</t>
  </si>
  <si>
    <t>TRACT J-2-I PARCEL #4</t>
  </si>
  <si>
    <t>SEE ATTACHED FOR METES &amp; BOUNDS DESCRIPTION WITH MAP</t>
  </si>
  <si>
    <t>NM-201301-041</t>
  </si>
  <si>
    <t>TXNM129758</t>
  </si>
  <si>
    <t>TRACT J-2-I PARCEL #5</t>
  </si>
  <si>
    <t>NM-201301-042</t>
  </si>
  <si>
    <t>TXNM129759</t>
  </si>
  <si>
    <t>U.S.MINERAL INTEREST 50% - 830.24 ACRS</t>
  </si>
  <si>
    <t xml:space="preserve">TRACT J-2-I PARCEL #6 TRACT J-2-I PARCEL #6A (200.00 ACRS) TRACT J-2-I PARCEL #6B (630.24 ACRS) SEE ATTACHED FOR METES &amp; BOUNDS DESCRIPTION WITH MAP </t>
  </si>
  <si>
    <t>NM-201301-043</t>
  </si>
  <si>
    <t>TXNM129760</t>
  </si>
  <si>
    <t>TRACT J-2-I PARCEL #7</t>
  </si>
  <si>
    <t>NM-201301-044</t>
  </si>
  <si>
    <t>TXNM129770</t>
  </si>
  <si>
    <t>TRACT J-1n</t>
  </si>
  <si>
    <t>NM-2013-01-054</t>
  </si>
  <si>
    <t>TXNM129772</t>
  </si>
  <si>
    <t>TRACT J-632</t>
  </si>
  <si>
    <t>NM-2013-01-056</t>
  </si>
  <si>
    <t>TXNM129782</t>
  </si>
  <si>
    <t>TRACT J-9</t>
  </si>
  <si>
    <t>NM-201301-066</t>
  </si>
  <si>
    <t>TXNM129783</t>
  </si>
  <si>
    <t>SAN JACINTO/WALKER</t>
  </si>
  <si>
    <t>SAN JACINTO - 1002 ACRS, WALKER - 13 ACRS</t>
  </si>
  <si>
    <t>TRACT J-1C SEE ATTACHED FOR METES &amp; BOUNDS DESCRIPTION WITH MAP</t>
  </si>
  <si>
    <t>NM-201301-067</t>
  </si>
  <si>
    <t>TXNM129784</t>
  </si>
  <si>
    <t>TRACT J-58</t>
  </si>
  <si>
    <t>NM-201301-068</t>
  </si>
  <si>
    <t>LAES57696</t>
  </si>
  <si>
    <t>NATCHITOCHES &amp; RED RIVER</t>
  </si>
  <si>
    <t>T12N R7W MERIDIAN LOUISIANA</t>
  </si>
  <si>
    <t>SEC 19 LOT 8 SEC.20 SWNW SEC 30 LOTS 5-14 SEC 31 LOTS 1-16 SEC 32 LOTS 5-12</t>
  </si>
  <si>
    <t>ES-005-03/13</t>
  </si>
  <si>
    <t>MIES57728</t>
  </si>
  <si>
    <t>ROSCOMMON</t>
  </si>
  <si>
    <t>T23N R2W MERIDIAN MICHIGAN</t>
  </si>
  <si>
    <t>SEC 15 SE SEC 22 N2 N2SW</t>
  </si>
  <si>
    <t>ES-037-03/13</t>
  </si>
  <si>
    <t>LAES57700</t>
  </si>
  <si>
    <t>VERNON PARISH</t>
  </si>
  <si>
    <t>T1S R6W MERIDIAN LOUISIANA</t>
  </si>
  <si>
    <t xml:space="preserve">SEC 4 W2W2 SEC 5 ALL SEC 6 ALL </t>
  </si>
  <si>
    <t>ES-009-03/13</t>
  </si>
  <si>
    <t>LAES57701</t>
  </si>
  <si>
    <t>SEC 8 ALL LESS 6.15 ACRES S7E OF HWY 399 IN SESE; SEC 9 NWNW</t>
  </si>
  <si>
    <t>ES-010-03/13</t>
  </si>
  <si>
    <t>LAES57711</t>
  </si>
  <si>
    <t>T3N R2W MERIDIAN LOUISIANA</t>
  </si>
  <si>
    <t>SEC 4 PART OF TRACT E-3 IN W2NW (LOTS 2&amp;3); SEC 5 FR NE FR SENW FR SW FR SE</t>
  </si>
  <si>
    <t>SEC 6 FR NE NW FR S2</t>
  </si>
  <si>
    <t>ES-020-03/13</t>
  </si>
  <si>
    <t>LAES57712</t>
  </si>
  <si>
    <t>SEC 7 NE N2NW SENW S2 SEC 8 FR NE (LOTS 1&amp;2) NW S2 SEC 9 FR SWNW FR N2SW FR S2SW FR SWSE</t>
  </si>
  <si>
    <t>ES-021-03/13</t>
  </si>
  <si>
    <t>LAES57713</t>
  </si>
  <si>
    <t>SEC 15 SENW</t>
  </si>
  <si>
    <t>ES-022-03/13</t>
  </si>
  <si>
    <t>LAES57714</t>
  </si>
  <si>
    <t xml:space="preserve">SEC 15 FR W2W2 (LOT 4 &amp; SWSW) SEC 16 TRACT E-6 IN NE &amp; S2 NW TRACT E-1in </t>
  </si>
  <si>
    <t>S2SE; SEC 17 ALL</t>
  </si>
  <si>
    <t>ES-023-03/13</t>
  </si>
  <si>
    <t>LAES57715</t>
  </si>
  <si>
    <t>SEC 18 ALL SEC 19 ALL SEC 20 ALL</t>
  </si>
  <si>
    <t>ES-024-03/13</t>
  </si>
  <si>
    <t>LAES57716</t>
  </si>
  <si>
    <t>SEC 21 W2NE W2 SE SEC 22 W2NE W2 FR SE SEC 23 S2SENE N2SE SESE AND PT OR</t>
  </si>
  <si>
    <t>NW LYING N OF VALENTINE CREEK, TRACT E-3 CONTAINING 10.5 AC LYING IN THE S2NW &amp; N2SW E2SWSW SESW SWSE</t>
  </si>
  <si>
    <t>ES-025-03/13</t>
  </si>
  <si>
    <t>LAES57717</t>
  </si>
  <si>
    <t>SEC 25 NE N2NW FR SWNW N OF BAYOU BEOEUF SENW NESW N2SE FR SESE</t>
  </si>
  <si>
    <t>SEC 26 E2 FR W2 SEC 27 TRACT 44 IN FR NW TRACT E-2 IN FR SW &amp; SE</t>
  </si>
  <si>
    <t>ES-026-03/13</t>
  </si>
  <si>
    <t>LAES57718</t>
  </si>
  <si>
    <t>SEC 28 N2 W2SENE W2W2E2SENE SWNW S2 SEC 29 NW N2SW SESW SEC 30 ALL</t>
  </si>
  <si>
    <t>ES-027-03/13</t>
  </si>
  <si>
    <t>LAES57719</t>
  </si>
  <si>
    <t xml:space="preserve">SEC 31 ALL SEC 32 ALL SEC 33 ALL </t>
  </si>
  <si>
    <t>ES-028-03/13</t>
  </si>
  <si>
    <t>LAES57720</t>
  </si>
  <si>
    <t>SEC 34 TRACT E2 IN FR N2 S2 SEC 35 ALL SEC 36 W2</t>
  </si>
  <si>
    <t>ES-029-03/13</t>
  </si>
  <si>
    <t>LAES57721</t>
  </si>
  <si>
    <t>SEC 40 ALL SEC 43 TRACT E-79 WEST 536.36 ACRES; SEC 44 ALL</t>
  </si>
  <si>
    <t>ES-030-03/13</t>
  </si>
  <si>
    <t>MSES57733</t>
  </si>
  <si>
    <t>T6N R8E MERIDIAN CHOCTAW</t>
  </si>
  <si>
    <t xml:space="preserve">SEC 3 W2NW SEC 6 NENW W2W2 SESW SEC 7 W2 SEC 18 N2NW LESS ILLINOIS </t>
  </si>
  <si>
    <t>RAILROAD ROW DESCRIBED AS A STRIP OF LAND USED AS ROW FOR Y &amp; M V.R. BEING 100' WIDE OR 50' ON EACH SIDE OF THE FOLLOWING DESCRIBED CENTER LINE: BEGIN. AT A POINT 2.05 CHAINS NORTH OF THE SW CORNER OF N2NW THENCE S 83 E ALONG CENTER LINE OF MAIN TRACK, 16.83 CHAINS TO SOUTH BOUNDARY OF N2NW</t>
  </si>
  <si>
    <t>ES-042-03/13</t>
  </si>
  <si>
    <t>MSES57734</t>
  </si>
  <si>
    <t>MERIDIAN CHOCTAW T6N R8E</t>
  </si>
  <si>
    <t xml:space="preserve">SEC 13 ALL OF S2SW &amp; SWSE LYING SOUTH OF ILLINOIS CENTRAL RAILROAD ROW SEC 14 PART OF E2SESE LYING SOUTH OF ILLINOIS CENTRAL RAILROAD ROW SEC 23 E2 S2NW SW SEC 24 ALL </t>
  </si>
  <si>
    <t>ES-043-03/13</t>
  </si>
  <si>
    <t>MSES57735</t>
  </si>
  <si>
    <t>SEC 21 W2SW SEC 22 E2 W2NW SENW SW. FOR SEC 27  &amp; SEC 28 - SEE LEASE FOR DETAILED DESCRIPTION (TOO LONG)</t>
  </si>
  <si>
    <t>ES-044-03/13</t>
  </si>
  <si>
    <t>MSES57736</t>
  </si>
  <si>
    <t>SEC 25 ALL SEC 26 N2 SW SEC 35 SWNW NWSW NWSE SWSE LESS THAT PART DESCRIBED AS COMMENCING AT A POINT 135 W OF SE CORNER OF SWSE &amp; RUNNING N 200 YARDS, THENCE W 220 YARDS, THENCE S 200 YARDS, THENCE E 220 YARDS TO POINT OF BEGINNING</t>
  </si>
  <si>
    <t>ES-045-03/13</t>
  </si>
  <si>
    <t>MSES57738</t>
  </si>
  <si>
    <t>SEC 29 ALL SEC 31 NW SEC 32 NENW E2NWNW E2SW 12 ACRES OF UNIFORM WIDTH OFF EAST SIDE OF W2SW SWSE SEC 33 - SEE LEASE FOR DESCRIPTION SEC 34 E2 NENW S2NW SW</t>
  </si>
  <si>
    <t>ES-047-03/13</t>
  </si>
  <si>
    <t>MSES57739</t>
  </si>
  <si>
    <t>ES-048-03/13</t>
  </si>
  <si>
    <t>MSES57740</t>
  </si>
  <si>
    <t>MERIDIAN CHOCTAW T6N R9E</t>
  </si>
  <si>
    <t>SEC 7 W2NESE S2SE SEC 8 15 ACRES IN A UNIFORM STRIP ACROSS ENTIRE SOUTH SIDE OF SESW SEC 17 SEE LEASE FOR DETAILED DESCRIPTION (TOO LONG)</t>
  </si>
  <si>
    <t>ES-049-03/13</t>
  </si>
  <si>
    <t>MSES57741</t>
  </si>
  <si>
    <t>SEC 19 ALL SEC 20 &amp; SEC 21 - SEE LEASE FOR DETAILED DESCRIPTION (TOO LONG)</t>
  </si>
  <si>
    <t>ES-050-03/13</t>
  </si>
  <si>
    <t>MSES57742</t>
  </si>
  <si>
    <t xml:space="preserve">SEC 28 W2NW SENW SW W2SE SESE SEC 29 ALL SEC 30 ALL </t>
  </si>
  <si>
    <t>ES-051-03/13</t>
  </si>
  <si>
    <t>MSES57744</t>
  </si>
  <si>
    <t>SEC 31 N2NE W2WNW 30 ACRES OFF NORTH END OF SENE N2SENW SEC 32 N2NE SENE W2NW SEC 33 SEE LEASE FOR DETAILED DESCRIPTION (TOO LONG)</t>
  </si>
  <si>
    <t>ES-053-03/13</t>
  </si>
  <si>
    <t>MSES57745</t>
  </si>
  <si>
    <t>MERIDIAN WASHINGTON T4N R1E</t>
  </si>
  <si>
    <t>SEC 1 TRACT H-1150 LOT 12</t>
  </si>
  <si>
    <t>ES-054-03/13</t>
  </si>
  <si>
    <t>MSES57746</t>
  </si>
  <si>
    <t>SEC 1 N2 LOT1 LOTS 2 &amp; 3 ALL PART OF LOTS 4 &amp; 5 LYING NORTH &amp; EAST OF FREEWOODS ROAD SW N2 OF LOT 6 (ALL BEING TRACT H-1) SEC 3 TRACT H-334</t>
  </si>
  <si>
    <t>ES-055-03/13</t>
  </si>
  <si>
    <t>MSES57747</t>
  </si>
  <si>
    <t xml:space="preserve">SEC 1 LOTS 10 &amp; 11 (BEING TRACT H-105) </t>
  </si>
  <si>
    <t>ES-056-03/13</t>
  </si>
  <si>
    <t>MSES57748</t>
  </si>
  <si>
    <t>SEC 17 TRACT H-141 (ALL)</t>
  </si>
  <si>
    <t>ES-057-03/13</t>
  </si>
  <si>
    <t>MSES57749</t>
  </si>
  <si>
    <t>SEC 24 SWNW SEC 26 A 14.00 ACRE STRIP IN WIDTH ACROSS ENTIRE N SIDE OF SESW SEC 34 N2NE SWNE W2SE SESE SEC 37 S2NE N2SE</t>
  </si>
  <si>
    <t>ES-058-03/13</t>
  </si>
  <si>
    <t>MSES57750</t>
  </si>
  <si>
    <t>SEC 39 NESW LESS 17.22 ACRES IN TRACT H-80</t>
  </si>
  <si>
    <t>ES-059-03/13</t>
  </si>
  <si>
    <t>MSES57751</t>
  </si>
  <si>
    <t>SEC 39 TRACT H-80 (BEING 17.22 AC. IN NESW) DESCRIBED AS BEGINNING AT THE NW/CORNER OF NESW OF SAID 39 THENCE S 0 DEGREES 24'E 14.00 CHAINS THENCE S 89 DEGREES 14'E 12.30 CHAINS THENCE N 0 DEGREES 24'W 14.00 CHAINS THENCE N 89 DEGREES 14'W 12.30 CHAINS TO THE POB</t>
  </si>
  <si>
    <t>ES-060-03/13</t>
  </si>
  <si>
    <t>MSES57752</t>
  </si>
  <si>
    <t>SEC 40 W2NE S2SE SESW NESW LESS A 2.06 AC STRIP ON NORTH &amp; WEST SIDE (TRACTS H-1083, H334a)</t>
  </si>
  <si>
    <t>ES-061-03/13</t>
  </si>
  <si>
    <t>MSES57753</t>
  </si>
  <si>
    <t>MERIDIAN WASHINGTON T5N R4E</t>
  </si>
  <si>
    <t>ES-062-03/13</t>
  </si>
  <si>
    <t>MSES57754</t>
  </si>
  <si>
    <t>MERIDIAN WASHINGTON T6N R3E</t>
  </si>
  <si>
    <t>SEC 37 NWNE</t>
  </si>
  <si>
    <t>ES-063-03/13</t>
  </si>
  <si>
    <t>MSES57822</t>
  </si>
  <si>
    <t>MERIDIAN WASHINGTON, T1N R4E</t>
  </si>
  <si>
    <t xml:space="preserve">SEC.26 E2NW SEC.39 ALL </t>
  </si>
  <si>
    <t>ES-025-09/13</t>
  </si>
  <si>
    <t>MSES57823</t>
  </si>
  <si>
    <t>CHOCTAW T2N R13E</t>
  </si>
  <si>
    <t>SEC.20 SESW SWSE</t>
  </si>
  <si>
    <t>ES-026-09/13</t>
  </si>
  <si>
    <t>MIES57798</t>
  </si>
  <si>
    <t>ALLEGAN</t>
  </si>
  <si>
    <t>MERIDIAN MI T1N R14W</t>
  </si>
  <si>
    <t>SEC 1 N2NWNW SEC 3 E2NW</t>
  </si>
  <si>
    <t>ES-001-09/13</t>
  </si>
  <si>
    <t>MIES57799</t>
  </si>
  <si>
    <t>MERIDIAN MI T1N R15W</t>
  </si>
  <si>
    <t>SEC 2 S2NE EXC S 300 FT OF E 1452 FT E2SW E2SE; SEC 4 N 10 ACRES OF E2NE W2NE</t>
  </si>
  <si>
    <t>E2SW SENW SEC 11 NE SENW E 45 ACRES OF THE N2SE S2SE SEC 12 NW</t>
  </si>
  <si>
    <t>ES-002-09/13</t>
  </si>
  <si>
    <t>MIES57800</t>
  </si>
  <si>
    <t>MERIDIAN MI T2N R14W</t>
  </si>
  <si>
    <t>SEC 3 S 12 ACRES OF NENE NWNE S2NE NW N2SW W2SE SEC 4 NENE SWNE W2SENE</t>
  </si>
  <si>
    <t>NW LOT 4 LOT 5 SWSW E2SE SEC 5 ALL</t>
  </si>
  <si>
    <t>ES-003-09/13</t>
  </si>
  <si>
    <t>MIES57801</t>
  </si>
  <si>
    <t>SEE DETAILED DESCRIPTION ON LEASE (TOO LONG)</t>
  </si>
  <si>
    <t>ES-004-09/13</t>
  </si>
  <si>
    <t>MIES57802</t>
  </si>
  <si>
    <t xml:space="preserve">SEC 15 ALL THAT PART OF W2NE LYING N OF KALAMAZOO RIVER AND ABOVE </t>
  </si>
  <si>
    <t>CONTOUR LINE AT ELEVATION 618 SIX ACCORDING TO USGS DATUM THAT PART OF LOT 1 LYING N OF HWY, THAT PART OF SW LYING ABOVE CONTOUR LINE AT ELEVATION 618 ACCORDING TO USGS</t>
  </si>
  <si>
    <t>ES-005-09/13</t>
  </si>
  <si>
    <t>MIES57803</t>
  </si>
  <si>
    <t>ES-006-09/13</t>
  </si>
  <si>
    <t>MIES57804</t>
  </si>
  <si>
    <t>DESCRIPTION NOT ON THE LEASE</t>
  </si>
  <si>
    <t>ES-007-09/13</t>
  </si>
  <si>
    <t>MIES57805</t>
  </si>
  <si>
    <t>ES-008-09/13</t>
  </si>
  <si>
    <t>MIES57806</t>
  </si>
  <si>
    <t xml:space="preserve">SEC 34 N2N2NE S2NE NENW W2SENW NWSW NWNW W2E2SE; SEC 36 N2 EXC </t>
  </si>
  <si>
    <t>E2E2NE N 30 ACRES OF E2SW W2SW EXC. S 726 FT. OF E 699 FT., E2SE N 70 ACRES OF W2SE</t>
  </si>
  <si>
    <t>ES-009-09/13</t>
  </si>
  <si>
    <t>MIES57808</t>
  </si>
  <si>
    <t>MERIDIAN MI T2N R15W</t>
  </si>
  <si>
    <t xml:space="preserve">SEC 12 NENE W2NE S2NW NWNW SW NWSE S2SE SEC 13 E 100 ACRES OF NE </t>
  </si>
  <si>
    <t>W2E2NW W2NW N2NWSW SE SEC 14 W2E2NE NWNW S2NW E2SE NWNE SEC NE</t>
  </si>
  <si>
    <t>ES-010-09/13</t>
  </si>
  <si>
    <t>MIES57811</t>
  </si>
  <si>
    <t>MERIDIAN MI T3N R13W</t>
  </si>
  <si>
    <t>SEC 7 ALL EXC. N 528 FT OF NWSW SEC 8 N2SW SEC 18 NE EXC SESENE E2NW SEC 20 N2NWSW</t>
  </si>
  <si>
    <t>ES-014-09/13</t>
  </si>
  <si>
    <t>MIES57812</t>
  </si>
  <si>
    <t>MERIDIAN MI T3N R14W</t>
  </si>
  <si>
    <t>ES-015-09/13</t>
  </si>
  <si>
    <t>MIES57813</t>
  </si>
  <si>
    <t xml:space="preserve">SEC 11 NE E2NW SW SESE SEC 12 S2N2NE S2NE NW NESW S 32.5 ACRES OF NWSW </t>
  </si>
  <si>
    <t xml:space="preserve">SESW SE SEC 14 NWNE SEC 15 E 3/4 OF N2NE N2S2NE W2 EXC SWSW AND NWNW SEC 16 S2SE SEC 17 W2SW 18 SEC 18 ENTIRE SEC EXC. E2NE </t>
  </si>
  <si>
    <t>ES-016-09/13</t>
  </si>
  <si>
    <t>MIES57816</t>
  </si>
  <si>
    <t>MERIDIAN MI T3N R15W</t>
  </si>
  <si>
    <t xml:space="preserve">SEC 13 NENE W2NE NENW NWNW EXC 1 ACRE IN SW COR. SWNW SW EXC. SESESW </t>
  </si>
  <si>
    <t>NWSE S2SE SEC 14 E2 S2NW W2SW</t>
  </si>
  <si>
    <t>ES-019-09/13</t>
  </si>
  <si>
    <t>MIES57817</t>
  </si>
  <si>
    <t>ES-020-09/13</t>
  </si>
  <si>
    <t>MIES57818</t>
  </si>
  <si>
    <t>SEC 35 N2NE SWNE W 60 ACRES OF W2SW S 528 FT. OF N 1056 FT OF E2SE SWSE</t>
  </si>
  <si>
    <t xml:space="preserve"> EXC. PARCEL COM AT SW COR OF SE TH N 31 RDS E 10 RDS 8 IN S 31 RDS W 10 RDS 8 IN TO PLACE OF BEG. SEC 36 E2NE SWNE E2NENW W2W2 SE</t>
  </si>
  <si>
    <t>ES-021-09/13</t>
  </si>
  <si>
    <t>MIES57819</t>
  </si>
  <si>
    <t>LEASE CANCELLED AND FULLY REFUNDED. CREDIT GIVEN TO RA &amp; KA</t>
  </si>
  <si>
    <t>MIES57820</t>
  </si>
  <si>
    <t>MIES57821</t>
  </si>
  <si>
    <t>ALES57845</t>
  </si>
  <si>
    <t>MERIDIAN ST.STEPHENS T3N R14E</t>
  </si>
  <si>
    <t>SEC 6 SESW SEC 7 E2NW SWNE</t>
  </si>
  <si>
    <t>ES-001-12/2013</t>
  </si>
  <si>
    <t>LAES57846</t>
  </si>
  <si>
    <t>AVOYELLES</t>
  </si>
  <si>
    <t>MERIDIAN LOUISIANA T3N R3E</t>
  </si>
  <si>
    <t>SEC 10 LOT 3 (FRACTIONAL SENE); SEC 14 LOT 3 (FRACTIONAL SENW)</t>
  </si>
  <si>
    <t>ES-002-12/2013</t>
  </si>
  <si>
    <t>LAES57847</t>
  </si>
  <si>
    <t>SEC 32 LOT 7 (FRACTIONAL SESW)</t>
  </si>
  <si>
    <t>ES-003-12/2013</t>
  </si>
  <si>
    <t>LAES57848</t>
  </si>
  <si>
    <t>MERIDIAN LOUISIANA T1N R4E</t>
  </si>
  <si>
    <t>SEC 12 NESE</t>
  </si>
  <si>
    <t>ES-004-12/2013</t>
  </si>
  <si>
    <t>LAES57849</t>
  </si>
  <si>
    <t>MERIDIAN LOUISIANA T2N R3E</t>
  </si>
  <si>
    <t>SEC.28 S2SW</t>
  </si>
  <si>
    <t>ES-005-12/2013</t>
  </si>
  <si>
    <t>LAES57850</t>
  </si>
  <si>
    <t xml:space="preserve">SEC 62 ALL (FRACTIONAL NORTH OF THEE RED RIVER) SEC 64 ALL (FRACTIONAL) </t>
  </si>
  <si>
    <t>ES-006-12/2013</t>
  </si>
  <si>
    <t>MIES57852</t>
  </si>
  <si>
    <t>MERIDIAN MICHIGAN T22N R14W</t>
  </si>
  <si>
    <t>SEC 3 A 1.28 ACRE PORTION OF THE SENE DESCRIBED AS BEGINNING AT THE NE CORNER OF THE NESE OF SAID SECTION, THENCE S 1 DEGREE 56' 54" E 139.96' , THENCE N 89 DEGREES 05' 26" W 400',THENCE N 1 DEGREE 56' 54" W 139.36', THENCE N 89 DEGREES 05' 26" W 400' TO THE POINT OF BEGINNING; SEC 16, NENW N2SENW PART OF NWNW LYING EAST OF THE EAST LINE OF THE PERE MARQUETTE RR COMPANY RIGHT OF WAY</t>
  </si>
  <si>
    <t>ES-008-12/2013</t>
  </si>
  <si>
    <t>MIES57853</t>
  </si>
  <si>
    <t>SEC 23 S2SW</t>
  </si>
  <si>
    <t>ES-009-12/2013</t>
  </si>
  <si>
    <t>MIES57854</t>
  </si>
  <si>
    <t>MERIDIAN MICHIGAN T22N R15W</t>
  </si>
  <si>
    <t>SEC 24 S2SESE SEC 25 NENW</t>
  </si>
  <si>
    <t>ES-010-12/2013</t>
  </si>
  <si>
    <t>MIES57855</t>
  </si>
  <si>
    <t>GRAND TRAVERSE</t>
  </si>
  <si>
    <t>MERIDIAN MICHIGAN T25N R11W</t>
  </si>
  <si>
    <t>SEC 18 E2NE</t>
  </si>
  <si>
    <t>ES-011-12/2013</t>
  </si>
  <si>
    <t>MIES57856</t>
  </si>
  <si>
    <t>MERIDIAN MICHIGAN T25N R8E</t>
  </si>
  <si>
    <t>SEC 4 NENW SEC 21 SW SEC 26 PART NWNW (34.7 ACRES)</t>
  </si>
  <si>
    <t>ES-012-12/2013</t>
  </si>
  <si>
    <t>MIES57857</t>
  </si>
  <si>
    <t>MERIDIAN MICHIGAN T26N R7E</t>
  </si>
  <si>
    <t>SEC.4 N 993.4' OF THE E 933.4' OF THE SENE</t>
  </si>
  <si>
    <t>ES-013-12/2013</t>
  </si>
  <si>
    <t>MIES57858</t>
  </si>
  <si>
    <t>MERIDIAN MICHIGAN T27N R6E</t>
  </si>
  <si>
    <t>SEC.23 W2NW</t>
  </si>
  <si>
    <t>ES-014-12/2013</t>
  </si>
  <si>
    <t>MIES57859</t>
  </si>
  <si>
    <t>MERIDIAN MICHIGAN T27N R7E</t>
  </si>
  <si>
    <t>SEC.27 N2SE</t>
  </si>
  <si>
    <t>ES-015-12/2013</t>
  </si>
  <si>
    <t>MIES57860</t>
  </si>
  <si>
    <t>MERIDIAN MICHIGAN T27N R8E</t>
  </si>
  <si>
    <t>SEC.13 NWNE</t>
  </si>
  <si>
    <t>ES-016-12/2013</t>
  </si>
  <si>
    <t>ALES57887</t>
  </si>
  <si>
    <t>MERIDIAN ST.STEPHENS T3N R7E</t>
  </si>
  <si>
    <t>SEC.2 SENW NESW</t>
  </si>
  <si>
    <t>ES-001-03/2014</t>
  </si>
  <si>
    <t>ALES57888</t>
  </si>
  <si>
    <t>PANACEA OWNS 50.00%. WILL PAY RENTALS. U.S. MINERAL INT 50.00 %</t>
  </si>
  <si>
    <t>MERIDIAN ST.STEPHENS T3N R11E</t>
  </si>
  <si>
    <t>SEC.4 NW LESS &amp; EXCEPT A 10 ACRE PARCEL DESCRIBED AS BEGINNING AT THE NORTHWEST CORNER OF SAID SEC 4 &amp; RUN SOUTH ALONG WEST BOUNDARY LINES OF SAID SEC 178 YARDS, THENCE EASTERLY 218 YARDS, THENCE NORTH 258 YARDS TO THE NORTH BOUNDARY LINE OF SAID SECTION, THENCE WEST ALONG SAID NORTH BOUNDARY LINE TO CORNER AT THE POINT OF BEGINNING</t>
  </si>
  <si>
    <t>ES-002-03/2014</t>
  </si>
  <si>
    <t>ARES57890</t>
  </si>
  <si>
    <t xml:space="preserve"> U.S. MINERAL INT 6.25%</t>
  </si>
  <si>
    <t>MERIDIAN 5TH PRINCIPAL T9N R12W</t>
  </si>
  <si>
    <t>SEE ATTACHED PAGE ON ACTUAL LEASE.</t>
  </si>
  <si>
    <t>ES-004-03/2014</t>
  </si>
  <si>
    <t>ARES57893</t>
  </si>
  <si>
    <t>MERIDIAN 5TH PRINCIPAL T12N R13W</t>
  </si>
  <si>
    <t xml:space="preserve">SEE ATTACHED PAGE ON ACTUAL LEASE. </t>
  </si>
  <si>
    <t>ES-007-03/2014</t>
  </si>
  <si>
    <t>ARES57894</t>
  </si>
  <si>
    <t>MERIDIAN 5TH PRINCIPAL T12N R14W</t>
  </si>
  <si>
    <t>SEC 8 SESE W2SE SEC 9 SWSW SEC 35 NESW</t>
  </si>
  <si>
    <t>ES-008-03/2014</t>
  </si>
  <si>
    <t>ARES57895</t>
  </si>
  <si>
    <t>MERIDIAN 5TH PRINCIPAL T12N R16W</t>
  </si>
  <si>
    <t>SEC 11 NWNE NENW SENW E2NENWNW S2NWNW</t>
  </si>
  <si>
    <t>ES-009-03/2014</t>
  </si>
  <si>
    <t>LAES57896</t>
  </si>
  <si>
    <t>SABINE PARISH</t>
  </si>
  <si>
    <t>MERIDIAN LOUSIANA T8N R12W</t>
  </si>
  <si>
    <t>SEC 12 LOT 4</t>
  </si>
  <si>
    <t>ES-010-03/2014</t>
  </si>
  <si>
    <t>LAES57897</t>
  </si>
  <si>
    <t>MERIDIAN LOUSIANA T18N R10W</t>
  </si>
  <si>
    <t>SEC 4 N2NE E2NW SEC 6 NWNW</t>
  </si>
  <si>
    <t>ES-011-03/2014</t>
  </si>
  <si>
    <t>LAES57898</t>
  </si>
  <si>
    <t>MERIDIAN LOUSIANA T18N R15W</t>
  </si>
  <si>
    <t>SEC 13 LOTS 1 &amp;2 SEC 14 LOTS 1-5 SEC 22 LOTS 1-3 SEC 24 LOTS 7-12 SEC 26 LOTS 1-4 SEC 36 LOTS 1-3</t>
  </si>
  <si>
    <t>ES-012-03/2014</t>
  </si>
  <si>
    <t>LAES57899</t>
  </si>
  <si>
    <t>MERIDIAN LOUSIANA T18N R9W T19N R9W</t>
  </si>
  <si>
    <t xml:space="preserve">T18N R10W T19N R10W. SEE ATTACHED PAGE ON ACTUAL LEASE FOR SECTIONS. </t>
  </si>
  <si>
    <t>ES-013-03/2014</t>
  </si>
  <si>
    <t>LAES57900</t>
  </si>
  <si>
    <t xml:space="preserve">SEC 1 ALL SEC 12 ALL SEC 13 ALL SEC 24 N2 LYING NORTH OF THE ILLINOIS CENTRAL RAILROAD RIGHT OF WAY </t>
  </si>
  <si>
    <t>ES-014-03/2014</t>
  </si>
  <si>
    <t>LAES57901</t>
  </si>
  <si>
    <t xml:space="preserve">SEC 2 S2N2 S2 SEC 11 ALL SEC 14 ALL SEC 23 N2 LYING NORTH OF THE ILLINOIS CENTRAIL RAILROAD RIGHT OF WAY </t>
  </si>
  <si>
    <t>ES-015-03/2014</t>
  </si>
  <si>
    <t>LAES57902</t>
  </si>
  <si>
    <t>SEC 3 S2NE SENW S2 SEC 10 N2 SW N2SE SWSE SEC 15 ALL SEC 16 ALL SEC 22 N2 LYING NORTH OF THE ILLINOIS CENTRAL RAILROAD</t>
  </si>
  <si>
    <t>ES-016-03/2014</t>
  </si>
  <si>
    <t>LAES57903</t>
  </si>
  <si>
    <t>SEC 4 S2 LYING SOUTH OF US HIGHWAY 80 SEC 5 S2 LYING SOUTH OF US HIGHWAY 80 SEC 8 E2NE W2 SE SEC 9 ALL SEC 17 ALL</t>
  </si>
  <si>
    <t>ES-017-03/2014</t>
  </si>
  <si>
    <t>LAES57904</t>
  </si>
  <si>
    <t>SEC 6 ALL THAT PART LYING SOUTH OF US HIGHWAY 80 SEC 7 ALL SEC 18 ALL</t>
  </si>
  <si>
    <t>ES-018-03/2014</t>
  </si>
  <si>
    <t>LAES57905</t>
  </si>
  <si>
    <t>SEC 8 W2NE SEC 10 SESE</t>
  </si>
  <si>
    <t>ES-019-03/2014</t>
  </si>
  <si>
    <t>LAES57906</t>
  </si>
  <si>
    <t>WEBSTER/BOSSIER PARISH</t>
  </si>
  <si>
    <t>MERIDIAN LOUSIANA T18N R10W T18N R11W</t>
  </si>
  <si>
    <t>SEE ATTACHED PAGE ON ACTUAL LEASE FOR SECTIONS.</t>
  </si>
  <si>
    <t>ES-020-03/2014</t>
  </si>
  <si>
    <t>LAES57907</t>
  </si>
  <si>
    <t xml:space="preserve">MERIDIAN LOUSIANA T18N R11W </t>
  </si>
  <si>
    <t>SEC 1 ALL THAT PART LYING SOUTH OF US HIGHWAY 80 SEC 12 ALL THAT PART LYING SOUTH OF US HIGHWAY 80 SEC 13 ALL</t>
  </si>
  <si>
    <t>ES-021-03/2014</t>
  </si>
  <si>
    <t>MSES57909</t>
  </si>
  <si>
    <t>MERIDIAN ST.STEPHENS T6N R8W</t>
  </si>
  <si>
    <t>SEC 11 NE NENW S2NW S2 SEC 15 SWNE W2 W2SE</t>
  </si>
  <si>
    <t>ES-023-03/2014</t>
  </si>
  <si>
    <t>OKNM132418</t>
  </si>
  <si>
    <t xml:space="preserve">ELLIS </t>
  </si>
  <si>
    <t xml:space="preserve">MERIDIAN IM T16N R24W </t>
  </si>
  <si>
    <t>SEC 5 REMAINDER OF LOT 4 SEC 5 ACCR &amp; RIP TO LOT 4 SEE ATTACHED EXHIBIT ON LEASE FOR METES AND BOUNDS WITH MAP</t>
  </si>
  <si>
    <t>201404-001</t>
  </si>
  <si>
    <t>TXNM132419</t>
  </si>
  <si>
    <t xml:space="preserve">MERIDIAN TX </t>
  </si>
  <si>
    <t>ACQUIRED LANDS WITH VARIED INTERESTS - PLEASE ACTUAL LEASE FOR DETAILED TRACTS &amp; INTEREST</t>
  </si>
  <si>
    <t>201404-002</t>
  </si>
  <si>
    <t>TXNM132420</t>
  </si>
  <si>
    <t>MERIDIAN TX TRACTS S-38c S-1381</t>
  </si>
  <si>
    <t>SEE ATTACHED EXHIBIT ON LEASE FOR METES AND BOUNDS WITH MAP</t>
  </si>
  <si>
    <t>201404-003</t>
  </si>
  <si>
    <t>TXNM132423</t>
  </si>
  <si>
    <t>MERIDIAN TX TRACT S-1AL</t>
  </si>
  <si>
    <t>201404-006</t>
  </si>
  <si>
    <t>TXNM132425</t>
  </si>
  <si>
    <t>MERIDIAN TX TRACT S-14A</t>
  </si>
  <si>
    <t>201404-008</t>
  </si>
  <si>
    <t>ALES57928</t>
  </si>
  <si>
    <t>MERIDIAN ST. STEPHENS T2N R7E</t>
  </si>
  <si>
    <t>SEC 34 S2SW</t>
  </si>
  <si>
    <t>ES-001-06/2014</t>
  </si>
  <si>
    <t>ALES57966</t>
  </si>
  <si>
    <t>PANACEA OWNS 50.00%. WILL PAY RENTALS.</t>
  </si>
  <si>
    <t>SEC 7 NWNE</t>
  </si>
  <si>
    <t>ES-001-09/2014</t>
  </si>
  <si>
    <t>ALES57967</t>
  </si>
  <si>
    <t>CLARKE</t>
  </si>
  <si>
    <t>MERIDIAN ST.STEPHENS T10N R3E</t>
  </si>
  <si>
    <t>SEC 18 NENW</t>
  </si>
  <si>
    <t>ES-002-09/2014</t>
  </si>
  <si>
    <t>NMNM133492</t>
  </si>
  <si>
    <t xml:space="preserve">MERIDIAN NMPM T0250N R0010E </t>
  </si>
  <si>
    <t>SEC 16 ALL SEC 21 NWNE E2W2 SWSW N2NENE N2SWNE SWSWNE</t>
  </si>
  <si>
    <t>W2SWNENE W2SESWNE S2NWSW W2W2SE SESWSE S2N2SESE SWSESE S2NESWSE</t>
  </si>
  <si>
    <t>201410-001</t>
  </si>
  <si>
    <t>NMNM133493</t>
  </si>
  <si>
    <t xml:space="preserve">MERIDIAN NMPM T0260N R0010E </t>
  </si>
  <si>
    <t xml:space="preserve">SEC 4 LOTS 3,4 SWNE SENW NWSE S2SE N2SWNW N2SWSWNW SESWSENW </t>
  </si>
  <si>
    <t>SESWNW W2W2NESE SESWNESE S2SENESE SEC 9 LOTS 4 NE SEC 17 NE</t>
  </si>
  <si>
    <t>201410-002</t>
  </si>
  <si>
    <t>NMNM133494</t>
  </si>
  <si>
    <t>SEC 21 S2NE SEC 22 E2NW W2W2</t>
  </si>
  <si>
    <t>201410-003</t>
  </si>
  <si>
    <t>NMNM133499</t>
  </si>
  <si>
    <t xml:space="preserve">MERIDIAN NMPM T0220N R0010W </t>
  </si>
  <si>
    <t>SEC 11 N2 SESW SE E2NESW E2W2NESW NWNWNESW SWSWNESW N2N2NWSW</t>
  </si>
  <si>
    <t>SESENWSW NESWSW SENWSWSW S2SWSW SEC 12 LOTS 1-4 W2E2 W2 SEC 14 E2 N2NW S2SW NESWNW NWNWSENW E2NWSENW NESENW NESWSENW N2SESENW E2NWSW NENWNWSW S2NWNWSW SWNWSW S2NENESW W2NWNESW SENWNESW S2NESW SEC 15 N2N2 SWNE N2S2NW W2SENE N2SWSWNW SWSWSWNW NWSESWNW NWNWNWSW</t>
  </si>
  <si>
    <t>201410-008</t>
  </si>
  <si>
    <t>NMNM133501</t>
  </si>
  <si>
    <t xml:space="preserve">MERIDIAN NMPM T0230N R0010W </t>
  </si>
  <si>
    <t>SEC 13 S2S2 NWSW NESE S2S2NESW NENWSE NWSWNESW NESENESW SENWNWSE</t>
  </si>
  <si>
    <t>S2NWSE SEC 23 LOTS 1-4 E2 E2W2 SEC 24 ALL</t>
  </si>
  <si>
    <t>201410-010</t>
  </si>
  <si>
    <t>NMNM133502</t>
  </si>
  <si>
    <t xml:space="preserve">ACREAGE (INCREASED) AMENDED AS PER NOTICE REC. DEC 5 2016 </t>
  </si>
  <si>
    <t xml:space="preserve">SEC 25 ALL SEC 26 LOTS 5,8 E2 E2NW NESW E2NWSW NENWNW E2NWNWNW </t>
  </si>
  <si>
    <t>E2SENWNW PT OF LOT 1 E2NESWNW NWSWSWNW NESESWNW S2S2SWNW PT OF LOT 2 SEC 35 LOTS 1-8 E2NE SE SEC 36 ALL</t>
  </si>
  <si>
    <t>201410-011</t>
  </si>
  <si>
    <t>ARES58000</t>
  </si>
  <si>
    <t>FAULKNER</t>
  </si>
  <si>
    <t>MERIDIAN 5TH PM T7N R12W</t>
  </si>
  <si>
    <t>SEC 29 S2NW</t>
  </si>
  <si>
    <t>ES-001-03/2015</t>
  </si>
  <si>
    <t>ARES58001</t>
  </si>
  <si>
    <t>WHITE</t>
  </si>
  <si>
    <t>BID REJECTED - BONUS &amp; 1ST YR RENTAL REFUNDED. CREDIT GIVEN TO RA &amp; KA</t>
  </si>
  <si>
    <t>ES-002-03/2015</t>
  </si>
  <si>
    <t>LAES58002</t>
  </si>
  <si>
    <t>MERIDIAN LOUISIANA T18N R15W</t>
  </si>
  <si>
    <t xml:space="preserve">SEC 17 LOTS 1 AND 2 </t>
  </si>
  <si>
    <t>ES-003-03/2015</t>
  </si>
  <si>
    <t>LAES58003</t>
  </si>
  <si>
    <t>MERIDIAN LOUISIANA T23N R15W</t>
  </si>
  <si>
    <t>SEC 4 SWSW SEC 5 NWSE SEC 6 W2SW SESW SWSE</t>
  </si>
  <si>
    <t>ES-004-03/2015</t>
  </si>
  <si>
    <t>LAES58004</t>
  </si>
  <si>
    <t>COUPEE PARISH</t>
  </si>
  <si>
    <t xml:space="preserve">100% RECORD TITLE ASSGND TO PENNINGTON OPER. CO. WILL PAY RENTALS </t>
  </si>
  <si>
    <t>MERIDIAN LOUISIANA PM T6S R10E</t>
  </si>
  <si>
    <t>SEC 59 ALL SEC 60 ALL</t>
  </si>
  <si>
    <t>ES-005-03/2015</t>
  </si>
  <si>
    <t>PAES58006</t>
  </si>
  <si>
    <t>BRADFORD</t>
  </si>
  <si>
    <t>PA</t>
  </si>
  <si>
    <t xml:space="preserve">75 % - US MINERAL INT. </t>
  </si>
  <si>
    <t xml:space="preserve">MERIDIAN WARREN TOWNSHIP </t>
  </si>
  <si>
    <t>TRCT 110 - 133.20 ACRS IN ST GAME LANDS 219, TRCT 111 - 188.50 ACRS IN ST GAME LANDS 219, TRCT 112 - 285.00 ACRS IN ST GAME LANDS 219, TRCT 113 - 111.15 ACRS IN ST GAME LANDS 219, TRCT 114 - 120.00 ACRS IN ST GAME LANDS 219, TRCT 115 - 180.00 ACRS IN ST GAME LANDS 219, TRCT 116 - 117.00 ACRS IN ST GAME LANDS 219</t>
  </si>
  <si>
    <t>ES-007-03/2015</t>
  </si>
  <si>
    <t>PAES58007</t>
  </si>
  <si>
    <t>TRCT 117 - 168.39 ACRS IN ST GAME LANDS 219, TRCT 118 - 110.00 ACRS IN ST GAME LANDS 219, TRCT 119 - 155.00 ACRS IN ST GAME LANDS 219, TRCT 120 - 90.00 ACRS IN ST GAME LANDS 219, TRCT 121 - 134.19 ACRS IN ST GAME LANDS 219, TRCT 122 - 174.50 ACRS IN ST GAME LANDS 219, TRCT 128 - 130.36 ACRS IN ST GAME LANDS 219, TRCT 129 - 149.62 ACRS IN ST GAME LANDS 219</t>
  </si>
  <si>
    <t>ES-008-03/2015</t>
  </si>
  <si>
    <t>PAES58008</t>
  </si>
  <si>
    <t>TRCT 1200 - 179.56 ACRS IN ST GAME LANDS 219, TRCT 1204 - 78.00 ACRS IN ST GAME LANDS 219, TRCT 1205 - 123.00 ACRS IN ST GAME LANDS 219, TRCT 1207 - 137.00 ACRS IN ST GAME LANDS 219, TRCT 1208 - 191.00 ACRS IN ST GAME LANDS 219, TRCT 1209 - 223.20 ACRS IN ST GAME LANDS 219</t>
  </si>
  <si>
    <t>ES-009-03/2015</t>
  </si>
  <si>
    <t>PAES58009</t>
  </si>
  <si>
    <t>TRCT 1211 - 52.25 ACRS IN ST GAME LANDS 219, TRCT 1212 - 161.14 ACRS IN ST GAME LANDS 219, TRCT 1213 - 78.80 ACRS IN ST GAME LANDS 219, TRCT 1214 - 79.00 ACRS IN ST GAME LANDS 219, TRCT 1215 - 154.00 ACRS IN ST GAME LANDS 219, TRCT 1216 - 92.00 ACRS IN ST GAME LANDS 219</t>
  </si>
  <si>
    <t>ES-010-03/2015</t>
  </si>
  <si>
    <t>PAES58010</t>
  </si>
  <si>
    <t>TRCT 1219 &amp; 1219A - 244.00 ACRS IN ST GAME LANDS 219, TRCT 1225 - 91.00 ACRS IN ST GAME LANDS 219, TRCT 1300 - 356.27 ACRS IN ST GAME LANDS 219</t>
  </si>
  <si>
    <t>ES-011-03/2015</t>
  </si>
  <si>
    <t>NMNM134889</t>
  </si>
  <si>
    <t>MERIDIAN NMPM T0200S R0360E</t>
  </si>
  <si>
    <t>SEC 017 S2</t>
  </si>
  <si>
    <t>NM-201507-043</t>
  </si>
  <si>
    <t>NMNM134892</t>
  </si>
  <si>
    <t>MERIDIAN NMPM T0250S R0370E</t>
  </si>
  <si>
    <t>SEC 031 LOTS 3,4; E2SW</t>
  </si>
  <si>
    <t>NM-201507-046</t>
  </si>
  <si>
    <t>OKNM134915</t>
  </si>
  <si>
    <t>MERIDIAN IM T0240N R0220W</t>
  </si>
  <si>
    <t>SEC 029 NE, E2NW, S2; E2SWNW;  SEC 030 SENESE, E2SESE</t>
  </si>
  <si>
    <t>NM-201504-070</t>
  </si>
  <si>
    <t>ARES58034</t>
  </si>
  <si>
    <t>NEVADA</t>
  </si>
  <si>
    <t>MERIDIAN 5TH T11S R20W</t>
  </si>
  <si>
    <t>SEC 13 S1/2 S1/2 SE1/4 SE1/4; SEC 21 N1/2 N1/2 SE1/4 SE 1/4</t>
  </si>
  <si>
    <t>ES-001-07/15</t>
  </si>
  <si>
    <t>ARES58035</t>
  </si>
  <si>
    <t>MERIDIAN 5TH T13S R20W</t>
  </si>
  <si>
    <t>SEC 14 W1/2 NW1/4 NE1/4; SEC 24 N1/2 SW1/4 NW1/4 SE1/4 S1/2 SW1/4 NE1/4</t>
  </si>
  <si>
    <t>ES-002-07/15</t>
  </si>
  <si>
    <t>LAES58037</t>
  </si>
  <si>
    <t xml:space="preserve">CADDO PARISH </t>
  </si>
  <si>
    <t>MERIDIAN LOUISIANA T22N R15W</t>
  </si>
  <si>
    <t>SEC 28 SESE</t>
  </si>
  <si>
    <t>ES-004-07/15</t>
  </si>
  <si>
    <t>LAES58038</t>
  </si>
  <si>
    <t>ST. MARY</t>
  </si>
  <si>
    <t>MERIDIAN LOUISIANA T16S R13E</t>
  </si>
  <si>
    <t xml:space="preserve">SEC 23 LOTS 7 AND 8 </t>
  </si>
  <si>
    <t>ES-005-07/15</t>
  </si>
  <si>
    <t>MIES58039</t>
  </si>
  <si>
    <t>MERIDIAN MICHIGAN T14N R13W</t>
  </si>
  <si>
    <t>SEC 6 NWNW</t>
  </si>
  <si>
    <t>ES-006-07/15</t>
  </si>
  <si>
    <t>MIES58040</t>
  </si>
  <si>
    <t>MERIDIAN MICHIGAN T16N R14W</t>
  </si>
  <si>
    <t>SEC 10 SENE</t>
  </si>
  <si>
    <t>ES-007-07/15</t>
  </si>
  <si>
    <t>MIES58041</t>
  </si>
  <si>
    <t>MERIDIAN MICHIGAN T14N R11W</t>
  </si>
  <si>
    <t>SEC 20 E2SW SEC 21 E2SE</t>
  </si>
  <si>
    <t>ES-008-07/15</t>
  </si>
  <si>
    <t>MIES58042</t>
  </si>
  <si>
    <t>MERIDIAN MICHIGAN T20N R11W</t>
  </si>
  <si>
    <t>SEC 8 E2SW SEC 16 N2NW N2NE SENE E2SE SWSE SEC 23 S2NE</t>
  </si>
  <si>
    <t>ES-009-07/15</t>
  </si>
  <si>
    <t>MIES58043</t>
  </si>
  <si>
    <t>MERIDIAN MICHIGAN T14N R12W</t>
  </si>
  <si>
    <t>SEC 6 NWNE SEC 7 ALL SEC 18 NWNE NENW</t>
  </si>
  <si>
    <t>ES-010-07/15</t>
  </si>
  <si>
    <t>MIES58044</t>
  </si>
  <si>
    <t>MERIDIAN MICHIGAN T15N R12W</t>
  </si>
  <si>
    <t>SEC 4 S2SW SEC 8 S2NE SEC 16 N2NW E3/4SENW E2SW SESE</t>
  </si>
  <si>
    <t>SEC 17 E2SW SEC 20 SENE NESE SEC 21 NWSW SWNW NENW SWNE</t>
  </si>
  <si>
    <t>ES-011-07/15</t>
  </si>
  <si>
    <t>MIES58045</t>
  </si>
  <si>
    <t>SEC 30 E2NE SEC 31 NE SEC 32 N2NW EXC. NWNENW SW S2SESE</t>
  </si>
  <si>
    <t>ES-012-07/15</t>
  </si>
  <si>
    <t>MIES58046</t>
  </si>
  <si>
    <t xml:space="preserve">SEC 1 PART OF ENTIRE SECTION EXC. 100' WIDE PERE MARQUETTE </t>
  </si>
  <si>
    <t>RR R/W CONTAINING 9.4 ACRES; SEC 2 PART OF NE EXC. 4.6875 AC. IN NW CORNER OF SWNE. ALSO EXC. 100' WIDE PERE MARQUETTE RR R/W PT. SE LYING E OF PMRR, W3/4NW</t>
  </si>
  <si>
    <t>ES-013-07/15</t>
  </si>
  <si>
    <t>MIES58047</t>
  </si>
  <si>
    <t>SEC 6 SESW SEC 7 NWNE</t>
  </si>
  <si>
    <t>ES-014-07/15</t>
  </si>
  <si>
    <t>MIES58048</t>
  </si>
  <si>
    <t>MERIDIAN MICHIGAN T15N R13W</t>
  </si>
  <si>
    <t>SEC 25 N2NE SEC 26 NWNE E2NW N 30 AC. SE N2S2S2SE</t>
  </si>
  <si>
    <t>ES-015-07/15</t>
  </si>
  <si>
    <t>MIES58049</t>
  </si>
  <si>
    <t>SEC 30 W2NW</t>
  </si>
  <si>
    <t>ES-016-07/15</t>
  </si>
  <si>
    <t>MIES58050</t>
  </si>
  <si>
    <t>MERIDIAN MICHIGAN T16N R13W</t>
  </si>
  <si>
    <t>SEC 24 SESWNENW S2SENENW W2NWNENW NWSWNENW</t>
  </si>
  <si>
    <t>NWNW N2S2NW S2SW SE SEC 25 ALL SEC 36 NWSW SESE</t>
  </si>
  <si>
    <t>ES-017-07/15</t>
  </si>
  <si>
    <t>MIES58051</t>
  </si>
  <si>
    <t>SEC 27 PT E2SWSW SEC 34 SWNE NENW NESW N2SE PT S2NW</t>
  </si>
  <si>
    <t>EXC. 2.98 ACRS IN PMRR PT. NWNW LYING E OF E LINE OF PMRR R/W SESW SWSE</t>
  </si>
  <si>
    <t>ES-018-07/15</t>
  </si>
  <si>
    <t>MIES58052</t>
  </si>
  <si>
    <t>SEC 15 E2SE W2NW SEC 16 S2 SEC 17 SESW S2SE SEC 19 NESE</t>
  </si>
  <si>
    <t>SEC 20 N2 W2SW</t>
  </si>
  <si>
    <t>ES-019-07/15</t>
  </si>
  <si>
    <t>MIES58053</t>
  </si>
  <si>
    <t xml:space="preserve">SEC 29 NWNW SW SESE SEC 30 NWSW E2SE </t>
  </si>
  <si>
    <t>SEC 31 PT OF ENTIRE SECTION EXC. A STRIP 66' WIDE CONTAINING 9.52 AC. RUNNING ACROSS NWNW S2NW NESW S2SE &amp; SESE</t>
  </si>
  <si>
    <t>ES-020-07/15</t>
  </si>
  <si>
    <t>MIES58054</t>
  </si>
  <si>
    <t>MERIDIAN MICHIGAN T19N R13W</t>
  </si>
  <si>
    <t xml:space="preserve">SEC 17 W2NENWNW, PT N2SWNW N. OF RR PT. N2SWNW </t>
  </si>
  <si>
    <t>S. OF RR EXC. STRIP 2 RODS WIDE ON W BOUNDARY AND STRIP 30' WIDE ON E BOUNDARY, SWSENW</t>
  </si>
  <si>
    <t>ES-021-07/15</t>
  </si>
  <si>
    <t>MIES58055</t>
  </si>
  <si>
    <t>MERIDIAN MICHIGAN T14N R14W</t>
  </si>
  <si>
    <t xml:space="preserve">SEC 1 S2SENE NESE S2SE SEC 3 PART LOT 5 EXC. N 79 RODS OF W </t>
  </si>
  <si>
    <t>60 RODS SEC 10 SENW SEC 11 PT. OF N2SENE EXC. 1 AC., S2SE NESW SESW EXC. 5 AC. OFF W SIDE 80 RODS N&amp;S AND 10 RODS WIDE SEC 12 SENW W2NW S2SW NE NENW N2SW W2SE</t>
  </si>
  <si>
    <t>ES-022-07/15</t>
  </si>
  <si>
    <t>MIES58056</t>
  </si>
  <si>
    <t>MERIDIAN MICHIGAN T15N R14W</t>
  </si>
  <si>
    <t>SEC 2 NWNW S2NW N2SW PT. N2S2SW LYING W OF SO. BRANCH</t>
  </si>
  <si>
    <t xml:space="preserve">OF PERE MARQUETTE RIVER SEC 3 N2NE W2 SEC 11 S2NE SEC 12 SWNE </t>
  </si>
  <si>
    <t>ES-023-07/15</t>
  </si>
  <si>
    <t>MIES58057</t>
  </si>
  <si>
    <t xml:space="preserve">SEC 13 NENE E2SW SEC 14 S2S2NE S2SE SEC 16 S2NE </t>
  </si>
  <si>
    <t>ES-024-07/15</t>
  </si>
  <si>
    <t>MIES58058</t>
  </si>
  <si>
    <t>SEC 23 N2SE SESE W2NE E2NENW E2SENW E2SW SEC 24</t>
  </si>
  <si>
    <t>W2SWSW N2NE PT E2SW ALL NORTH OF CENTERLINE OF COUNTY RD</t>
  </si>
  <si>
    <t>ES-025-07/15</t>
  </si>
  <si>
    <t>MIES58059</t>
  </si>
  <si>
    <t>SEC 25 NWNE S2NE SENW SESW SE SEC 26 SENE NESE S2SE S2SW</t>
  </si>
  <si>
    <t>NWSE SEC 34 NENE SEC 35 S2NW S2NE S2 OF LOT 1 SEC 36 NW N2SW</t>
  </si>
  <si>
    <t>ES-026-07/15</t>
  </si>
  <si>
    <t>MIES58060</t>
  </si>
  <si>
    <t>SEC 8 N2NE SENE</t>
  </si>
  <si>
    <t>ES-027-07/15</t>
  </si>
  <si>
    <t>MIES58061</t>
  </si>
  <si>
    <t>SEC 11 SE SEC 12 SWSW SEC 13 NENE S2NE S2SW SWSE N2SE</t>
  </si>
  <si>
    <t>SEC 14 SESE</t>
  </si>
  <si>
    <t>ES-028-07/15</t>
  </si>
  <si>
    <t>MIES58062</t>
  </si>
  <si>
    <t>SEC 23 E2NE SWNE S2NW SW SEC 24 NE W2NW SW W2SE SESE</t>
  </si>
  <si>
    <t>ES-029-07/15</t>
  </si>
  <si>
    <t>MIES58063</t>
  </si>
  <si>
    <t>SEC 25 NW NE NESW S2SW N2SE SEC 26 E2 NW N2SW</t>
  </si>
  <si>
    <t>ES-030-07/15</t>
  </si>
  <si>
    <t>MIES58064</t>
  </si>
  <si>
    <t>SEC 5 PT. N2 LYING W OF LITTLE S. BRANCH PM RIVER EXC. PARCEL</t>
  </si>
  <si>
    <t>BEG. AT SE CORNER OF SWNE THENCE W 10 RODS; THENCE N TO SAID RIVER THEN SE'LY ALONG RIVER TO BEG., PT. N2 LYING E OF LITTLE S. BRANCH PM RIVER EXC. S 330' OF SWNE LYING E OF SAID RIVER, EXC. SENE &amp; NENE</t>
  </si>
  <si>
    <t>ES-031-07/15</t>
  </si>
  <si>
    <t>MIES58065</t>
  </si>
  <si>
    <t xml:space="preserve">1/3RD - US MINERAL INT. </t>
  </si>
  <si>
    <t>SEC 32 E3/4N3/4S2NE</t>
  </si>
  <si>
    <t>ES-032-07/15</t>
  </si>
  <si>
    <t>MIES58066</t>
  </si>
  <si>
    <t>50% - US MINERAL INT.</t>
  </si>
  <si>
    <t>MERIDIAN MICHIGAN T16N R12W</t>
  </si>
  <si>
    <t>SEC 32 SWSW</t>
  </si>
  <si>
    <t>ES-033-07/15</t>
  </si>
  <si>
    <t>MIES58067</t>
  </si>
  <si>
    <t>75% - US MINERAL INT.</t>
  </si>
  <si>
    <t>SEC 18 N2 E2SW SE SEC 19 NWNW E2NW E2SW W2SE SESE</t>
  </si>
  <si>
    <t>SEC 30 E2NE E2NW W2E2</t>
  </si>
  <si>
    <t>ES-034-07/15</t>
  </si>
  <si>
    <t>MIES58068</t>
  </si>
  <si>
    <t>SEC 17 SENE NESE SEC 20 SE E2SW SEC 29 NENW S2NW NE W2SE</t>
  </si>
  <si>
    <t>NESE</t>
  </si>
  <si>
    <t>ES-035-07/15</t>
  </si>
  <si>
    <t>MIES58069</t>
  </si>
  <si>
    <t>91.67% US MINERAL INT.</t>
  </si>
  <si>
    <t>SEC 19 NE</t>
  </si>
  <si>
    <t>ES-036-07/15</t>
  </si>
  <si>
    <t>MIES58070</t>
  </si>
  <si>
    <t>SEC 23 W3/4NW</t>
  </si>
  <si>
    <t>ES-037-07/15</t>
  </si>
  <si>
    <t>MIES58071</t>
  </si>
  <si>
    <t>12.5% - US MINERAL INT.</t>
  </si>
  <si>
    <t>SEC 35 NWNE</t>
  </si>
  <si>
    <t>ES-038-07/15</t>
  </si>
  <si>
    <t>MIES58072</t>
  </si>
  <si>
    <t>87.5% - US MINERAL INT.</t>
  </si>
  <si>
    <t>SEC 13 SESE SEC 24 NENW NESE SEC 25 NWSW</t>
  </si>
  <si>
    <t>ES-039-07/15</t>
  </si>
  <si>
    <t>NDM110663</t>
  </si>
  <si>
    <t>BOWMAN</t>
  </si>
  <si>
    <t>ND</t>
  </si>
  <si>
    <t>MERIDIAN 5TH PM T130N R104W</t>
  </si>
  <si>
    <t>SEC 6 LOT 1</t>
  </si>
  <si>
    <t>NDM97300-LW</t>
  </si>
  <si>
    <t>NDM110665</t>
  </si>
  <si>
    <t>MERIDIAN 5TH PM T129N R105W</t>
  </si>
  <si>
    <t>SEC 2 LOTS 1-4 SEC 2 S2NE E2SE; SEC 8 NWNE N2NW SENW; SEC 15 N2NW</t>
  </si>
  <si>
    <t xml:space="preserve">SEC 20 E2NE; SEC 28 W2NE N2NW; SEC 32 SESW SWSE; SEC 35 S2SE </t>
  </si>
  <si>
    <t>NDM97300-ET</t>
  </si>
  <si>
    <t>NDM110666</t>
  </si>
  <si>
    <t>SEC 5 S2NE SENW SWSW N2SE SESE ;SEC 9 NESE; SEC 14 NENW S2NW NESW</t>
  </si>
  <si>
    <t>SEC 17 NESE; SEC 19 E2SW NWSE S2SE; SEC 23 SESE; SEC 31 NENE</t>
  </si>
  <si>
    <t>NDM97300-EU</t>
  </si>
  <si>
    <t>NDM110667</t>
  </si>
  <si>
    <t xml:space="preserve">SEC 6 LOTS 4,5,7; SEC 10 SWNW, NWSW, S2SW, SWSE; SEC 18 SESE;  </t>
  </si>
  <si>
    <t>SEC 29 NENW SE; SEC 30 N2NE</t>
  </si>
  <si>
    <t>NDM97300-EW</t>
  </si>
  <si>
    <t>NDM110668</t>
  </si>
  <si>
    <t>SEC 10 S2NE SENW NESW N2SE SESE; SEC 11 S2NW SW; SEC 14 NWNW</t>
  </si>
  <si>
    <t>NDM97300-EV</t>
  </si>
  <si>
    <t>NDM110669</t>
  </si>
  <si>
    <t>SEC 15 NENE</t>
  </si>
  <si>
    <t>NDM12757-BB</t>
  </si>
  <si>
    <t>NDM110670</t>
  </si>
  <si>
    <t>MERIDIAN 5TH PM T130N R105W</t>
  </si>
  <si>
    <t>SEC 11 SENW E2SW; SEC 26 S2NW SW S2SE</t>
  </si>
  <si>
    <t>NDM12757-WA</t>
  </si>
  <si>
    <t>NDM110671</t>
  </si>
  <si>
    <t>SEC 19 LOTS 1,4; SEC 19 NENW SESW; SEC22 SWSW; SEC 31</t>
  </si>
  <si>
    <t>NDM97300-EO</t>
  </si>
  <si>
    <t>NDM110672</t>
  </si>
  <si>
    <t>SEC 30 LOTS 1-4; SEC 30 NWNE S2NE E2NW E2SW; SEC 35</t>
  </si>
  <si>
    <t>NDM97300-EP</t>
  </si>
  <si>
    <t>NDM110673</t>
  </si>
  <si>
    <t xml:space="preserve">SEC 32 W2NW N2SW SWSW SESE; SEC 33 NE W2SE; SEC 34 NESE </t>
  </si>
  <si>
    <t>NDM97300-EQ</t>
  </si>
  <si>
    <t>NDM110675</t>
  </si>
  <si>
    <t>MERIDIAN 5TH PM T132 N R105W</t>
  </si>
  <si>
    <t>SEC 6 LOTS 1-4; SEC 18 LOT 1; SEC 18 E2NE NENW; SEC 20</t>
  </si>
  <si>
    <t>NDM97300-EM</t>
  </si>
  <si>
    <t>NDM110676</t>
  </si>
  <si>
    <t>MERIDIAN 5TH PM T129N R106W</t>
  </si>
  <si>
    <t>SEC 11 N2 N2SE; SEC 18 NENE</t>
  </si>
  <si>
    <t>NDM97300-ER</t>
  </si>
  <si>
    <t>NDM110677</t>
  </si>
  <si>
    <t>SEC 12; SEC 20 S2NW</t>
  </si>
  <si>
    <t>NDM97300-ES</t>
  </si>
  <si>
    <t>NDM110679</t>
  </si>
  <si>
    <t>MERIDIAN 5TH PM T132N R106W</t>
  </si>
  <si>
    <t>SEC 12 N2NE N2NW</t>
  </si>
  <si>
    <t>NDM97300-EL</t>
  </si>
  <si>
    <t>NDM110683</t>
  </si>
  <si>
    <t>MERIDIAN 5TH PM T131N R107W</t>
  </si>
  <si>
    <t>SEC 11 S2NW SW W2SE</t>
  </si>
  <si>
    <t>NDM97300-4B</t>
  </si>
  <si>
    <t>SDM110685</t>
  </si>
  <si>
    <t>FALL RIVER</t>
  </si>
  <si>
    <t>SD</t>
  </si>
  <si>
    <t>MERIDIAN BHM T11S R1E</t>
  </si>
  <si>
    <t>SEC 27 SW S2SE; SEC 34</t>
  </si>
  <si>
    <t>SDM97300-TQ</t>
  </si>
  <si>
    <t>SDM110686</t>
  </si>
  <si>
    <t>MERIDIAN BHM T12S R2E</t>
  </si>
  <si>
    <t>SEC 11 NW NESW NWSE S2SE; SEC 12 NE E2NW E2SW; SEC 14 N2NE</t>
  </si>
  <si>
    <t>SDM97300-TL</t>
  </si>
  <si>
    <t>SDM110687</t>
  </si>
  <si>
    <t>SEC 11 NWSW; SEC 12 SE</t>
  </si>
  <si>
    <t>SDM97300-TM</t>
  </si>
  <si>
    <t>ARES059333</t>
  </si>
  <si>
    <t>MERIDIAN 5TH T13N R12W</t>
  </si>
  <si>
    <t>SEC 36 S2SE</t>
  </si>
  <si>
    <t>ES-001-09/2018</t>
  </si>
  <si>
    <t>ARES059334</t>
  </si>
  <si>
    <t>CLEBURNE</t>
  </si>
  <si>
    <t>MERIDIAN 5TH T12N R11W</t>
  </si>
  <si>
    <t>SEC 36 SESE</t>
  </si>
  <si>
    <t>ES-002-09/2018</t>
  </si>
  <si>
    <t>ARES059335</t>
  </si>
  <si>
    <t>SEC 24 SWSW</t>
  </si>
  <si>
    <t>ES-003-09/2018</t>
  </si>
  <si>
    <t>ARES059336</t>
  </si>
  <si>
    <t>SEC 4 SESW</t>
  </si>
  <si>
    <t>ES-004-09/2018</t>
  </si>
  <si>
    <t>ARES059337</t>
  </si>
  <si>
    <t>SEC 23 SESE</t>
  </si>
  <si>
    <t>ES-005-09/2018</t>
  </si>
  <si>
    <t>ARES059346</t>
  </si>
  <si>
    <t>MERIDIAN 5TH T11N R12W</t>
  </si>
  <si>
    <t>SEC 1 W2NWNE</t>
  </si>
  <si>
    <t>ES-006-09/2018</t>
  </si>
  <si>
    <t>ARES059347</t>
  </si>
  <si>
    <t>MERIDIAN 5TH T12N R8W</t>
  </si>
  <si>
    <t>SEC 2 Fractional NW</t>
  </si>
  <si>
    <t>ES-007-09/2018</t>
  </si>
  <si>
    <t>ARES059348</t>
  </si>
  <si>
    <t>SEC 8 NENE NWSE</t>
  </si>
  <si>
    <t>ES-008-09/2018</t>
  </si>
  <si>
    <t>MIES059338</t>
  </si>
  <si>
    <t>MERIDIAN 5TH T11N R15W</t>
  </si>
  <si>
    <t>SEC 3 SWNE S2NW</t>
  </si>
  <si>
    <t>ES-009-09/2018</t>
  </si>
  <si>
    <t>MIES059339</t>
  </si>
  <si>
    <t>SEC 4 E2NW W2NW SW NESE; SEC 5 E2 E2NW; SEC 9 NE N2NW</t>
  </si>
  <si>
    <t>ES-010-09/2018</t>
  </si>
  <si>
    <t>MIES059340</t>
  </si>
  <si>
    <t>SEC 7 E2SE E2SWSE</t>
  </si>
  <si>
    <t>ES-011-09/2018</t>
  </si>
  <si>
    <t>MIES059341</t>
  </si>
  <si>
    <t>SEC 8 NWNE SENE NESW W2SW N2SE SWSE; SEC 16 N2NW; SEC 17 ALL</t>
  </si>
  <si>
    <t>ES-012-09/2018</t>
  </si>
  <si>
    <t>MIES059349</t>
  </si>
  <si>
    <t>SEC 18 E2NE SENW E2SW N2SE E2SWSE SESE</t>
  </si>
  <si>
    <t>ES-013-09/2018</t>
  </si>
  <si>
    <t>MIES059351</t>
  </si>
  <si>
    <t>SEC 15 W2SE</t>
  </si>
  <si>
    <t>ES-014-09/2018</t>
  </si>
  <si>
    <t>MIES059352</t>
  </si>
  <si>
    <t>MERIDIAN 5TH T12N R16W</t>
  </si>
  <si>
    <t>SEC 34 NWSE</t>
  </si>
  <si>
    <t>ES-015-09/2018</t>
  </si>
  <si>
    <t>MIES059353</t>
  </si>
  <si>
    <t>SEC 11 NESW</t>
  </si>
  <si>
    <t>ES-016-09/2018</t>
  </si>
  <si>
    <t>UTU93534</t>
  </si>
  <si>
    <t>EMERY</t>
  </si>
  <si>
    <t>UT</t>
  </si>
  <si>
    <t>MERIDIAN SLM T23S R16E</t>
  </si>
  <si>
    <t>SEC 11 LOTS 3, 9-11, 14, NWNW, W2SW; SEC 14 ALL</t>
  </si>
  <si>
    <t>UT0918-106</t>
  </si>
  <si>
    <t>NMNM138869</t>
  </si>
  <si>
    <t>MERIDIAN NMPM T110S R320E</t>
  </si>
  <si>
    <t>SEC 08 N2</t>
  </si>
  <si>
    <t>NM-201809-075</t>
  </si>
  <si>
    <t>NMNM138870</t>
  </si>
  <si>
    <t>SEC 17 E2</t>
  </si>
  <si>
    <t>NM-201809-076</t>
  </si>
  <si>
    <t>NMNM138882</t>
  </si>
  <si>
    <t>MERIDIAN NMPM T140S R350E</t>
  </si>
  <si>
    <t>SEC 31 LOTS 1, 2; SEC 31 NE, E2NW;</t>
  </si>
  <si>
    <t>NM-201809-088</t>
  </si>
  <si>
    <t>NMNM138883</t>
  </si>
  <si>
    <t>SEC 33 N2</t>
  </si>
  <si>
    <t>NM-201809-089</t>
  </si>
  <si>
    <t>NMNM138906</t>
  </si>
  <si>
    <t>MERIDIAN NMPM T240S R360E</t>
  </si>
  <si>
    <t>SEC 22 SWSW</t>
  </si>
  <si>
    <t>NM-201809-112</t>
  </si>
  <si>
    <t>NMNM138907</t>
  </si>
  <si>
    <t>SEC 26 NWNE</t>
  </si>
  <si>
    <t>NM-201089-113</t>
  </si>
  <si>
    <t>NMNM138921</t>
  </si>
  <si>
    <t>MERIDIAN NMPM T160S R370E</t>
  </si>
  <si>
    <t>SEC 01 LOTS 13</t>
  </si>
  <si>
    <t>NM-201809-127</t>
  </si>
  <si>
    <t>NMNM138928</t>
  </si>
  <si>
    <t>MERIDIAN NMPM T110S R380E</t>
  </si>
  <si>
    <t>SEC 25 LOTS 1, 2, 3, 4</t>
  </si>
  <si>
    <t>NM-201809-134</t>
  </si>
  <si>
    <t>LAES53363</t>
  </si>
  <si>
    <t>Magnum Producing</t>
  </si>
  <si>
    <t>BOUGHT FROM MEADE HUFFORD</t>
  </si>
  <si>
    <t>12N</t>
  </si>
  <si>
    <t>4W</t>
  </si>
  <si>
    <t xml:space="preserve">T12N R4W MERIDIAN LOUISIANA SEC 21 SWNW NWSW THAT PART OF  TRACT C-2293A IN E2NE CONTAINING 62.34 ACRES   </t>
  </si>
  <si>
    <t xml:space="preserve">                                   </t>
  </si>
  <si>
    <t xml:space="preserve">     </t>
  </si>
  <si>
    <t>OKNM115440</t>
  </si>
  <si>
    <t>BOUGHT FROM QEP AT O&amp;G CLEARINGHOUSE. EXPIRED 2016</t>
  </si>
  <si>
    <t>5N</t>
  </si>
  <si>
    <t>24E</t>
  </si>
  <si>
    <t xml:space="preserve">T5N R24E SEC 31 LOTS 3,4 E2SW  SEC 33 S2     </t>
  </si>
  <si>
    <t>OKNM117594</t>
  </si>
  <si>
    <t>BOUGHT FROM QEP AT O&amp;G CLEARINGHOUSE. EXPIRED 2017</t>
  </si>
  <si>
    <t>4N</t>
  </si>
  <si>
    <t xml:space="preserve">T4N R24E SEC 1 W2SW SESW SEC 2 S2NE S2 SEC 11 N2SW SESW SEC 12 N2 NESW SWSW SE   </t>
  </si>
  <si>
    <t>OKNM117595</t>
  </si>
  <si>
    <t xml:space="preserve">T4N R24E SEC 3 S2 SEC 4 S2N2 E2SW  SWSW SE LOTS 1-4    </t>
  </si>
  <si>
    <t>OKNM117596</t>
  </si>
  <si>
    <t xml:space="preserve">T4N R24E SEC 5 LOTS 1-4 S2N2 E2SW N2NWSW SENWSW SWSW SE SEC 6 LOT 1 PART OF LOT 3(LESS 17.25 AC.) LOT 6 LOT 7 SENW E2SW SWSE SWSESE SEC 7 LOTS 1-4 E2 E2W2 SEC 8 ALL  </t>
  </si>
  <si>
    <t>OKNM117597</t>
  </si>
  <si>
    <t xml:space="preserve">T4N R24E SEC 13 NE S2 SEC 14 ALL  SEC 23 N2N2 S2NE SWNW NESE SEC 24 W2 SE    </t>
  </si>
  <si>
    <t>OKNM117598</t>
  </si>
  <si>
    <t xml:space="preserve">T4N R24E SEC 15 N2 N2S2 S2SW SESE SEC 16 SENE S2 SEC 21 ALL SEC 22 E2NW SWNW W2SW   </t>
  </si>
  <si>
    <t>OKNM117599</t>
  </si>
  <si>
    <t xml:space="preserve">T4N R24E SEC 17 E2 NENW W2NW  SW N2SENW SESENW SEC 18 LOTS 1 2 E2 E2NW  SESW SEC 19 E2NWSE SEC 20 N2 N2S2 S2SW   </t>
  </si>
  <si>
    <t>OKNM117600</t>
  </si>
  <si>
    <t xml:space="preserve">T4N R24E SEC 17 SEC 25 ALL SEC 26 N2 NESE S2S2 SEC 35 ALL SEC 36 ALL    </t>
  </si>
  <si>
    <t>OKNM117601</t>
  </si>
  <si>
    <t xml:space="preserve">T4N R24E SEC 27 ALL SEC 28 N2 NESW N2NWSW SWNWSW E2SE SWSE SEC 33 E2 S2NW SW SEC 34 ALL   </t>
  </si>
  <si>
    <t>OKNM117602</t>
  </si>
  <si>
    <t xml:space="preserve">T4N R24E SEC 29 NENE W2E2 W2 E2SE SEC 30 LOTS 1-4 NENE S2NE SENW E2SW SE SEC 31 LOTS 1-4 E2 E2W2 SEC 32 NENE W2E2 W2 E2SE   </t>
  </si>
  <si>
    <t>OKNM117603</t>
  </si>
  <si>
    <t>25E</t>
  </si>
  <si>
    <t xml:space="preserve">T4N R25E SEC 7 LOTS 2,3,4 S2NE SENW E2SW N2SE SEC 8 S2S2NESE SEC 17 N2NW E2SW NESE W2SE SEC 18 LOTS 1,2,3 W2NE SENE E2W2 N2SE SWSE   </t>
  </si>
  <si>
    <t>OKNM117604</t>
  </si>
  <si>
    <t xml:space="preserve">T4N R25E SEC 9 S2SW SEC 14 W2SW SEC 15 W2SW SESE SEC 16 ALL    </t>
  </si>
  <si>
    <t>OKNM117605</t>
  </si>
  <si>
    <t xml:space="preserve">T4N R25E SEC 20 NENE W2NE SWSW  S2SESW SE SEC 21 ALL SEC 22 NW W2SW SESW SE    </t>
  </si>
  <si>
    <t>OKNM117606</t>
  </si>
  <si>
    <t xml:space="preserve">T4N R25E SEC 27 NENE W2NE W2  N2NWSE SWNWSE N2S2SE SEC 28 N2 W2SW SE SEC 33 N2NE E2SENE E2NENW W2NWNW S2NW N2S2 SESW  SESE SEC 34 SENE N2NW S2 SEC 36 W2SW </t>
  </si>
  <si>
    <t>OKNM117607</t>
  </si>
  <si>
    <t xml:space="preserve">T4N R25E SEC 29 ALL SEC 30 LOTS 1,2,3,4 NENE W2NE E2W2 SE SEC 31 LOTS 1,2,3,4 W2NE SENE E2W2 SE SEC 32 ALL   </t>
  </si>
  <si>
    <t>OKNM119300</t>
  </si>
  <si>
    <t>22E</t>
  </si>
  <si>
    <t xml:space="preserve">T5N R22E SEC 1 SESW OF LOT 1 SE OF LOT 1  N2NESWNE NWNWSENE E2SENE E2W2SENE E2NWSE N2SWSE E2SESWSE E2SE SEC 2 SWSW SWSESW SEC 11 W2SWNWNE NESENWNW N2SESENWNW S2NW E2NESE SEC 12 S2S2NENW S2SENWNW </t>
  </si>
  <si>
    <t>OKNM119310</t>
  </si>
  <si>
    <t>T5N R24E SEC 20 E2NENENE, SWNENENE  SENWNENE S2NENE NESWNE NESWSWNE NWSESWNE N2SENE SEC 21 N2N2NE N2SWNENE N2S2NWNE SWSWNWNE  E2NENW W2E2W2 N2NESENW  SWNESENW W2W2 SWNENESW W2SENESW E2SESW NWSWSWSE S2SWSWSE</t>
  </si>
  <si>
    <t>ALES55549</t>
  </si>
  <si>
    <t>HALE</t>
  </si>
  <si>
    <t>22N</t>
  </si>
  <si>
    <t>6E</t>
  </si>
  <si>
    <t xml:space="preserve">T22N R6E ST STEPHENS MERIDIAN SEC 2 SWSW    </t>
  </si>
  <si>
    <t>ALES55550</t>
  </si>
  <si>
    <t xml:space="preserve">T22N R6E ST STEPHENS MERIDIAN SEC 15 NW    </t>
  </si>
  <si>
    <t>ALES55552</t>
  </si>
  <si>
    <t>23N</t>
  </si>
  <si>
    <t>7E</t>
  </si>
  <si>
    <t xml:space="preserve">T23N R7E ST STEPHENS MERIDIAN SEC 5 NWNW S2NW S2    </t>
  </si>
  <si>
    <t>ALES55553</t>
  </si>
  <si>
    <t xml:space="preserve">T23N R7E ST STEPHENS MERIDIAN SEC 7 N2NE SWNE NW SESW SE LESS 2 ACRES IN SWSE AS FOLLOWS BEGIN SE CORNER SWSE RUN W 4.6 CHS. THENCE N 4.6 CHS. TO POINT OF BEG. THENCE RUN W 3.16 CHS THENCE N 6.32 CHS. THENCE E 3.16 CHS THENCE S 6.32 CHS. TO POINT OF BEG.     </t>
  </si>
  <si>
    <t>ALES55554</t>
  </si>
  <si>
    <t xml:space="preserve">T23N R7E ST STEPHENS MERIDIAN SEC 17 SWNW N2SW E2SE NWSE    </t>
  </si>
  <si>
    <t>ALES55555</t>
  </si>
  <si>
    <t xml:space="preserve">T23N R7E ST STEPHENS MERIDIAN SEC 19 NENE    </t>
  </si>
  <si>
    <t>LAES56545</t>
  </si>
  <si>
    <t>POINT COUPEE PARISH</t>
  </si>
  <si>
    <t>5S</t>
  </si>
  <si>
    <t>9E</t>
  </si>
  <si>
    <t xml:space="preserve">T5S R9E MERIDIAN LOUISIANA SEC 58 ALL ALSO KNOWN AS LOT 87    </t>
  </si>
  <si>
    <t>MIES56553</t>
  </si>
  <si>
    <t>16N</t>
  </si>
  <si>
    <t>15W</t>
  </si>
  <si>
    <t xml:space="preserve">T16N R15W MERIDIAN MICHIGAN SEC 21 SW* 47.92%* (115/240) - U.S. MINERAL INTERESTS    </t>
  </si>
  <si>
    <t>NDM101156</t>
  </si>
  <si>
    <t>BILLINGS</t>
  </si>
  <si>
    <t>143N</t>
  </si>
  <si>
    <t>101W</t>
  </si>
  <si>
    <t xml:space="preserve">T.143 N, R.101 W, 5TH PM, ND SEC. 5 LOTS 3,4;    </t>
  </si>
  <si>
    <t>NDM101159</t>
  </si>
  <si>
    <t>SLOPE</t>
  </si>
  <si>
    <t>136N</t>
  </si>
  <si>
    <t>102W</t>
  </si>
  <si>
    <t xml:space="preserve">T136N, R.102 W, 5TH PM,ND SEC.1 LOTS 1-12; SEC.1 S2;    </t>
  </si>
  <si>
    <t>NDM101160</t>
  </si>
  <si>
    <t xml:space="preserve">T.136N,R.102W,5TH PM.ND SEC.2 LOTS 1,2;    </t>
  </si>
  <si>
    <t>NDM101161</t>
  </si>
  <si>
    <t xml:space="preserve">T.136 N,R.102 W,5TH PM,ND SEC. 6 BED LTL MO RIV RIPAR TO LOT 16 DESC BY M&amp;B; SEC.6 LOT 16;    </t>
  </si>
  <si>
    <t>NDM101162</t>
  </si>
  <si>
    <t xml:space="preserve">T.136 N, R.102 W, 5TH PM, ND SEC. 6 BED LTL MO RIV RIPAR TO LOTS 12,13,14,19 DESC BY M&amp;B; SEC.6 LOTS 12,13,14,19 ;  SEC.7 BED LTL MO RIV RIPAR TO LOTS 1-14 DESC BY M&amp;B;  SEC.7 LOTS 1-14  SEC.7 E2SW;     </t>
  </si>
  <si>
    <t>NDM101164</t>
  </si>
  <si>
    <t xml:space="preserve">T.136 N,R.102 W,5TH PM,ND SEC. 12 ALL;    </t>
  </si>
  <si>
    <t>NDM101165</t>
  </si>
  <si>
    <t xml:space="preserve">T.136 N, R.102 W, 5TH PM, ND SEC.22 E2NE, SWSWNE, S2SESWNE,S2SWSWNW,SESWNW,S2SENW,S2; SEC.27 ALL;    </t>
  </si>
  <si>
    <t>NDM101166</t>
  </si>
  <si>
    <t xml:space="preserve">T.136 N,R.102 W,5TH PM,ND SEC.32 N2,SE ; SEC.33 ALL; SEC.34 ALL ;    </t>
  </si>
  <si>
    <t>NDM101167</t>
  </si>
  <si>
    <t>144N</t>
  </si>
  <si>
    <t xml:space="preserve">T.144 N, R.102 W, 5TH PM, ND SEC. 8 BED LTL MO RIV RIPAR TO LOT 6 DESC BY M&amp;B;     </t>
  </si>
  <si>
    <t>NDM101169</t>
  </si>
  <si>
    <t>133N</t>
  </si>
  <si>
    <t>103W</t>
  </si>
  <si>
    <t xml:space="preserve">T.133 N, R. 103 W, 5TH PM, ND SEC.28 ALL; SEC.33 ALL; SEC. 34 SW;    </t>
  </si>
  <si>
    <t>NDM101172</t>
  </si>
  <si>
    <t>104W</t>
  </si>
  <si>
    <t xml:space="preserve">T.136 N, R.104 W, 5TH PM, ND SEC. 2 SE; SEC.11 ALL; SEC.14 NENE EXCL 2.00 AC TRACT; SEC.14 NWNE, S2NE, E2W2; SEC.15 LOTS 1,2,3,4 ; SEC.15 E2 E2W2, SWSW;    </t>
  </si>
  <si>
    <t>NDM101173</t>
  </si>
  <si>
    <t xml:space="preserve">T.136 N,R. 104 W, 5TH PM, ND SEC.17 LOTS 1-8 ; SEC.17 N2N2, SWNW, W2SW, SESE ; SEC.20 LOTS 1,2,5,6,7,11 ; SEC. 20 SWNE, SESE ;    </t>
  </si>
  <si>
    <t>NDM101174</t>
  </si>
  <si>
    <t xml:space="preserve">T.136 N, R. 104 W, 5TH PM, ND SEC.20 LOTS 3,4; SEC.20 NENW;    </t>
  </si>
  <si>
    <t>NDM101180</t>
  </si>
  <si>
    <t>135N</t>
  </si>
  <si>
    <t>105W</t>
  </si>
  <si>
    <t xml:space="preserve">T.135 N, R. 105 W, 5TH PM, ND SEC.34 LOTS 1,4,5,7; SEC.34 E2NE, SESW, SE;    </t>
  </si>
  <si>
    <t>TOTALS</t>
  </si>
  <si>
    <t>MTM101455</t>
  </si>
  <si>
    <t>RICHLAND</t>
  </si>
  <si>
    <t>MT</t>
  </si>
  <si>
    <t>27N</t>
  </si>
  <si>
    <t>51E</t>
  </si>
  <si>
    <t xml:space="preserve">T.27 N, R.51 E, PMM, MT  SEC.19 POR LOT 4 NOT ERODED BY MISSOURI RIV (3.40 AC); SEC.21 FOR LOT 3 NOT ERODED BY MISSOURI RIV (4.05 AC); SEC.21 FOR LOT 4 NOT ERODED BY MISSOURI RIV (2.87 AC);    </t>
  </si>
  <si>
    <t>MTM101456</t>
  </si>
  <si>
    <t>52E</t>
  </si>
  <si>
    <t xml:space="preserve">T.27 N, R.52 E, PMM, MT  SEC.23 POR NWNW NOT ERODED BY MISSOURI RIV;     </t>
  </si>
  <si>
    <t>MTM101457</t>
  </si>
  <si>
    <t>HBP by CONTINENTAL RESOURCES WELL : POTTS 1-11H 40 acres/ MOTTS 1-16H 121.43 acres</t>
  </si>
  <si>
    <t>26N</t>
  </si>
  <si>
    <t>54E</t>
  </si>
  <si>
    <t xml:space="preserve">T.26 N, R.54 E, PMM, MT SEC.2 NWSE (40 acres - owned 100% by Magnum); SEC.4 LOT 1; SEC.4 SENE, NESE (121.43 acres - owned 84 % by Alerion Gas SA,LLC 16% by Magnum);    </t>
  </si>
  <si>
    <t>MTM101458</t>
  </si>
  <si>
    <t xml:space="preserve">T.27 N, R.54 E, PMM, MT SEC.11 SWNW;    </t>
  </si>
  <si>
    <t>MTM101460</t>
  </si>
  <si>
    <t>DAWSON</t>
  </si>
  <si>
    <t>15N</t>
  </si>
  <si>
    <t>55E</t>
  </si>
  <si>
    <t xml:space="preserve">T.15 N,R.55 E,PMM,MT SEC.2 SENE, N2SE,SESE; SEC.4 POR LOT 8 NOT ERODED BY YELLOWSTONE RIV (48.63 AC); SEC.4 LOT 7; SEC.6 LOT 7; SEC.6 S2NE, SESW, SE; SEC.12 ALL;    </t>
  </si>
  <si>
    <t>MTM101461</t>
  </si>
  <si>
    <t xml:space="preserve">T.15 N,R.55 E,PMM,MT SEC.8 NW; SEC.10 SWNE, W2SE; SEC.24 ALL;    </t>
  </si>
  <si>
    <t>MTM101462</t>
  </si>
  <si>
    <t xml:space="preserve">T.15 N,R.55 E,PMM,MT SEC.14 LOTS 1,2,3,4; SEC.14 E2,E2W2; SEC.22 LOT 3; SEC.22 NWNE; SEC.30 LOTS 1,2; SEC.30 E2NW;    </t>
  </si>
  <si>
    <t>MTM101463</t>
  </si>
  <si>
    <t xml:space="preserve">T.15 N,R.55 E,PMM,MT SEC.26 LOTS 3,4; SEC.26 E2, E2W2; SEC.34 N2NE, NW;    </t>
  </si>
  <si>
    <t>MTM101464</t>
  </si>
  <si>
    <t>21N</t>
  </si>
  <si>
    <t xml:space="preserve">T.21 N,R.55 E,PMM,MT SEC.14 N2;    </t>
  </si>
  <si>
    <t>MTM101465</t>
  </si>
  <si>
    <t xml:space="preserve">T.21 N,R.55 E,PMM,MT SEC.18 LOTS 1,2; SEC.18 NE, E2NW;    </t>
  </si>
  <si>
    <t>MTM101466</t>
  </si>
  <si>
    <t xml:space="preserve">T.26 N,R.55 E,PMM,MT SEC.5 LOTS 1,3,4; SEC.5 SENE; SEC.6 S2NE;    </t>
  </si>
  <si>
    <t>MTM101471</t>
  </si>
  <si>
    <t>56E</t>
  </si>
  <si>
    <t xml:space="preserve">T.15 N,R.56 E,PMM,MT SEC.14 E2E2, NWNE,NWNW,NWSW,NWSE; SEC.22 ALL; SEC.28 ALL;    </t>
  </si>
  <si>
    <t>MTM101475</t>
  </si>
  <si>
    <t>POWDER RIVER</t>
  </si>
  <si>
    <t>6S</t>
  </si>
  <si>
    <t xml:space="preserve">T.6S,R.52 E,PMM,MT SEC.24 S2N2,S2; SEC.25 NE, S2;    </t>
  </si>
  <si>
    <t>MTM101477</t>
  </si>
  <si>
    <t>53E</t>
  </si>
  <si>
    <t xml:space="preserve">T.6S,R.53 E,PMM,MT SEC.19 S2SE; SEC.30 LOTS 1,2,3,4; SEC.30 E2,E2W2; SEC.31  LOTS 1,2,3,4; SEC.31 E2W2;    </t>
  </si>
  <si>
    <t>NDM101479</t>
  </si>
  <si>
    <t>MCKENZIE</t>
  </si>
  <si>
    <t>146N</t>
  </si>
  <si>
    <t xml:space="preserve">T.146 N, R.102 W, 5TH PM, ND SEC.12 LOTS 5,10,11; SEC.12 NENE;    </t>
  </si>
  <si>
    <t>NDM102132</t>
  </si>
  <si>
    <t>MOUNTRAIL</t>
  </si>
  <si>
    <t>155N</t>
  </si>
  <si>
    <t>89W</t>
  </si>
  <si>
    <t xml:space="preserve">T.155 N,R.89 W. 5TH PM, ND SEC.22 NE;SEC.23 E2; SEC.24 W2SW;    </t>
  </si>
  <si>
    <t>NDM102136</t>
  </si>
  <si>
    <t>158N</t>
  </si>
  <si>
    <t xml:space="preserve">T.158 N,R.89 W,5TH PM, ND SEC.21 SENE,SW,E2SE;SEC.22 NWSW;    </t>
  </si>
  <si>
    <t>NDM102130</t>
  </si>
  <si>
    <t>MERCER</t>
  </si>
  <si>
    <t>145N</t>
  </si>
  <si>
    <t xml:space="preserve">T.145 N,R.89 W. 5TH PM,ND SEC.7 SE; SEC.8 NWNE,N2NW,SWNW;    </t>
  </si>
  <si>
    <t>NDM102131</t>
  </si>
  <si>
    <t xml:space="preserve">T.146 N,R.89 W. 5TH PM,ND SEC.19 NE;SEC.34 SE;SEC.35 NW;    </t>
  </si>
  <si>
    <t>SDM102222</t>
  </si>
  <si>
    <t>1E</t>
  </si>
  <si>
    <t xml:space="preserve">T.22 N, R. 1 E, BHM, SD SEC.19 LOTS 1,2,3,4; SEC.20 ALL; SEC.28 N2NE , W2 , S2SE;    </t>
  </si>
  <si>
    <t>SDM102219</t>
  </si>
  <si>
    <t xml:space="preserve">T.22 N, R.1 E, BHM, SD SEC.4 LOTS 1,2; SEC.4 S2NE,SE; SEC.9 ALL ;    </t>
  </si>
  <si>
    <t>SDM102226</t>
  </si>
  <si>
    <t xml:space="preserve">T.22 N, 1 E, BHM, SD SEC.26 N2, N2SW; SEC.27 NW,SE;    </t>
  </si>
  <si>
    <t>NDM102137</t>
  </si>
  <si>
    <t>90W</t>
  </si>
  <si>
    <t xml:space="preserve">T.145 N, R.90 W,5TH PM, ND SEC.33 NE;    </t>
  </si>
  <si>
    <t>NDM102144</t>
  </si>
  <si>
    <t>HBP - EOG SIDONIA 15-1102H</t>
  </si>
  <si>
    <t xml:space="preserve">T.158 N,R.90 W,5TH PM, ND SEC.11 SENE;     </t>
  </si>
  <si>
    <t>SDM102228</t>
  </si>
  <si>
    <t xml:space="preserve">T.22 N, 1 E, BHM, SD SEC.30 LOTS 1,2,3,4; SEC.32 W2;    </t>
  </si>
  <si>
    <t>SDM102231</t>
  </si>
  <si>
    <t>20N</t>
  </si>
  <si>
    <t xml:space="preserve">T.20 N,6 E, BHM, SD SEC.27 SW    </t>
  </si>
  <si>
    <t>NDM102126</t>
  </si>
  <si>
    <t>BOTTINEAU</t>
  </si>
  <si>
    <t>159N</t>
  </si>
  <si>
    <t>83W</t>
  </si>
  <si>
    <t xml:space="preserve">T.159 N, R.83 W. 5TH PM, ND SEC. 33 NE    </t>
  </si>
  <si>
    <t>MTM102588</t>
  </si>
  <si>
    <t>DANIELS</t>
  </si>
  <si>
    <t>36N</t>
  </si>
  <si>
    <t>44E</t>
  </si>
  <si>
    <t xml:space="preserve">T.36 N, R.44E,PMM,MT SEC.22 SWNE,W2SE;SEC.27 S2NW    </t>
  </si>
  <si>
    <t>MTM102590</t>
  </si>
  <si>
    <t>33N</t>
  </si>
  <si>
    <t>45E</t>
  </si>
  <si>
    <t xml:space="preserve">T.33 N, R.45E,PMM,MT SEC..4 LOTS 3,4; SEC 4 SENE,SWNW,NESE; SEC.9 LOT 6;     </t>
  </si>
  <si>
    <t>MTM102592</t>
  </si>
  <si>
    <t>46E</t>
  </si>
  <si>
    <t xml:space="preserve">T.33 N, R.46E,PMM,MT SEC.1 LOTS 2,3; SEC.1 SENE; SEC.11 LOT 8; SEC.12 LOT 5;    </t>
  </si>
  <si>
    <t>MTM102593</t>
  </si>
  <si>
    <t xml:space="preserve">T.33 N, R.46E, PMM,MT SEC.3 LOT1; SEC.3 S2SW; SEC.4 SESE; SEC.8 LOT 5; SEC.9 LOTS 5,6,7,8; SEC.10 LOTS 7,8;    </t>
  </si>
  <si>
    <t>MTM102594</t>
  </si>
  <si>
    <t>34N</t>
  </si>
  <si>
    <t xml:space="preserve">T.34 N,R.46 E, PMM, MT SEC.17 SWSE;    </t>
  </si>
  <si>
    <t>MTM102595</t>
  </si>
  <si>
    <t xml:space="preserve">T.34 N,R.46 E, PMM, MT SEC.33 S2SW;    </t>
  </si>
  <si>
    <t>MTM102596</t>
  </si>
  <si>
    <t>47E</t>
  </si>
  <si>
    <t xml:space="preserve">T.33 N,R.47 E,PMM,MT SEC.2 LOT 3    </t>
  </si>
  <si>
    <t>MTM102597</t>
  </si>
  <si>
    <t xml:space="preserve">T.33 N,R.47 E,PMM,MT SEC.5 SWSW; SEC.6 SESW;    </t>
  </si>
  <si>
    <t>MTM102598</t>
  </si>
  <si>
    <t>48E</t>
  </si>
  <si>
    <t xml:space="preserve">T.33 N,R.48 E, PMM, MT SEC.2 LOTS 1,2;    </t>
  </si>
  <si>
    <t>MTM102599</t>
  </si>
  <si>
    <t xml:space="preserve">T.33 N, R.48 E, PMM, MT SEC.3 LOT 2;    </t>
  </si>
  <si>
    <t>MTM102600</t>
  </si>
  <si>
    <t xml:space="preserve">T.33 N, R.48 E, PMM, MT SEC.4 NESE;    </t>
  </si>
  <si>
    <t>MTM102601</t>
  </si>
  <si>
    <t xml:space="preserve">T.33 N, R.48 E, PMM, MT SEC.11 LOT 8;    </t>
  </si>
  <si>
    <t>MTM102603</t>
  </si>
  <si>
    <t xml:space="preserve">T.34 N,R.48 E, PMM, MT SEC.13 SENE;    </t>
  </si>
  <si>
    <t>SDM102664</t>
  </si>
  <si>
    <t>11S</t>
  </si>
  <si>
    <t xml:space="preserve">T.11S,R. 1E,BHM,SD SEC.30 LOTS 2,3,4;SEC.30 S2NE,SENW,E2SW,SE;SEC.31 LOTS 1,2,3,4;SEC.31 E2,E2W2;     </t>
  </si>
  <si>
    <t>NDM102947</t>
  </si>
  <si>
    <t>RENVILLE</t>
  </si>
  <si>
    <t>160N</t>
  </si>
  <si>
    <t>84W</t>
  </si>
  <si>
    <t xml:space="preserve">T.160N,R.84W,5TH PM,ND SEC.23 SE,SEC.24 SW,SEC.26 NE;    </t>
  </si>
  <si>
    <t>MTM103416</t>
  </si>
  <si>
    <t>PRAIRIE</t>
  </si>
  <si>
    <t xml:space="preserve">T.12N R.56E PMM,MT SEC.6 LOTS 4-6, 11-14 SEC.6 E2SW    </t>
  </si>
  <si>
    <t>MTM103417</t>
  </si>
  <si>
    <t xml:space="preserve">T.12N R.56E PMM,MT SEC.8 ALL     </t>
  </si>
  <si>
    <t>MTM103418</t>
  </si>
  <si>
    <t xml:space="preserve">T.12N R.56E PMM,MT SEC.18 NE SENW NESW N2SE    </t>
  </si>
  <si>
    <t>MTM103419</t>
  </si>
  <si>
    <t xml:space="preserve">T.12N R.56E PMM,MT SEC.20 W2    </t>
  </si>
  <si>
    <t>MTM103420</t>
  </si>
  <si>
    <t xml:space="preserve">T.12N R.56E PMM,MT SEC.27 ALL, SEC.34 N2    </t>
  </si>
  <si>
    <t>MTM103421</t>
  </si>
  <si>
    <t xml:space="preserve">T.12N R.56E PMM,MT SEC.29 ALL, SEC.30 LOTS 1-4, SEC.30 E2 E2W2    </t>
  </si>
  <si>
    <t>MTM103422</t>
  </si>
  <si>
    <t xml:space="preserve">T.12N R.56E PMM,MT SEC.32 ALL, SEC.33 ALL    </t>
  </si>
  <si>
    <t>NDM103694</t>
  </si>
  <si>
    <t>138N</t>
  </si>
  <si>
    <t xml:space="preserve">T138N R102W 5TH PM,ND SEC.12 N2    </t>
  </si>
  <si>
    <t>NDM103695</t>
  </si>
  <si>
    <t xml:space="preserve">T138N R102W 5TH PM,ND SEC.12 S2    </t>
  </si>
  <si>
    <t>NDM103703</t>
  </si>
  <si>
    <t xml:space="preserve">T135N R104W 5TH PM,ND SEC.6 LOT 15    </t>
  </si>
  <si>
    <t>SDM103746</t>
  </si>
  <si>
    <t xml:space="preserve">T11S R1E BHM,SD SEC.4 LOT 4, SEC.4 SWNW; SEC.5 LOTS 1-4; SEC.5 S2N2 S2; SEC.6 LOTS 1,2; SEC.6 S2NE, SE;    </t>
  </si>
  <si>
    <t>SDM103748</t>
  </si>
  <si>
    <t xml:space="preserve">T11S R1E BHM,SD SEC.6 LOTS 3-7, SEC.6 SENW E2SW; SEC.7 LOTS 1-4; SEC.7 E2 E2W2; SEC.8 W2W2    </t>
  </si>
  <si>
    <t>SDM103750</t>
  </si>
  <si>
    <t xml:space="preserve">T11S R1E BHM,SD SEC.12 NESW S2SW SEC.13 NW    </t>
  </si>
  <si>
    <t>SDM103751</t>
  </si>
  <si>
    <t xml:space="preserve">T11S R1E BHM,SD SEC.12 SE SEC.13 NE    </t>
  </si>
  <si>
    <t>SDM103758</t>
  </si>
  <si>
    <t xml:space="preserve">T11S R1E BHM,SD SEC.26 N2 E2SW SWSW SE SEC.27 N2NE, SENE SEC.35 ALL    </t>
  </si>
  <si>
    <t>SDM103761</t>
  </si>
  <si>
    <t xml:space="preserve">T11S R1E BHM,SD SEC.32 E2    </t>
  </si>
  <si>
    <t>SDM103770</t>
  </si>
  <si>
    <t>12S</t>
  </si>
  <si>
    <t xml:space="preserve">T12S R1E BHM,SD SEC.8 E2NE, SEC.9 ALL SEC.10 ALL    </t>
  </si>
  <si>
    <t>SDM103773</t>
  </si>
  <si>
    <t xml:space="preserve">T12S R1E BHM,SD SEC.17 LOTS 1-4; SEC.17 N2,N2S2,SEC.18 LOTS 1-7; SEC.18 NE,E2NW,NESW,N2SE    </t>
  </si>
  <si>
    <t>LAES57692</t>
  </si>
  <si>
    <t>DESOTO PARISH</t>
  </si>
  <si>
    <t>11N</t>
  </si>
  <si>
    <t>11W</t>
  </si>
  <si>
    <t xml:space="preserve">T11N R11W MERIDIAN LOUISIANA SEC 2 LOTS 2 4 &amp; 6    </t>
  </si>
  <si>
    <t>LAES57773</t>
  </si>
  <si>
    <t>3N</t>
  </si>
  <si>
    <t xml:space="preserve">T3N R1E MERIDIAN LOUISIANA SEC 9 ALL    </t>
  </si>
  <si>
    <t>ARES57930</t>
  </si>
  <si>
    <t>16W</t>
  </si>
  <si>
    <t xml:space="preserve">T11N R16W MERIDIAN 5TH PM SEC 19 E2NW SWNW NESW    </t>
  </si>
  <si>
    <t>ARES57931</t>
  </si>
  <si>
    <t xml:space="preserve">T11N R16W MERIDIAN 5TH PM SEC 22 W2NW SENW    </t>
  </si>
  <si>
    <t>ARES57932</t>
  </si>
  <si>
    <t xml:space="preserve">T12N R16W MERIDIAN 5TH PM SEC 20 NESE    </t>
  </si>
  <si>
    <t>ARES57933</t>
  </si>
  <si>
    <t xml:space="preserve">T12N R16W MERIDIAN 5TH PM SEC 25 NWNE    </t>
  </si>
  <si>
    <t>ARES57934</t>
  </si>
  <si>
    <t>17W</t>
  </si>
  <si>
    <t xml:space="preserve">T11N R17W MERIDIAN 5TH PM SEC 24 SENW    </t>
  </si>
  <si>
    <t>LAES57935</t>
  </si>
  <si>
    <t>7W</t>
  </si>
  <si>
    <t xml:space="preserve">T22N R7W MERIDIAN LOUISIANA SEC 14 SWNE    </t>
  </si>
  <si>
    <t>KYES58148</t>
  </si>
  <si>
    <t>UNION</t>
  </si>
  <si>
    <t xml:space="preserve">TRACT 306     </t>
  </si>
  <si>
    <t>MSES58149</t>
  </si>
  <si>
    <t xml:space="preserve">T5N R9E MERIDIAN CHOCTAW SEC 1 S2NE W2 SE    </t>
  </si>
  <si>
    <t>MSES58150</t>
  </si>
  <si>
    <t xml:space="preserve">T5N R9E MERIDIAN CHOCTAW SEC 3 N2NE W2 S2SE    </t>
  </si>
  <si>
    <t>MSES58151</t>
  </si>
  <si>
    <t xml:space="preserve">T5N R9E MERIDIAN CHOCTAW SEC 10 N2NE SWNE NENW NWNW N2SWNW E2SE LESS S 20 ACRES AS FOLLOWS : SEE DETAILED DESCRIPTION ON THE LEASE   </t>
  </si>
  <si>
    <t>MSES58152</t>
  </si>
  <si>
    <t xml:space="preserve">T5N R9E MERIDIAN CHOCTAW SEC 11 NE W2NW SENW S2    </t>
  </si>
  <si>
    <t>MSES58153</t>
  </si>
  <si>
    <t xml:space="preserve">T5N R9E MERIDIAN CHOCTAW SEC 12 NE NENWSWNW W2SW N2SE SESE    </t>
  </si>
  <si>
    <t>MSES58154</t>
  </si>
  <si>
    <t xml:space="preserve">T5N R9E MERIDIAN CHOCTAW SEC 13 NWNW W2SW SESW WEST 10 ACRES OF SWSE    </t>
  </si>
  <si>
    <t>MSES58155</t>
  </si>
  <si>
    <t xml:space="preserve">T5N R9E MERIDIAN CHOCTAW SEC 14 E2 NWNW S2NW N2SW SWSW    </t>
  </si>
  <si>
    <t>MSES58156</t>
  </si>
  <si>
    <t xml:space="preserve">T5N R9E MERIDIAN CHOCTAW SEC 28 NENE LESS 10 ACRES BEG. 8 CHAINS SOUTH OF NW CORNER OF NENE, EAST 8 1/4 CHAINS, SOUTH 12 CHAINS, WEST 8 1/4 CHAINS TO  SW CORNER OF NENE, NOTH 12 CHAINS TO  BEGINNING; NWNE LESS 16 ACRES ON WEST SIDE </t>
  </si>
  <si>
    <t>MSES58157</t>
  </si>
  <si>
    <t xml:space="preserve">T5N R9E MERIDIAN CHOCTAW SEC 35 NE NENW N2SE N2SWSE SESE    </t>
  </si>
  <si>
    <t>MSES58158</t>
  </si>
  <si>
    <t xml:space="preserve">T5N R9E MERIDIAN CHOCTAW SEC 36 ALL    </t>
  </si>
  <si>
    <t>MSES58159</t>
  </si>
  <si>
    <t>6N</t>
  </si>
  <si>
    <t>2E</t>
  </si>
  <si>
    <t xml:space="preserve">T6N R2E MERIDIAN WASHINGTON SEC 35 EAST 8 ACRES NESW S2SW    </t>
  </si>
  <si>
    <t>MSES58160</t>
  </si>
  <si>
    <t xml:space="preserve">T6N R2E MERIDIAN WASHINGTON SEC 35 NWSE S2SE    </t>
  </si>
  <si>
    <t>MSES58161</t>
  </si>
  <si>
    <t>1W</t>
  </si>
  <si>
    <t xml:space="preserve">T4N R1W MERIDIAN WASHINGTON SEC 17 - SEE DETAILED DESCRIPTION ON LEASE    </t>
  </si>
  <si>
    <t>MSES58184</t>
  </si>
  <si>
    <t xml:space="preserve">T5N R9E MERIDIAN CHOCTAW SEC 33 SESW    </t>
  </si>
  <si>
    <t>NVN95160</t>
  </si>
  <si>
    <t>EUREKA</t>
  </si>
  <si>
    <t>NV</t>
  </si>
  <si>
    <t xml:space="preserve">T27N R52E MERIDIAN MDM  SEC 2 LOTS 2,5,6; SWNE S2NW SW W2SE; SEC 11 E2NW SWNW NWSW S2SW SEC 14 LOTS 3-5 , 8-11; SENW NESW NWSE; SEC 26 LOTS 3-5 SENW NESW NWSE;  </t>
  </si>
  <si>
    <t>NVN95161</t>
  </si>
  <si>
    <t>28N</t>
  </si>
  <si>
    <t xml:space="preserve">T28N R52E MERIDIAN MDM SEC 25 LOTS 4 S2NW SW; SEC 34 E2; SEC 35 ALL; SEC 36 NW NWSW;   </t>
  </si>
  <si>
    <t>MTM109204</t>
  </si>
  <si>
    <t>GARFIELD</t>
  </si>
  <si>
    <t>30E</t>
  </si>
  <si>
    <t xml:space="preserve">T15N R30E PMM MT SEC 22 S1/2NW1/4 NE1/4SW1/4 S1/2SW1/4 SE1/4;    </t>
  </si>
  <si>
    <t>MTM109205</t>
  </si>
  <si>
    <t xml:space="preserve">T15N R30E PMM MT SEC 23 SW1/4 S1/2SE1/4;    </t>
  </si>
  <si>
    <t>MTM109206</t>
  </si>
  <si>
    <t xml:space="preserve">T15N R30E PMM MT SEC 26 N1/2 SW1/4 N1/2SE1/4 SW1/4SE1/4;    </t>
  </si>
  <si>
    <t>MTM109207</t>
  </si>
  <si>
    <t xml:space="preserve">T15N R30E PMM MT SEC 27 N1/2NE1/4 SE1/4NE1/4;     </t>
  </si>
  <si>
    <t>MTM109323</t>
  </si>
  <si>
    <t>FALLON</t>
  </si>
  <si>
    <t>9N</t>
  </si>
  <si>
    <t>59E</t>
  </si>
  <si>
    <t xml:space="preserve">T9N R59E PMM MT SEC 14 NE1/4;    </t>
  </si>
  <si>
    <t>MTM109324</t>
  </si>
  <si>
    <t xml:space="preserve">T9N R59E PMM MT SEC 22 N1/2NW1/4 SW1/4NW1/4;    </t>
  </si>
  <si>
    <t>MTM109325</t>
  </si>
  <si>
    <t xml:space="preserve">T9N R59E PMM MT SEC 24 SW1/4NE1/4 N1/2NW1/4 SE1/4SE1/4;    </t>
  </si>
  <si>
    <t>MTM109326</t>
  </si>
  <si>
    <t xml:space="preserve">T9N R59E PMM MT SEC 26 NW1/4 N1/2SW1/4 SE1/4SW1/4;    </t>
  </si>
  <si>
    <t>MTM109327</t>
  </si>
  <si>
    <t xml:space="preserve">T9N R59E PMM MT SEC 26 SW1/4SW1/4;    </t>
  </si>
  <si>
    <t>MTM109328</t>
  </si>
  <si>
    <t>10N</t>
  </si>
  <si>
    <t xml:space="preserve">T10N R59E PMM MT SEC 8 W1/2NW1/4 S1/2SW1/4 SEC 20 NE1/4NE1/4;    </t>
  </si>
  <si>
    <t>MTM109357</t>
  </si>
  <si>
    <t>8S</t>
  </si>
  <si>
    <t xml:space="preserve">T8S R53E PMM MT SEC 5 LOT 1 SEC 5 S1/2SW1/4 SE1/4;    </t>
  </si>
  <si>
    <t>MTM109359</t>
  </si>
  <si>
    <t xml:space="preserve">T8S R53E PMM MT SEC 17 NE1/4 N1/2NW1/4 SE1/4NW1/4 S1/2;    </t>
  </si>
  <si>
    <t>COC78348</t>
  </si>
  <si>
    <t>RIO BLANCO</t>
  </si>
  <si>
    <t>CO</t>
  </si>
  <si>
    <t>2N</t>
  </si>
  <si>
    <t xml:space="preserve">T2N R101W SEC 20 ALL SEC 21 ALL   SEC 22 LOT 2-6, 8 SEC 22 W2NE W2    </t>
  </si>
  <si>
    <t>COC78349</t>
  </si>
  <si>
    <t xml:space="preserve">T2N R101W SEC 27 LOT 1,3-5,7,8,10-13; SEC 27 W2W2;  SEC 28 ALL; SEC 29 ALL; SEC 31 LOT 6;  SEC 32 LOT 5   </t>
  </si>
  <si>
    <t>COC78350</t>
  </si>
  <si>
    <t xml:space="preserve">T2N R101W SEC 17 ALL; SEC 18 LOT 1-4;  SEC 18 E2,E2W2; SEC 19 LOT 1-3; SEC 19 E2, E2W2   </t>
  </si>
  <si>
    <t>COC78351</t>
  </si>
  <si>
    <t xml:space="preserve">T2N R101W SEC 7 LOT 1-4; SEC 7 E2, E2W2;  SEC 8 ALL; SEC 9 ALL    </t>
  </si>
  <si>
    <t>COC78352</t>
  </si>
  <si>
    <t xml:space="preserve">T2N R101W SEC 4 LOT 1-4; SEC 4 S2N2,S2; SEC 5 LOT 1-4; SEC 5 S2N2,S2; SEC 6 LOT 1-7; SEC 6 S2NE,SENW,E2SW,SE;   </t>
  </si>
  <si>
    <t>COC78353</t>
  </si>
  <si>
    <t xml:space="preserve">T2N R101W SEC 23 LOT 1,3,4;  SEC 23 E2,E2W2,SWSW;SEC 26 ALL;  SEC 35 NE,E2NW,S2   </t>
  </si>
  <si>
    <t>COC78355</t>
  </si>
  <si>
    <t xml:space="preserve">T2N R101W SEC 36 ALL     </t>
  </si>
  <si>
    <t>COC78356</t>
  </si>
  <si>
    <t xml:space="preserve">T2N R102W SEC 13 ALL; SEC 14 N2,N2SE; SEC 15 E2NE; SEC 24 N2    </t>
  </si>
  <si>
    <t>COC78357</t>
  </si>
  <si>
    <t xml:space="preserve">T2N R102W SEC 9 N2,N2N2N2SW;  SEC 9 NESE,N2N2NWSE; SEC 10 N2,N2SW,SE  SEC 11 ALL; SEC 12 ALL   </t>
  </si>
  <si>
    <t>COC78358</t>
  </si>
  <si>
    <t xml:space="preserve">T2N R102W SEC 1 LOT1-4; SEC 1 S2N2, S2;  SEC 2 LOT 1-4; SEC 2 S2N2,S2; SEC 3 LOT 1-4; SEC 3 S2N2,S2   </t>
  </si>
  <si>
    <t>COC78359</t>
  </si>
  <si>
    <t xml:space="preserve">T2N R102W SEC 4 LOT 1-4; SEC 4 S2N2,S2; SEC 5 LOT 1-4; SEC 5 S2N2,S2; SEC 6 LOT 1-7; SEC 6 S2NE,SENW,E2SW,SE; SEC 8 NE,E2NW,N2N2NESE   </t>
  </si>
  <si>
    <t>COC78360</t>
  </si>
  <si>
    <t xml:space="preserve">T3N R102W SEC 19 LOT 1-4; SEC 19 E2E2W2;  SEC 30 LOT 1-4; SEC 30 E2E2W2    </t>
  </si>
  <si>
    <t>COC78361</t>
  </si>
  <si>
    <t>1N</t>
  </si>
  <si>
    <t xml:space="preserve">T1N R103W SEC 4 E2,S2SW; SEC 5 SW,S2SE SEC 6 LOT 1-4    </t>
  </si>
  <si>
    <t>COC78362</t>
  </si>
  <si>
    <t xml:space="preserve">T1N R103W SEC 23 NE,SW; SEC 24 W2, SEC 25 N2NW SEC 26 N2N2    </t>
  </si>
  <si>
    <t>COC78363</t>
  </si>
  <si>
    <t xml:space="preserve">T1N R103W SEC 29 S2N2, S2; SEC 30 E2, SEC 31 LOT 5 SEC 31 NESW    </t>
  </si>
  <si>
    <t>COC78365</t>
  </si>
  <si>
    <t xml:space="preserve">T2N R103W SEC 22 W2NW, SW;  SEC 27 ALL    </t>
  </si>
  <si>
    <t>COC78366</t>
  </si>
  <si>
    <t xml:space="preserve">T2N R103W SEC 4 LOT 1-4; SEC 4 SENE     </t>
  </si>
  <si>
    <t>COC78367</t>
  </si>
  <si>
    <t xml:space="preserve">T2N R103W SEC 1 LOT1-4; SEC 1 S2N2,N2SW,SESW,SE; SEC 2 LOT 1-4; SEC 2 S2N2,N2S2; SEC 3 LOT 1-4  SEC 3 S2N2;   </t>
  </si>
  <si>
    <t>COC78368</t>
  </si>
  <si>
    <t xml:space="preserve">T2N R103W SEC 10 N2,N2SW; SEC 15 SWSW;  SEC 16 SWNE,NENW,NWSE,E2SE; SEC 17N2NW,S2SW    </t>
  </si>
  <si>
    <t>COC78369</t>
  </si>
  <si>
    <t xml:space="preserve">T2N R103W SEC 7 LOT 1-4; SEC 7 E2, E2W2;  SEC 18 LOT 1-4; SEC 18 E2,E2W2;    </t>
  </si>
  <si>
    <t>COC78370</t>
  </si>
  <si>
    <t xml:space="preserve">T2N R103W SEC 20 ALL; SEC 21 ALL; SEC 28 ALL     </t>
  </si>
  <si>
    <t>COC78371</t>
  </si>
  <si>
    <t xml:space="preserve">T1N R104W SEC 10 LOT 1-4; SEC 15 LOT 1-4;  SEC 22 LOT 1-4    </t>
  </si>
  <si>
    <t>COC78372</t>
  </si>
  <si>
    <t xml:space="preserve">T1N R104W SEC 3 LOT 1-4     </t>
  </si>
  <si>
    <t>COC78374</t>
  </si>
  <si>
    <t xml:space="preserve">T1N R104W SEC 24 LOT 2,3,5,9,10 SEC 24 W2NE,NWSE; SEC 26 LOT 9,12; SEC 26 SWNW,NWSW;    </t>
  </si>
  <si>
    <t xml:space="preserve">      </t>
  </si>
  <si>
    <t>OKNM137105</t>
  </si>
  <si>
    <t>140N</t>
  </si>
  <si>
    <t>240W</t>
  </si>
  <si>
    <t xml:space="preserve">T140N R240W SEC 15 SWSE     </t>
  </si>
  <si>
    <t>OKNM137106</t>
  </si>
  <si>
    <t xml:space="preserve">T160N R240W SEC 14 ACCRETION &amp; REPARIAN ACREAGE TO LOT 7;  SEE ATTACHED EXHIBIT FOR DESCRIPTION WITH MAP;     </t>
  </si>
  <si>
    <t>TXNM137112</t>
  </si>
  <si>
    <t>No Surface Occupany/Drilling Stipulation Notice received</t>
  </si>
  <si>
    <t xml:space="preserve">TRACTS 205,208,209,211; TRACTS 214,215,220     </t>
  </si>
  <si>
    <t>TXNM137113</t>
  </si>
  <si>
    <t xml:space="preserve">TRACTS 404,405,407,408,411; TRACTS 412,413-1,413-2     </t>
  </si>
  <si>
    <t>TXNM137114</t>
  </si>
  <si>
    <t xml:space="preserve">TRACTS 600,602,606,608     </t>
  </si>
  <si>
    <t>TXNM137115</t>
  </si>
  <si>
    <t xml:space="preserve">TRACTS I-C-206-1, I-C-206-2;     </t>
  </si>
  <si>
    <t>WYW186292</t>
  </si>
  <si>
    <t>CAMPBELL</t>
  </si>
  <si>
    <t>WY</t>
  </si>
  <si>
    <t>500N</t>
  </si>
  <si>
    <t>710W</t>
  </si>
  <si>
    <t xml:space="preserve">T500N R710W SEC 34 LOTS 1,8;      </t>
  </si>
  <si>
    <t>WYW186293</t>
  </si>
  <si>
    <t>470N</t>
  </si>
  <si>
    <t>720W</t>
  </si>
  <si>
    <t xml:space="preserve">T470N R720W SEC 001 LOT 6; SEC 002 LOTS 5,6,11-20; SEC 003 LOT 6-12 ,17,18; SEC 004 LOTS 5,6,14; SEC 011 LOTS 2,13,14;  SEC 015 LOTS 5,8;   </t>
  </si>
  <si>
    <t>WYW186296</t>
  </si>
  <si>
    <t xml:space="preserve">480N </t>
  </si>
  <si>
    <t xml:space="preserve">T480N  R720W SEC 22 LOTS 14; SEC 29 LOTS 3;      </t>
  </si>
  <si>
    <t>WYW186297</t>
  </si>
  <si>
    <t xml:space="preserve">T500N R720W SEC 017 LOTS 5,10-12,15; SEC 018 LOTS 12,13,19,20;  SEC 019 LOTS 10;  LOT 9(EXCL 1.34 AC IN RR  ROW WYW0119068)   </t>
  </si>
  <si>
    <t>WYW186298</t>
  </si>
  <si>
    <t xml:space="preserve">T500N R720W SEC 031 LOTS 20;      </t>
  </si>
  <si>
    <t>WYW186307</t>
  </si>
  <si>
    <t>730W</t>
  </si>
  <si>
    <t xml:space="preserve">T500N R730W SEC 17 LOTS 6; SEC 018 LOTS 17-19; SEC 022 LOT 4 ( EXCL 1.64 AC ON RR ROW WYW0119068); SEC 022  LOT 5 ( EXCL 1.64 AC ON RR ROW WYW0119068);  SEC 028 LOTS 15;  </t>
  </si>
  <si>
    <t>WYW186309</t>
  </si>
  <si>
    <t>570N</t>
  </si>
  <si>
    <t xml:space="preserve">T570N R730W SEC 14 S2SW;     </t>
  </si>
  <si>
    <t>SDM109688</t>
  </si>
  <si>
    <t xml:space="preserve">T8S R1E SEC 8 N12NE1/4;     </t>
  </si>
  <si>
    <t>SDM109689</t>
  </si>
  <si>
    <t xml:space="preserve">T8S R1E SEC 8 NW1/4SE1/4,S1/2SE1/4;     </t>
  </si>
  <si>
    <t>SDM109690</t>
  </si>
  <si>
    <t xml:space="preserve">T8S R1E SEC 26 S1/2SW1/4,SE1/4;     </t>
  </si>
  <si>
    <t>SDM109691</t>
  </si>
  <si>
    <t xml:space="preserve">T8S R1E SEC 32 NE1/4NE1/4;     </t>
  </si>
  <si>
    <t>SDM109692</t>
  </si>
  <si>
    <t xml:space="preserve">T8S R1E SEC 32 SE1/4NE1/4,NE1/4SE1/4; SEC 33 N1/2NE1/4, SW1/4NE1/4,S1/2NW1/4,NW1/4SW1/4;    </t>
  </si>
  <si>
    <t>SDM109693</t>
  </si>
  <si>
    <t xml:space="preserve">T8S R1E SEC 32 SE1/4SE1/4; SEC 33 SE1/4NE1/4;     </t>
  </si>
  <si>
    <t>SDM109694</t>
  </si>
  <si>
    <t xml:space="preserve">T11S R1E SEC 19;     </t>
  </si>
  <si>
    <t>SDM109695</t>
  </si>
  <si>
    <t xml:space="preserve">T11S R1E SEC 20     </t>
  </si>
  <si>
    <t>SDM109696</t>
  </si>
  <si>
    <t xml:space="preserve">T11S R1E SEC 27 SW1/4NW1/4; SEC 28 NW1/4NE1/4,SI/2 NE1/4,NW1/4, S1/2;    </t>
  </si>
  <si>
    <t>SDM109697</t>
  </si>
  <si>
    <t xml:space="preserve">T11S R1E SEC 29     </t>
  </si>
  <si>
    <t>SDM109698</t>
  </si>
  <si>
    <t xml:space="preserve">T11S R1E SEC 30 LOT 1; SEC 30 N1/2NE1/4, NE1/4 NW1/4 NW1/4    </t>
  </si>
  <si>
    <t>SDM109699</t>
  </si>
  <si>
    <t xml:space="preserve">T12S R1E SEC 1 LOTS 1-4; SEC 1 S1/2NE 1/4, S1/2NW1/4 N1/2SW1/4,N1/2SE1/4; SEC 2 LOTS 1,2; SEC 2 S1/2 NE1/4;   </t>
  </si>
  <si>
    <t>UTU92311</t>
  </si>
  <si>
    <t>SEVIER</t>
  </si>
  <si>
    <t>22S</t>
  </si>
  <si>
    <t xml:space="preserve">T22S R1W SEC 1 SESW, SE      </t>
  </si>
  <si>
    <t>UTU92312</t>
  </si>
  <si>
    <t xml:space="preserve">T22S R1W SEC 6 LOTS 8-13, 15 AND 16      </t>
  </si>
  <si>
    <t>UTU92313</t>
  </si>
  <si>
    <t xml:space="preserve">T22S R1W SEC 10 SWSW, SE     </t>
  </si>
  <si>
    <t>UTU92314</t>
  </si>
  <si>
    <t>23S</t>
  </si>
  <si>
    <t xml:space="preserve">T23S R1W SEC 1 SW, W2SE SEC 11 AND 12:ALL      </t>
  </si>
  <si>
    <t>UTU92315</t>
  </si>
  <si>
    <t xml:space="preserve">T23S R1W SEC 13 ALL SEC 14 N2 SE; SEC 23 E2; SEC 24 ALL.     </t>
  </si>
  <si>
    <t>UTU92316</t>
  </si>
  <si>
    <t xml:space="preserve">T23S R1W SEC 22 ALL     </t>
  </si>
  <si>
    <t>UTU92328</t>
  </si>
  <si>
    <t>SANPETE</t>
  </si>
  <si>
    <t>20S</t>
  </si>
  <si>
    <t xml:space="preserve">T20S R1E SEC 1 LOTS 1-4, S2N2, N2SW, SWSW,SE;  SEC 11 S2NE, SE; SEC 12 E2,S2NW    </t>
  </si>
  <si>
    <t>UTU92330</t>
  </si>
  <si>
    <t>19S</t>
  </si>
  <si>
    <t xml:space="preserve">T19S R2E SEC 19 LOTS 3,4,7, SESW; SEC 30 LOTS 1-4 6,7  E2W2,W2SE,SESE; SEC 31 LOTS 1-4, NE, E2W2 N2SE,SWSE,W2SESE   </t>
  </si>
  <si>
    <t>LAES058292</t>
  </si>
  <si>
    <t>CATAHOULA PARISH</t>
  </si>
  <si>
    <t xml:space="preserve">T6N R7E SEC 6, LOT 2     </t>
  </si>
  <si>
    <t xml:space="preserve"> $                    -  </t>
  </si>
  <si>
    <t>LAES058293</t>
  </si>
  <si>
    <t xml:space="preserve">T6N R7E SEC 6, LOT 5     </t>
  </si>
  <si>
    <t>LAES058318</t>
  </si>
  <si>
    <t>13N</t>
  </si>
  <si>
    <t>6W</t>
  </si>
  <si>
    <t xml:space="preserve">T13N R6W SEC 2, E1/2, N1/2NW, SENW, NESW, E1/2SESW,  E1/2W1/2SESW    </t>
  </si>
  <si>
    <t>COC78800</t>
  </si>
  <si>
    <t>LA PLATA</t>
  </si>
  <si>
    <t xml:space="preserve">T34N R11W SEC 6, NESW,NWSE     </t>
  </si>
  <si>
    <t>COC78801</t>
  </si>
  <si>
    <t>SAN MIGUEL</t>
  </si>
  <si>
    <t>42N</t>
  </si>
  <si>
    <t xml:space="preserve">T42N R11W SEC 4, LOT4; SEC 4 SWNW,SW,S2SE     </t>
  </si>
  <si>
    <t>COC78802</t>
  </si>
  <si>
    <t>14W</t>
  </si>
  <si>
    <t xml:space="preserve">T42N R14W SEC 9, S2NE,SENW,NESW,SE; SEC 10, S2     </t>
  </si>
  <si>
    <t>COC78806</t>
  </si>
  <si>
    <t>43N</t>
  </si>
  <si>
    <t xml:space="preserve">T43N R15W SEC 27 NENW.S2NW; SEC 28 N2NW,S2N2;     </t>
  </si>
  <si>
    <t>OHES059251</t>
  </si>
  <si>
    <t>Monroe</t>
  </si>
  <si>
    <t xml:space="preserve">T1N R4W Sec 34; SESW less 5.35 ac of SE cor., Pt. W2SW      </t>
  </si>
  <si>
    <t>OHES059252</t>
  </si>
  <si>
    <t>Noble</t>
  </si>
  <si>
    <t xml:space="preserve">T5N R7W Sec 14 Pt. NWNW and Pt. E2NW, Pt. NWNW  west of Twp Rd 252, Pt NESW, Pt NW  with exceptions  Sec. 20; E2NW,W@NE, NENE,  Pt. SENE with exceptions  </t>
  </si>
  <si>
    <t>WYW186741</t>
  </si>
  <si>
    <t>Campbell</t>
  </si>
  <si>
    <t>530N</t>
  </si>
  <si>
    <t>690W</t>
  </si>
  <si>
    <t xml:space="preserve">T530N R690W Sec 32; LOTS 7,13     </t>
  </si>
  <si>
    <t>WYW186750</t>
  </si>
  <si>
    <t>510N</t>
  </si>
  <si>
    <t>700W</t>
  </si>
  <si>
    <t xml:space="preserve">T510N R700W Sec 004 LOTS 8,9,14,15; Sec 009 LOTS 1-4     </t>
  </si>
  <si>
    <t>WYW186751</t>
  </si>
  <si>
    <t>520N</t>
  </si>
  <si>
    <t xml:space="preserve">T520N R700W Sec 012 LOTS 2,5,6,9     </t>
  </si>
  <si>
    <t>WYW186754</t>
  </si>
  <si>
    <t xml:space="preserve">T530N R720W Sec 5 LOTS 7,8; Sec 6 LOTS 9,10,14-17; Sec 8 LOTS 3-5, 8-11; Sec 8 SWSE; Sec 9 LOTS 13;  Sec 17 LOTS 3-5, 10, 11   </t>
  </si>
  <si>
    <t>WYW186755</t>
  </si>
  <si>
    <t>540N</t>
  </si>
  <si>
    <t xml:space="preserve">T540N R720W Sec 5 LOTS 7; Sec 6 LOTS 8,15; Sec 21 LOTS 1-7;  Sec 30 LOTS 19    </t>
  </si>
  <si>
    <t>WYW186756</t>
  </si>
  <si>
    <t xml:space="preserve">T540N R720W Sec 9 LOTS 5-8; Sec 20 LOTS 1-4, 6-8; Sec 31 LOTS 6-8,12,17    </t>
  </si>
  <si>
    <t>WYW186757</t>
  </si>
  <si>
    <t>550N</t>
  </si>
  <si>
    <t xml:space="preserve">T550N R720W Sec 29 LOTS 6,7; Sec 30 LOTS 5,13     </t>
  </si>
  <si>
    <t>WYW186758</t>
  </si>
  <si>
    <t xml:space="preserve">T550N R720W Sec 30, LOT 6; Sec 32, LOT 1     </t>
  </si>
  <si>
    <t>WYW186765</t>
  </si>
  <si>
    <t xml:space="preserve">T540N R730W Sec 1 LOTS 7,8; Sec 14, LOTS 1,2; Sec 24 LOTS 3,6,7 10,11,14,15    </t>
  </si>
  <si>
    <t>WYW186768</t>
  </si>
  <si>
    <t>Converse</t>
  </si>
  <si>
    <t>330N</t>
  </si>
  <si>
    <t>750W</t>
  </si>
  <si>
    <t xml:space="preserve">T330N R750W Sec 10, SWNE,E2NW,NESW,W2SE; Sec 15, NWNE NENW    </t>
  </si>
  <si>
    <t>NMNM137436</t>
  </si>
  <si>
    <t>CHAVEZ</t>
  </si>
  <si>
    <t>30S</t>
  </si>
  <si>
    <t>270E</t>
  </si>
  <si>
    <t xml:space="preserve">T30S R270E SEC 008 N2     </t>
  </si>
  <si>
    <t>NMNM137450</t>
  </si>
  <si>
    <t>70S</t>
  </si>
  <si>
    <t>300E</t>
  </si>
  <si>
    <t xml:space="preserve">T70S R300E SEC 035 SWNW,N2SW     </t>
  </si>
  <si>
    <t>NMNM137451</t>
  </si>
  <si>
    <t xml:space="preserve">T70S R300E SEC 035 SESE     </t>
  </si>
  <si>
    <t>NMNM137452</t>
  </si>
  <si>
    <t>80S</t>
  </si>
  <si>
    <t xml:space="preserve">T80S R300E SEC 001 LOTS 3,4; SEC 001 S2NW,SW     </t>
  </si>
  <si>
    <t>NMNM137456</t>
  </si>
  <si>
    <t>120S</t>
  </si>
  <si>
    <t>320E</t>
  </si>
  <si>
    <t xml:space="preserve">T120S R320E SEC 014 S2NE     </t>
  </si>
  <si>
    <t>NMNM137478</t>
  </si>
  <si>
    <t>190S</t>
  </si>
  <si>
    <t>380E</t>
  </si>
  <si>
    <t xml:space="preserve">T190S R380E SEC 013 SW     </t>
  </si>
  <si>
    <t>NMNM137479</t>
  </si>
  <si>
    <t xml:space="preserve">T190S R380E SEC 020 NE,N2SE     </t>
  </si>
  <si>
    <t>NMNM137480</t>
  </si>
  <si>
    <t>260S</t>
  </si>
  <si>
    <t xml:space="preserve">T260S R380E SEC 020 SESE; SEC 029 E2E2     </t>
  </si>
  <si>
    <t>NMNM137482</t>
  </si>
  <si>
    <t xml:space="preserve">T260S R380E SEC 030 N2     </t>
  </si>
  <si>
    <t>NMNM137483</t>
  </si>
  <si>
    <t xml:space="preserve">T260S R380E SEC 030 SW; SEC 031 LOTS 2,3,4; SEC 031 NWNE,N2NW     </t>
  </si>
  <si>
    <t>NMNM137484</t>
  </si>
  <si>
    <t xml:space="preserve">T260S R380E SEC 021 LOTS 1-4; SEC 021 NW,S2SW     </t>
  </si>
  <si>
    <t>MTM110399</t>
  </si>
  <si>
    <t>MUSSELSHELL</t>
  </si>
  <si>
    <t>23E</t>
  </si>
  <si>
    <t xml:space="preserve">T9N R23E Sec 9, S1/2; Sec 15 SW1/4     </t>
  </si>
  <si>
    <t>MTM110400</t>
  </si>
  <si>
    <t xml:space="preserve">T9N R23E Sec 20 NE1/4NE1/4, SE1/4NW1/4, S1/2SE1/4     </t>
  </si>
  <si>
    <t>MTM110401</t>
  </si>
  <si>
    <t xml:space="preserve">T9N R24E Sec 28 NE1/4     </t>
  </si>
  <si>
    <t>MTM110402</t>
  </si>
  <si>
    <t xml:space="preserve">T9N R24E Sec 34 SW1/4     </t>
  </si>
  <si>
    <t>MTM110403</t>
  </si>
  <si>
    <t xml:space="preserve">T10N R25E Sec 11     </t>
  </si>
  <si>
    <t>MTM110404</t>
  </si>
  <si>
    <t>26E</t>
  </si>
  <si>
    <t xml:space="preserve">T9N R26E Sec 11; Sec 15 N1/2NE1/4. NW1/4     </t>
  </si>
  <si>
    <t>MTM110405</t>
  </si>
  <si>
    <t xml:space="preserve">T9N R26E Sec 12 S1/2SW1/4, S1/2SE1/4     </t>
  </si>
  <si>
    <t>MTM110406</t>
  </si>
  <si>
    <t xml:space="preserve">T9N R26E Sec 13; Sec 14 E1/2; Sec 24 NE1/4     </t>
  </si>
  <si>
    <t>MTM110407</t>
  </si>
  <si>
    <t xml:space="preserve">T9N R26E Sec 22 SW1/4     </t>
  </si>
  <si>
    <t>MTM110408</t>
  </si>
  <si>
    <t xml:space="preserve">T11N R30E Sec 4 S1/2; Sec 10 N1/2, SE1/4     </t>
  </si>
  <si>
    <t>MTM110409</t>
  </si>
  <si>
    <t>CARBON</t>
  </si>
  <si>
    <t>9S</t>
  </si>
  <si>
    <t xml:space="preserve">T9S R22E Sec 1; Sec 2; Sec 11; Sec 12     </t>
  </si>
  <si>
    <t>MTM110410</t>
  </si>
  <si>
    <t xml:space="preserve">T9S R22E Sec 3, LOTS 1-3; Sec 3 S1/2NE1/4, SE1/4NW1/4, S1/2; Sec 4, SE1/4SE1/4; Sec 10; Sec 13 N1/2, SW1/4 Sec 14   </t>
  </si>
  <si>
    <t>MTM110411</t>
  </si>
  <si>
    <t xml:space="preserve">T9S R22E Sec 32 E1/2NE1/4,E1/2SE1/4; Sec 33; Sec 35 S1/2     </t>
  </si>
  <si>
    <t>MTM110412</t>
  </si>
  <si>
    <t xml:space="preserve">T9S R22E Sec 13 SE1/4; Sec 34 E1/2NE1/4; Sec 35 N1/2     </t>
  </si>
  <si>
    <t>MTM110413</t>
  </si>
  <si>
    <t xml:space="preserve">T9S R22E Sec 20 E1/2NE1/4, SE1/4; Sec 21; Sec 28 SW1/4SW1/4 Sec 29 LOT 9; Sec 29 NE1/4, E1/2SE1/4    </t>
  </si>
  <si>
    <t>MTM110414</t>
  </si>
  <si>
    <t xml:space="preserve">T9S R22E Sec 25; Sec 27 E1/2, SE1/4SW1/4     </t>
  </si>
  <si>
    <t>MTM110415</t>
  </si>
  <si>
    <t>7S</t>
  </si>
  <si>
    <t xml:space="preserve">T7S R23E Sec 13 W1/2SW1/4; Sec 14 SE1/4NE1/4, S1/2SW1/4 Sec 22, NE1/4, E1/2NW1/4; Sec 23 NW1/4 Sec 24 NW1/4; Sec 26, N1/2NE1/4, SE1/4NE1/4   </t>
  </si>
  <si>
    <t>MTM110416</t>
  </si>
  <si>
    <t xml:space="preserve">T7S R23E Sec 27, NE1/4SW1/4,SE1/4; Sec 31 W1/2NE1/4; Sec 32 Sec 33 NE1/4,S 1/2; Sec 34 NW1/4NE1/4, SW1/4NW1/4, NW1/4SW1/4; Sec 35, E1/2 , E1/2NW1/4, E1/2SW1/4  </t>
  </si>
  <si>
    <t>MTM110418</t>
  </si>
  <si>
    <t xml:space="preserve">T8S R23E Sec 21 SW1/4SW1/4; Sec 27 NW1/4SW1/4, S1/2SW1/4 Sec 28 NW1/4NE1/4, S1/2NE1/4 NW1/4, S1/2; Sec 29 NE1/4, S1/2NW1/4, S1/2   </t>
  </si>
  <si>
    <t>MTM110420</t>
  </si>
  <si>
    <t>CHOUTEAU</t>
  </si>
  <si>
    <t>3E</t>
  </si>
  <si>
    <t xml:space="preserve">T27N R3E Sec 7 NE1/4SE1/4, S1/2SE1/4; Sec 8 W1/2SW1/4;  Sec 11 SE1/4NW1/4    </t>
  </si>
  <si>
    <t>MTM110432</t>
  </si>
  <si>
    <t>GLACIER</t>
  </si>
  <si>
    <t>37N</t>
  </si>
  <si>
    <t xml:space="preserve">T37N R6W Sec 26 SW1/4SE1/4; Sec 35 NE1/4, N1/2SE1/4     </t>
  </si>
  <si>
    <t>ARES059276</t>
  </si>
  <si>
    <t>10W</t>
  </si>
  <si>
    <t xml:space="preserve">T12N R10W SEC 9 N2SW N2NESWSW N2NWSESW N2NWSWSW  NWSE N2SWSE SESWSE SESE    </t>
  </si>
  <si>
    <t>ARES059277</t>
  </si>
  <si>
    <t xml:space="preserve">T12N R10W SEC 15 NWSW SESW SWSE     </t>
  </si>
  <si>
    <t>ARES059278</t>
  </si>
  <si>
    <t>12W</t>
  </si>
  <si>
    <t xml:space="preserve">T12N R12W SEC 23 NESE     </t>
  </si>
  <si>
    <t>ARES059279</t>
  </si>
  <si>
    <t xml:space="preserve">T9N R12W SEC21 S2SE that part lying southerly of Cardon Creek     </t>
  </si>
  <si>
    <t>ARES059280</t>
  </si>
  <si>
    <t xml:space="preserve">T11N R14W SEC 2 NENW      </t>
  </si>
  <si>
    <t>ARES059281</t>
  </si>
  <si>
    <t xml:space="preserve">T11N R14W SEC 4 W2SE     </t>
  </si>
  <si>
    <t>ARES059282</t>
  </si>
  <si>
    <t xml:space="preserve">T11N R14W Sec 6 S2NW S2NE NWNE N2NW W2SW     </t>
  </si>
  <si>
    <t>ARES059283</t>
  </si>
  <si>
    <t xml:space="preserve">T11N R14W SEC 18 W2NW NESW     </t>
  </si>
  <si>
    <t>ARES059285</t>
  </si>
  <si>
    <t xml:space="preserve">T11N R15W SEC 13 NENE     </t>
  </si>
  <si>
    <t>ARES059286</t>
  </si>
  <si>
    <t xml:space="preserve">T11N R15W SEC 20 SENW S2SWNW S2NWSWNW NWNWSWNW     </t>
  </si>
  <si>
    <t>ARES059287</t>
  </si>
  <si>
    <t xml:space="preserve">T11N R15W SEC 23 SWSE     </t>
  </si>
  <si>
    <t>ARES059288</t>
  </si>
  <si>
    <t xml:space="preserve">T11N R15W SEC 24 NWNE     </t>
  </si>
  <si>
    <t>ARES059289</t>
  </si>
  <si>
    <t xml:space="preserve">T11N R15W SEC 26 S2NW     </t>
  </si>
  <si>
    <t>ARES059290</t>
  </si>
  <si>
    <t xml:space="preserve">T11N R15W SEC 29 SESW S2SE     </t>
  </si>
  <si>
    <t>ARES059291</t>
  </si>
  <si>
    <t xml:space="preserve">T12N R15W SEC 15 W2NE     </t>
  </si>
  <si>
    <t>ARES059292</t>
  </si>
  <si>
    <t xml:space="preserve">T12N R15W SEC 26 NWNW     </t>
  </si>
  <si>
    <t>ARES059293</t>
  </si>
  <si>
    <t xml:space="preserve">T9N R11W SEC 6 N2NE     </t>
  </si>
  <si>
    <t>ARES059299</t>
  </si>
  <si>
    <t xml:space="preserve">T11N R14W SEC 1 SWSW     </t>
  </si>
  <si>
    <t>NMNM138795</t>
  </si>
  <si>
    <t>15S</t>
  </si>
  <si>
    <t xml:space="preserve">T15S R22E SEC 15 ALL     </t>
  </si>
  <si>
    <t>NMNM138803</t>
  </si>
  <si>
    <t>21S</t>
  </si>
  <si>
    <t xml:space="preserve">T21S R23E SEC 20 SESE     </t>
  </si>
  <si>
    <t>NMNM138853</t>
  </si>
  <si>
    <t>31E</t>
  </si>
  <si>
    <t xml:space="preserve">T11S R31E SEC 4 S2SE; SEC 9 N2     </t>
  </si>
  <si>
    <t>NMNM138854</t>
  </si>
  <si>
    <t xml:space="preserve">T11S R31E SEC 5 LOTS 1,2,3,4; SEC 5 S2;     </t>
  </si>
  <si>
    <t>NMNM138857</t>
  </si>
  <si>
    <t xml:space="preserve">T11S R31E SEC 17 N2, SW, N2SE, SWSE     </t>
  </si>
  <si>
    <t>NMNM138858</t>
  </si>
  <si>
    <t xml:space="preserve">T11S R31E SEC 34 NW, N2SW     </t>
  </si>
  <si>
    <t>NMNM138863</t>
  </si>
  <si>
    <t>16S</t>
  </si>
  <si>
    <t xml:space="preserve">T16S R31E SEC 26 N2NE, SWNE, W2, NWSE     </t>
  </si>
  <si>
    <t>Dropdown Controller</t>
  </si>
  <si>
    <t>Values</t>
  </si>
  <si>
    <t>Count of Serial numbers</t>
  </si>
  <si>
    <t>label</t>
  </si>
  <si>
    <t>lot_no</t>
  </si>
  <si>
    <t>short_code</t>
  </si>
  <si>
    <t>tract_id</t>
  </si>
  <si>
    <t>BLMWY-2020-Q2</t>
  </si>
  <si>
    <t>There are no permits within a 3 mile radius</t>
  </si>
  <si>
    <t xml:space="preserve">In a 3 mile radius, the latest leases with bonus information were taken in 2018.
Providence Oil Development paid $2/acre.  </t>
  </si>
  <si>
    <t>In a 3 mile radius, the latest leases with bonus information were taken in 2020.
Blue Devil Expl paid between $12/acre and $21/acre.  Robert L Bayless paid $35/acre.  The weighted average price in 2020 overall within the 3 radius was $17/acre.  The highest price paid in 2020 was $35/acre</t>
  </si>
  <si>
    <t>There are no new wells in the last 4 years within a 3 mile radius</t>
  </si>
  <si>
    <t xml:space="preserve">In a 3 mile radius, the latest leases with bonus information were taken in 2020.
Century O&amp;G paid $11/acre.  </t>
  </si>
  <si>
    <t xml:space="preserve">In a 3 mile radius, the latest leases with bonus information were taken in 2019.
Bradley Williams paid $28/acre.  </t>
  </si>
  <si>
    <t>There are no recorded leases within a 3 mile radius</t>
  </si>
  <si>
    <t>In a 3 mile radius there are 4 active permits
4 permits are H wells 
The average lateral length among these permits is 10000 ft. 
- The TVD for these well(s) are ~8200ft
Rockies Resources Holdings Llc has 4 permits</t>
  </si>
  <si>
    <t>There are 1 wells within 3 mile radius that have started producing within last 4 years
2.48 mi SW, Rockies Resources Holdings Llc has a H well at 7997 that has made 166 mbbl and 229 mmcf after 7 months of producing</t>
  </si>
  <si>
    <t>There are 1 wells within 3 mile radius that have started producing within last 4 years
2.95 mi SW, Rockies Resources Holdings Llc has a H well at 7997 that has made 166 mbbl and 229 mmcf after 7 months of producing</t>
  </si>
  <si>
    <t>There are 1 wells within 3 mile radius that have started producing within last 4 years
1.70 mi SW, Rockies Resources Holdings Llc has a H well at 7997 that has made 166 mbbl and 229 mmcf after 7 months of producing</t>
  </si>
  <si>
    <t>In a 3 mile radius there are 2 active permits
2 permits are H wells 
The average lateral length among these permits is 10000 ft. 
- The TVD for these well(s) are ~8100ft
Rockies Resources Holdings Llc has 2 permits</t>
  </si>
  <si>
    <t>There are 1 wells within 3 mile radius that have started producing within last 4 years
2.63 mi SW, Rockies Resources Holdings Llc has a H well at 7997 that has made 166 mbbl and 229 mmcf after 7 months of producing</t>
  </si>
  <si>
    <t>There are 1 wells within 3 mile radius that have started producing within last 4 years
2.46 mi W, Rockies Resources Holdings Llc has a H well at 7997 that has made 166 mbbl and 229 mmcf after 7 months of producing</t>
  </si>
  <si>
    <t>In a 3 mile radius, the latest leases with bonus information were taken in 2019.
Western American Resources paid between $18/acre and $56/acre.  Kirkwood O&amp;G paid $22/acre.  The weighted average price in 2019 overall within the 3 radius was $40/acre.  The highest price paid in 2019 was $122/acre</t>
  </si>
  <si>
    <t xml:space="preserve">In a 3 mile radius, the latest leases with bonus information were taken in 2019.
Baseline Minerals paid $640/acre.  </t>
  </si>
  <si>
    <t>In a 3 mile radius there are 6 active permits
1 permits are D wells ; 5 permits are H wells 
The average lateral length among these permits is 5000 ft. 
- The TVD for these well(s) are ~12500ft
Southland Royalty Company has 6 permits</t>
  </si>
  <si>
    <t>In a 3 mile radius there are 4 active permits
4 permits are H wells 
The average lateral length among these permits is 10000 ft. 
- The TVD for these well(s) are ~8200ft
Rockies Resources Holdings Llc has these 4 permits to the West</t>
  </si>
  <si>
    <t>In a 3 mile radius there are 5 active permits
4 permits are H wells ; 1 permits are V wells 
The average lateral length among these permits is 10000 ft. 
- The TVD for these well(s) are ~8200ft
Massif Operating Llc has 1 permits which is the vertical permit to the west, Rockies Resources Holdings Llc has 4 permits</t>
  </si>
  <si>
    <t xml:space="preserve">In a 3 mile radius, the latest leases with bonus information were taken in 2020.
Rockies Resources Holdings paid $352/acre. 2 mi S  </t>
  </si>
  <si>
    <t>In a 3 mile radius, the latest leases with bonus information were taken in 2020.
Baseline Minerals paid $1/acre.  3 years ago viking oil paid 15=25/acre within 1 mi of tract</t>
  </si>
  <si>
    <t>Count of Cold/Warm/Hot</t>
  </si>
  <si>
    <t>There are 3 wells within 3 mile radius that have started producing within last 4 years
1.12 mi SW, Double Eagle Petroleum Corporation has a D well at 1100 that has made 0 mbbl and 0 mmcf after 18 months of producing
2.42 mi SW, Rbj Oil Llc has a V well at 2680 that has made 0 mbbl and 0 mmcf after 1 months of producing
0.5 mi SW, Double Eagle Petroleum Corporation has a V well at 2612 that has made 3 mbbl and nan mmcf after 44 months of producing</t>
  </si>
  <si>
    <t xml:space="preserve">There are 3 wells within 3 mile radius that have started producing within last 4 years
2.00 mi NW, Double Eagle Petroleum Corporation has a D well at 1100 that has made 0 mbbl and nan mmcf after 18 months of producing.  
2.16 mi NW, Double Eagle Petroleum Corporation has a V well at 2612 that has made 3 mbbl and nan mmcf after 44 months of producing
1.13 mi NW, Rbj Oil Llc has a V well at 2680 that has made 0 mbbl and 0 mmcf after 1 months of producing
</t>
  </si>
  <si>
    <t>In a 3 mile radius, the latest leases with bonus information were taken in 2019.
Rockies Resources Holdings paid 250/acre  for state leases in 11/19.  rockies paid 750-907 for blm acreage in 3/2018</t>
  </si>
  <si>
    <t>In a 3 mile radius, the latest leases with bonus information were taken in 2019.
Rockies Resources Holdings paid 250/acre  for state leases in 11/19.  rockies paid 750-907 for blm acreage in 3/2019</t>
  </si>
  <si>
    <t>In a 3 mile radius, the latest leases with bonus information were taken in 2019.
Rockies Resources Holdings paid 250/acre  for state leases in 11/19.  rockies paid 750-907 for blm acreage in 3/2020</t>
  </si>
  <si>
    <t>In a 3 mile radius, the latest leases with bonus information were taken in 2019.
Baseline Minerals paid $40/acre.  4 mi east baseline paid 2/accre in 2020</t>
  </si>
  <si>
    <t>2 mi radius Timberline paid 1-2/acre for state and blm leases in 2019</t>
  </si>
  <si>
    <t xml:space="preserve">In a 3 mile radius, the latest leases with bonus information were taken in 2017.
Bissell Oil paid $2/acre.  </t>
  </si>
  <si>
    <t>In a 3 mile radius, the latest leases with bonus information were taken in 2020.
Diamond Resources paid $1/acre.   Riptide energy and kirkwood paid 10/acre for blm in 2/19</t>
  </si>
  <si>
    <t xml:space="preserve">In a 3 mile radius, the latest leases with bonus information were taken in 2020.
Liberty Petr paid $17/acre.  The weighted average price in 2020 overall within the 3 radius was $17/acre.  </t>
  </si>
  <si>
    <t xml:space="preserve">In a 3 mile radius, the latest leases with bonus information were taken in 2020.
Liberty Petr paid $17/acre.  </t>
  </si>
  <si>
    <t xml:space="preserve">In a 3 mile radius, the latest leases with bonus information were taken in 2019.
Liberty Petr paid $2/acre.  </t>
  </si>
  <si>
    <t xml:space="preserve">There are 8 wells within 3 mile radius that have started producing within last 4 years
7 are D wells; 1 are V wells
1 well has made 2 mbbl and 629 mmcfd in 15 months and is currently making 3 bpd and 1051 mcfd.  4 wells have produced for 25 to 36 months and have made between 1 to 2 mbbls with 648 to 794 mmcf of gas.  These wells are currently averaging 1 bpd and 434 mcfd.  2 wells have produced for 37 to 48 months and have made between 1 to 4 mbbls with 619 to 918 mmcf of gas.  These wells are currently averaging 1 bpd and 422 mcfd.  </t>
  </si>
  <si>
    <t>In a 3 mile radius, the latest leases with bonus information were taken in 2019.
Baseline Minerals paid $1280/acre.  Groce'S Landing paid $2/acre.  The weighted average price in 2019 overall within the 3 radius was $158/acre.  The highest price paid in 2019 was $1280/acre</t>
  </si>
  <si>
    <t xml:space="preserve">In a 3 mile radius, the latest leases with bonus information were taken in 2020.
Baseline Minerals paid $3/acre.  </t>
  </si>
  <si>
    <t xml:space="preserve">In a 3 mile radius, the latest leases with bonus information were taken in 2019.
Baseline Minerals paid $42/acre.  </t>
  </si>
  <si>
    <t xml:space="preserve">In a 3 mile radius, the latest leases with bonus information were taken in 2013.
Wes State Lands paid $2/acre.  </t>
  </si>
  <si>
    <t>3 mi southwest conoco drilled 2 wells in 2019 - best well has made 750 mmcdf and 30 mbbl In 6 months</t>
  </si>
  <si>
    <t>area to the east is mainly leased by bseline minerals for 10-42/acre</t>
  </si>
  <si>
    <t>28/acre paid by baseline minerals for blm leases in 2018 in 3 mi radius</t>
  </si>
  <si>
    <t>In a 3 mile radius, the latest leases with bonus information were taken in 2020.
Baseline Minerals paid $3/acre.    1 mi sw context energy paid 22/acre in 2012</t>
  </si>
  <si>
    <t xml:space="preserve">In a 3 mile radius, the latest leases with bonus information were taken in 2019.
Groce'S Landing paid $2/acre.  Liberty Petr paid $2/acre.  </t>
  </si>
  <si>
    <t xml:space="preserve">In a 3 mile radius, the latest leases with bonus information were taken in 2019.
Diamond Resources paid 1/acre (says 640 on di - most likely total bonus)  </t>
  </si>
  <si>
    <t>1/acre 3.5 mi SE by baseline in 3/20 state sale</t>
  </si>
  <si>
    <t xml:space="preserve">In a 3 mile radius, the latest leases with bonus information were taken in 2019.
Liberty Petr paid $2/acre.  Groce'S Landing paid $2/acre. </t>
  </si>
  <si>
    <t xml:space="preserve">In a 3 mile radius, the latest leases with bonus information were taken in 2019.
Liberty Petr paid $2/acre.  
In 2018, Baseline Minerals paid between $11/acre and $27/acre. 
Discovery Petr paid $19/acre. 
In 2016, Robert L Bayless paid $2/acre. 
</t>
  </si>
  <si>
    <t xml:space="preserve">In a 3 mile radius, the latest leases with bonus information were taken in 2019.
Diamond Resources paid $3/acre.  Groce'S Landing paid between $2/acre and $16/acre.  The weighted average price in 2019 overall within the 3 radius was $6/acre.  The highest price paid in 2019 was $16/acre
</t>
  </si>
  <si>
    <t xml:space="preserve">In a 3 mile radius, the latest leases with bonus information were taken in 2019.
Diamond Resources paid $3/acre.  Groce'S Landing paid $2/acre.  The weighted average price in 2019 overall within the 3 radius was $2/acre.  The highest price paid in 2019 was $3/acre
</t>
  </si>
  <si>
    <t xml:space="preserve">In a 3 mile radius, the latest leases with bonus information were taken in 2019.
Liberty Petr paid $2/acre.  Diamond Resources paid $3/acre.  The weighted average price in 2019 overall within the 3 radius was $2/acre.  The highest price paid in 2019 was $3/acre
</t>
  </si>
  <si>
    <t xml:space="preserve">In a 3 mile radius, the latest leases with bonus information were taken in 2018.
Bro Energy paid $6/acre.  
</t>
  </si>
  <si>
    <t xml:space="preserve">In a 3 mile radius, the latest leases with bonus information were taken in 2019.
Liberty Petr paid $2/acre.  
</t>
  </si>
  <si>
    <t xml:space="preserve">In a 3 mile radius, the latest leases with bonus information were taken in 2018.
Kirkwood O&amp;G paid $4/acre.  
In 2016, Kirkwood O&amp;G paid $13/acre. 
Kog paid $28/acre. 
</t>
  </si>
  <si>
    <t xml:space="preserve">In a 3 mile radius, the latest leases with bonus information were taken in 2019.
Western American Resources paid $1/acre.  
</t>
  </si>
  <si>
    <t xml:space="preserve">In a 3 mile radius, the latest leases with bonus information were taken in 2019.
Kirkwood O&amp;G paid $1/acre.  
</t>
  </si>
  <si>
    <t xml:space="preserve">In a 3 mile radius, the latest leases with bonus information were taken in 2019.
Western American Resources paid between $2/acre and $13/acre.  Liberty Petr paid $16/acre.  The weighted average price in 2019 overall within the 3 radius was $9/acre.  The highest price paid in 2019 was $16/acre
</t>
  </si>
  <si>
    <t xml:space="preserve">In a 3 mile radius, the latest leases with bonus information were taken in 2015.
New Century Prod paid $13/acre.  
In 2012, Liberty Petr paid $12/acre. 
</t>
  </si>
  <si>
    <t xml:space="preserve">In a 3 mile radius, the latest leases with bonus information were taken in 2019.
Bullock paid $2/acre.  
</t>
  </si>
  <si>
    <t xml:space="preserve">In a 3 mile radius, the latest leases with bonus information were taken in 2019.
Bullock paid $2/acre.  Western American Resources paid $3/acre.  The weighted average price in 2019 overall within the 3 radius was $3/acre.  The highest price paid in 2019 was $3/acre
In 2017, New Century Prod paid $6/acre. 
</t>
  </si>
  <si>
    <t xml:space="preserve">In a 3 mile radius, the latest leases with bonus information were taken in 2017.
New Century Prod paid between $2/acre and $6/acre.  The weighted average price in 2017 overall within the 3 radius was $3/acre.  The highest price paid in 2017 was $6/acre
In 2015, New Century Prod paid between $25/acre and $30/acre. 
</t>
  </si>
  <si>
    <t xml:space="preserve">In a 3 mile radius, the latest leases with bonus information were taken in 2019.
Diamond Resources paid between 7-$22/acre Liberty Petr paid $2/acre.  
In 2018, Baseline Minerals paid $27/acre. 
Discovery Petr paid $19/acre. 
In 2016, Robert L Bayless paid $2/acre. 
</t>
  </si>
  <si>
    <t>There are no recorded leases within a 3 mile radius - 4 mi east is the 3/acre diamond resources paid in 2019 from tract 59</t>
  </si>
  <si>
    <t>Liberty petroluem 2 mi east paid 2/acre in 12/19</t>
  </si>
  <si>
    <t xml:space="preserve">There are 16 wells within 3 mile radius that have started producing within last 4 years
15 are D wells; 1 are V wells
Deviated well depths are roughly 7300' - low oil but good gas for depth of well
4 wells have produced for 12 to 18 months and have made between 1 to 3 mbbls with 196 to 647 mmcf of gas.  These wells are currently averaging 3 bpd and 667 mcfd.  8 wells have produced for 25 to 36 months and have made between 3 to 5 mbbls with 670 to 1088 mmcf of gas.  These wells are currently averaging 3 bpd and 701 mcfd.  3 wells have produced for 37 to 48 months and have made between 4 to 6 mbbls with 918 to 1349 mmcf of gas.  These wells are currently averaging 3 bpd and 524 mcfd.  </t>
  </si>
  <si>
    <t xml:space="preserve">There are 17 wells within 3 mile radius that have started producing within last 4 years
16 are D wells; 1 are V wells
Deviated well depths are roughly 7300' - low oil but good gas for depth of well
13 wells have produced for 25 to 36 months and have made between 1 to 2 mbbls with 455 to 1025 mmcf of gas.  These wells are currently averaging 1 bpd and 458 mcfd.  4 wells have produced for 37 to 48 months and have made between 1 to 4 mbbls with 619 to 918 mmcf of gas.  These wells are currently averaging 1 bpd and 395 mcfd.  </t>
  </si>
  <si>
    <t>4 permits 2 mi Nw by questar - 7000 deviated wells</t>
  </si>
  <si>
    <t>6 ducs by wexpro few hundred ft from lease boundary - 7500 deviated wells by wexpro</t>
  </si>
  <si>
    <t>4-5 mi nw merit has drilled shallow oil wells at 4000' that have made 45-60 mbbl in 2 years</t>
  </si>
  <si>
    <t xml:space="preserve">In a 3 mile radius, the latest leases with bonus information were taken in 2019.
Diamond Resources paid between $3/acre and $27/acre.  Liberty Petr paid between $11/acre and $27/acre.
</t>
  </si>
  <si>
    <t>There are no recorded leases within a 3 mile radius - 4 mi east lease was 1/acre</t>
  </si>
  <si>
    <t>4 mi N from cetner of tract - hilcorp has 7 gas wells at 12,000' - have only made 52 mmcf with nominal oil in 27 months</t>
  </si>
  <si>
    <t xml:space="preserve">In a 3 mile radius, the latest leases with bonus information were taken in 2019.
Western American Resources paid between $2/acre for state leases.
In 2018, Western American Resources paid $2/acre. 
</t>
  </si>
  <si>
    <t>In a 3 mile radius, the latest leases with bonus information were taken in 2017.
New Century Prod paid $2/acre.</t>
  </si>
  <si>
    <t xml:space="preserve">There are 3 wells within the tract.
3 dry holes in tract.
There are ~57 wells outside the tract within a 3 mile radius.
Out of these, 32 were dry and 9 do not have reported production. 
The top wells that produced made: 73 mbbl and 148 mmcf at 2703 ft in 256 months from 1981-2006; 39 mbbl and 50 mmcf at 2575 ft in 373 months from 1983-2020; 16 mbbl and 129 mmcf at 2500 ft in 70 months from 2014-2020; 21 mbbl and 13 mmcf at 2574 ft in 313 months from 1983-2020; 10 mbbl and 0 mmcf at 1787 ft in 72 months from 2012-2019; </t>
  </si>
  <si>
    <t xml:space="preserve">There is 1 wells within the trat which was a dry hole.
There are ~40 wells outside the tract within a 3 mile radius.
Out of these, 24 were dry and 5 do not have reported production. 
The top wells that produced made: 10 mbbl and 0 mmcf at 1787 ft in 72 months from 2012-2019; </t>
  </si>
  <si>
    <t xml:space="preserve">There are 1 wells within the tract.
1 dry holes in tract.
There are ~6 wells outside the tract within a 3 mile radius.
Out of these, 6 were dry
</t>
  </si>
  <si>
    <t xml:space="preserve">There are 3 wells within the tract.
3 dry holes in tract.
There are ~12 wells outside the tract within a 3 mile radius.
Out of these, 12 were dry
</t>
  </si>
  <si>
    <t xml:space="preserve">There are 1 wells within the tract.
1 dry holes in tract.
Wells 2-3 mi west made 30-70 mbbl at 9000' </t>
  </si>
  <si>
    <t xml:space="preserve">There are no wells within tract boundaries 
There are ~11 wells outside the tract within a 3 mile radius.
Out of these, 4 were dry and 1 do not have reported production. 
The top wells that produced made: 73 mbbl and 72 mmcf at 9530 ft in 429 months from 1982-2020; 43 mbbl and 82 mmcf at 9127 ft in 159 months from 2006-2020; 30 mbbl and 61 mmcf at 9305 ft in 171 months from 2004-2020; 18 mbbl and 40 mmcf at 7630 ft in 77 months from 2011-2020; 16 mbbl and 22 mmcf at 9038 ft in 124 months from 2006-2020; </t>
  </si>
  <si>
    <t xml:space="preserve">There are 2 wells within the tract.
2 dry holes in tract.
There are ~19 wells outside the tract within a 3 mile radius.
Out of these, 15 were dry and 1 do not have reported production. 
The top wells that produced made: 36 mbbl and 11 mmcf at 11221 ft in 41 months from 1981-1984; </t>
  </si>
  <si>
    <t xml:space="preserve">There are no wells within tract boundaries 
There are ~11 wells outside the tract within a 3 mile radius.
Out of these, 3 were dry and 1 do not have reported production. 
The top wells that produced made: 73 mbbl and 72 mmcf at 9530 ft in 429 months from 1982-2020; 43 mbbl and 82 mmcf at 9127 ft in 159 months from 2006-2020; 30 mbbl and 61 mmcf at 9305 ft in 171 months from 2004-2020; 18 mbbl and 40 mmcf at 7630 ft in 77 months from 2011-2020; 16 mbbl and 22 mmcf at 9038 ft in 124 months from 2006-2020; </t>
  </si>
  <si>
    <t xml:space="preserve">There are no wells within tract boundaries 
There are ~13 wells outside the tract within a 3 mile radius.
Out of these, 9 were dry and 1 do not have reported production. 
The top wells that produced made: 36 mbbl and 11 mmcf at 11221 ft in 41 months from 1981-1984; </t>
  </si>
  <si>
    <t xml:space="preserve">There are no wells within tract boundaries 
Wells 2-3 mi west made 30-70 mbbl at 9000' </t>
  </si>
  <si>
    <r>
      <t xml:space="preserve">There are no wells within tract boundaries 
There are ~38 wells outside the tract within a 3 mile radius.
Out of these, 14 were dry and 3 do not have reported production. 
</t>
    </r>
    <r>
      <rPr>
        <b/>
        <sz val="11"/>
        <color theme="1"/>
        <rFont val="Calibri"/>
        <family val="2"/>
        <scheme val="minor"/>
      </rPr>
      <t xml:space="preserve">The top wells that produced made: 120 mbbl and 277 mmcf at 7200 ft in 239 months from 1981-2004; 108 mbbl and 331 mmcf at 6675 ft in 95 months from 1974-1982; 107 mbbl and 309 mmcf at 6743 ft in 308 months from 1974-2002; 106 mbbl and 208 mmcf at 7180 ft in 411 months from 1980-2019; 81 mbbl and 152 mmcf at 7175 ft in 229 months from 1981-2002; </t>
    </r>
  </si>
  <si>
    <r>
      <t xml:space="preserve">There are 1 wells within the tract -
1 dry hole
There are ~234 wells outside the tract within a 3 mile radius.
Out of these, 146 were dry and 29 do not have reported production. 
</t>
    </r>
    <r>
      <rPr>
        <b/>
        <sz val="11"/>
        <color theme="1"/>
        <rFont val="Calibri"/>
        <family val="2"/>
        <scheme val="minor"/>
      </rPr>
      <t xml:space="preserve">The top wells that produced made: 1951 mbbl and 10 mmcf at 7505 ft in 548 months from 1974-2020; 1570 mbbl and 11 mmcf at 7388 ft in 213 months from 1974-1994; 1439 mbbl and 8 mmcf at 7500 ft in 553 months from 1974-2020; 1398 mbbl and 8 mmcf at 7495 ft in 554 months from 1974-2020; 729 mbbl and 3 mmcf at 7393 ft in 396 months from 1984-2017; </t>
    </r>
  </si>
  <si>
    <t>There are no permits within a 3 mile radius - tract labeled warm b/c of its old production</t>
  </si>
  <si>
    <t>There are no wells within tract boundaries 
There are ~16 wells outside the tract within a 3 mile radius.
Out of these, 15 were dry and 0 do not have reported production. 
The top wells that produced made: 97 mbbl and 784 mmcf at 9415 ft in 473 months from 1980-2019;  another wll made 45 mbbl and 659 mmcf in 381 months from 1986 to 2020 at 9251'.  mulitple pending permits from century - however, these are always the case in wyoming</t>
  </si>
  <si>
    <t xml:space="preserve">There are no wells within tract boundaries 
There are ~12 wells outside the tract within a 3 mile radius.
Out of these, 12 were dry
</t>
  </si>
  <si>
    <t xml:space="preserve">There are no wells within tract boundaries 
There are ~30 wells outside the tract within a 3 mile radius.
Out of these, 21 were dry 
The top wells that produced made: 97 mbbl and 784 mmcf at 9415 ft in 473 months from 1980-2019; 41 mbbl and 1078 mmcf at 9372 ft in 421 months from 1979-2019; 39 mbbl and 1080 mmcf at 9545 ft in 389 months from 1974-2019; 25 mbbl and 1017 mmcf at 9548 ft in 123 months from 1974-2017; 41 mbbl and 860 mmcf at 9435 ft in 455 months from 1980-2017; </t>
  </si>
  <si>
    <t>There are no wells within tract boundaries 
There are ~10 wells outside the tract within a 3 mile radius.
Out of these, 10 were dry</t>
  </si>
  <si>
    <t xml:space="preserve">There are 1 wells within the trat - dry hole
There are ~18 wells outside the tract within a 3 mile radius.
Out of these, 13 were dry and 0 do not have reported production. 
The top wells that produced made: 148 mbbl and 1801 mmcf at 9665 ft in 313 months from 1977-2005 3 mi SW; 30 mbbl and 1105 mmcf at 9400 ft in 307 months from 1977-2003; 63 mbbl and 243 mmcf at 9480 ft in 502 months from 1974-2020; 43 mbbl and 78 mmcf at 9278 ft in 362 months from 1979-2019; 0 mbbl and 0 mmcf at 9402 ft in 5 months from 1977-1978; </t>
  </si>
  <si>
    <r>
      <t xml:space="preserve">There are 1 wells within the tract -1 dry hole
There are ~171 wells outside the tract within a 3 mile radius.
Out of these, 86 were dry and 35 do not have reported production. 
</t>
    </r>
    <r>
      <rPr>
        <b/>
        <sz val="11"/>
        <color theme="1"/>
        <rFont val="Calibri"/>
        <family val="2"/>
        <scheme val="minor"/>
      </rPr>
      <t xml:space="preserve">The top wells that produced made: 449 mbbl and 60 mmcf at 7021 ft in 498 months from 1974-2015; 412 mbbl and 55 mmcf at 7200 ft in 455 months from 1974-2015; 337 mbbl and 50 mmcf at 7209 ft in 537 months from 1974-2020; 322 mbbl and 41 mmcf at 7189 ft in 279 months from 1974-1997; 317 mbbl and 45 mmcf at 7200 ft in 549 months from 1974-2020; </t>
    </r>
  </si>
  <si>
    <t>There are 2 wells within the tract.
1 dry holes in tract.
1 wells reported production.  It only produced: 0 mbbl and 1 mmcf at 1796 ft from years 2007-2011, 
There are ~205 wells outside the tract within a 3 mile radius.
Out of these, 16 were dry and 35 do not have reported production. 
The top wells that produced made: 60 mbbl and 473 mmcf at 8626 ft in 321 months from 1975-2009; 49 mbbl and 242 mmcf at 8494 ft in 286 months from 1975-2003; 25 mbbl and 379 mmcf at 8550 ft in 323 months from 1974-2009; 33 mbbl and 26 mmcf at 8559 ft in 479 months from 1976-2020; 5 mbbl and 25 mmcf at 8705 ft in 38 months from 1975-1978; Other wells are CBM wells that appear to peak at 500 mmcf</t>
  </si>
  <si>
    <t xml:space="preserve">There are no wells within tract boundaries 
There are ~7 wells outside the tract within a 3 mile radius.
Out of these, 6 were dry and 1 do not have reported production. 
</t>
  </si>
  <si>
    <t xml:space="preserve">There are 8 wells within the tract.
2 wells did not report production.  6 wells reported production and are all low producing CBM wells.  They produced: 0 mbbl and 15 mmcf at 1128 ft from years 2005-2012, 0 mbbl and 6 mmcf at 1739 ft from years 2005-2011, 0 mbbl and 18 mmcf at 1140 ft from years 2005-2012, 0 mbbl and 55 mmcf at 765 ft from years 2006-2012, 0 mbbl and 9 mmcf at 1108 ft from years 2005-2010, 0 mbbl and 7 mmcf at 1065 ft from years 2005-2010, 
There are ~214 wells outside the tract within a 3 mile radius.
Out of these, 13 were dry and 42 do not have reported production. 
The top wells that produced made: 17 mbbl and 1155 mmcf at 8406 ft in 201 months from 1974-1995; 84 mbbl and 362 mmcf at 8240 ft in 238 months from 1974-1996; 69 mbbl and 95 mmcf at 8208 ft in 193 months from 1974-1990; 47 mbbl and 171 mmcf at 8235 ft in 282 months from 1974-1999; 34 mbbl and 171 mmcf at 8245 ft in 166 months from 1974-1992; </t>
  </si>
  <si>
    <t xml:space="preserve">There are no wells within tract boundaries 
There are ~76 wells outside the tract within a 3 mile radius.
Out of these, 1 were dry and 27 do not have reported production. The top wells are that did report are all CBM wells with a peak at 342 mmcf at 1000' 
</t>
  </si>
  <si>
    <t xml:space="preserve">There are no wells within tract boundaries 
There are ~22 wells outside the tract within a 3 mile radius.
Out of these, 16 were dry and 1 do not have reported production.  The5 wells that produced made a nominal amount of 4mbbl, 1mmbl at 3000'.
</t>
  </si>
  <si>
    <t xml:space="preserve">There are 1 wells within the tract - dry hole
There are ~11 wells outside the tract within a 3 mile radius.
Out of these, 7 were dry and 4 do not have reported production. 
</t>
  </si>
  <si>
    <t xml:space="preserve">There are 2 wells within the tract.
1 dry hole in tract.
1 wells reported production of nominal 16 bbls.
1 well 1/2 mi north made negligible 5 mbbl at 10,000' 
</t>
  </si>
  <si>
    <t xml:space="preserve">There are no wells within tract boundaries 
There are ~7 wells outside the tract within a 3 mile radius.
Out of these, 7 were dry
</t>
  </si>
  <si>
    <t xml:space="preserve">There are no wells within tract boundaries 
There are ~19 wells outside the tract within a 3 mile radius.
Out of these, 4 were dry and 11 do not have reported production. 
The top wells that produced made: 11 mbbl and 833 mmcf at 10615 ft in 89 months from 2011-2020; 9 mbbl and 286 mmcf at 11600 ft in 141 months from 2006-2019; 2 mbbl and 55 mmcf at 11610 ft in 83 months from 2009-2018; 1 mbbl and 41 mmcf at 11040 ft in 30 months from 2005-2009; </t>
  </si>
  <si>
    <t xml:space="preserve">There are no wells within tract boundaries 
There are ~4 wells outside the tract within a 3 mile radius.
Out of these, 1 were dry and 3 do not have reported production. 
</t>
  </si>
  <si>
    <t xml:space="preserve">There are no wells within tract boundaries 
There are ~3 wells outside the tract within a 3 mile radius.
Out of these, 2 were dry and 1 do not have reported production. 
</t>
  </si>
  <si>
    <t>In a 3 mile radius, the latest leases with bonus information were taken in 2019.
Mason Resources paid $788/acre.  Rockies Resources Holdings paid $206/acre.   - we paid 28/acre 4 mi southeast in 3/24/20 sale;  southland royallty paid 1600 near our acreage 3 mi south</t>
  </si>
  <si>
    <t>There are no new wells in the last 4 years within a 3 mile radius.  6 mi south there is conoco, bp making  wells with 11000 (8000 tvd, 4-5000' Horizontal) md wells. Wells that have prod 28 months have made 161 mbbl with 1.5 bcf</t>
  </si>
  <si>
    <t xml:space="preserve">There are no permits within a 3 mile radius;  6 mi south are permtis by southland for H wells in lewis.  These are far away and do not want to generate false optimism - but this may be on the fringe and worth while picking up for low (&lt;25/acre) </t>
  </si>
  <si>
    <t>There are no permits within a 3 mile radius.</t>
  </si>
  <si>
    <t xml:space="preserve">In a 3 mile radius, the latest leases with bonus information were taken in 2019.
Nerd Gas paid $640/acre.    Baseline paid 42/acre in 12/19 for blm leases </t>
  </si>
  <si>
    <t>No old wells within tract or in 3 mile radius of tract.</t>
  </si>
  <si>
    <t>No old wells within tract or in 3 mile radius of tract. 4-6 mi south wells were low performers - mainyl 15-30 mbbl at 12,000' withn 10+ years of production</t>
  </si>
  <si>
    <t xml:space="preserve">There are no wells within tract boundaries 
There are ~1 wells outside the tract within a 3 mile radius. does not have reported production.  
4-5 mi NE band of large producing gas wells that have made 1-5 bcf, with top performers making 7-15 MMCF at 10,000'
</t>
  </si>
  <si>
    <t xml:space="preserve">There are no wells within tract boundaries 
There are ~2 wells outside the tract within a 3 mile radius. - do not have reported production. 
4-5 mi NE band of large producing gas wells that have made 1-5 bcf, with top performers making 7-15 MMCF at 10,000'
</t>
  </si>
  <si>
    <t>No old wells within tract or in 3 mile radius of tract.  10 mi NE band of large producing gas wells that have made 1-5 bcf, with top performers making 7-15 MMCF at 10,000'</t>
  </si>
  <si>
    <t>No old wells within tract or in 3 mile radius of tract.  4-5 mi NE band of large producing gas wells that have made 1-5 bcf, with top performers making 7-15 MMCF at 10,000'</t>
  </si>
  <si>
    <t xml:space="preserve">There are no wells within tract boundaries 
There are ~2 wells outside the tract within a 3 mile radius.
Out of these, 1 were dry and 1 do not have reported production. 
</t>
  </si>
  <si>
    <t>There are no wells within tract boundaries 
There are ~1 wells outside the tract within a 3 mile radius. -it was dry hole
4-5 mi NE band of large producing gas wells that have made 1-5 bcf, with top performers making 7-15 MMCF at 10,000'</t>
  </si>
  <si>
    <t xml:space="preserve">There are no wells within tract boundaries 
There are ~1 wells outside the tract within a 3 mile radius - does not have reported production.  
4-5 mi NE band of large producing gas wells that have made 1-5 bcf, with top performers making 7-15 MMCF at 10,000'
</t>
  </si>
  <si>
    <t xml:space="preserve">There are no wells within tract boundaries 
There are ~1 wells outside the tract within a 3 mile radius. -it was a dry hole 
</t>
  </si>
  <si>
    <t xml:space="preserve">There are 1 wells within the tract.
1 wells did not report production
There are ~1 wells outside the tract within a 3 mile radius. -it was a dry hole 
</t>
  </si>
  <si>
    <t xml:space="preserve">There are no wells within tract boundaries 
There are ~1 wells outside the tract within a 3 mile radius -  does not have reported production. 
</t>
  </si>
  <si>
    <t xml:space="preserve">There are no wells within tract boundaries 
There are ~2 wells outside the tract within a 3 mile radius.
Out of these, 2 were dry
</t>
  </si>
  <si>
    <t xml:space="preserve">There are no wells within tract boundaries 
There are ~1 wells outside the tract within a 3 mile radius.
Out of these, 1 were dry
</t>
  </si>
  <si>
    <t xml:space="preserve">There are no wells within tract boundaries 
There are ~1 wells outside the tract within a 3 mile radius.
Out of these, 1 were dry 
</t>
  </si>
  <si>
    <t xml:space="preserve">There are 1 wells within the tract - dry hole 
</t>
  </si>
  <si>
    <t xml:space="preserve">There are no wells within tract boundaries 
There are ~1 wells outside the tract within a 3 mile radius - dry hole
</t>
  </si>
  <si>
    <t xml:space="preserve">There are no wells within tract boundaries 
There are ~1 wells outside the tract within a 3 mile radius - dry holen. 
</t>
  </si>
  <si>
    <t xml:space="preserve">There are no wells within tract boundaries 
There are ~1 wells outside the tract within a 3 mile radius. - dry hole
</t>
  </si>
  <si>
    <t xml:space="preserve">There are no wells within tract boundaries 
There are ~79 wells outside the tract within a 3 mile radius.
Out of these, 7 were dry and 5 do not have reported production. 
The top wells that produced made: 49 mbbl and 10607 mmcf at 7068 ft in 503 months from 1974-2020; 38 mbbl and 8720 mmcf at 7412 ft in 502 months from 1974-2020; 27 mbbl and 6368 mmcf at 7099 ft in 507 months from 1974-2020; 20 mbbl and 4086 mmcf at 7198 ft in 102 months from 2011-2020; 16 mbbl and 4068 mmcf at 7285 ft in 496 months from 1974-2020; </t>
  </si>
  <si>
    <t xml:space="preserve">There are no wells within tract boundaries 
There are ~126 wells outside the tract within a 3 mile radius.
Out of these, 6 were dry and 11 do not have reported production. 
The top wells that produced made: 60 mbbl and 16605 mmcf at 7750 ft in 515 months from 1974-2020; 76 mbbl and 14606 mmcf at 7130 ft in 517 months from 1974-2020; 38 mbbl and 9686 mmcf at 7134 ft in 412 months from 1983-2020; 23 mbbl and 8057 mmcf at 7125 ft in 507 months from 1974-2020; 1 mbbl and 6992 mmcf at 13700 ft in 153 months from 2007-2020; </t>
  </si>
  <si>
    <t xml:space="preserve">There are no wells within tract boundaries 
There are ~94 wells outside the tract within a 3 mile radius.
Out of these, 5 were dry and 15 do not have reported production. 
The top wells that produced made: 76 mbbl and 14606 mmcf at 7130 ft in 517 months from 1974-2020; 23 mbbl and 8057 mmcf at 7125 ft in 507 months from 1974-2020; 1 mbbl and 6992 mmcf at 13700 ft in 153 months from 2007-2020; 0 mbbl and 6315 mmcf at 14353 ft in 158 months from 1984-2005; 20 mbbl and 5376 mmcf at 7330 ft in 387 months from 1985-2020; </t>
  </si>
  <si>
    <t xml:space="preserve">There are no wells within tract boundaries 
There are ~6 wells outside the tract within a 3 mile radius.
Out of these, 3 were dry and 3 do not have reported production. 
</t>
  </si>
  <si>
    <t>There are 3 wells within the tract.
1 dry holes in tract.
2 wells did not report production</t>
  </si>
  <si>
    <t xml:space="preserve">There are 1 wells within the tract.
1 wells did not report production
There are ~5 wells outside the tract within a 3 mile radius.
Out of these, 4 were dry and 1 do not have reported production. 
</t>
  </si>
  <si>
    <t xml:space="preserve">There are no wells within tract boundaries 
There are ~179 wells outside the tract within a 3 mile radius.
Out of these, 19 were dry and 28 do not have reported production. 
The top wells that produced were monster wells in a strucure  2.5 mi SW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t>
  </si>
  <si>
    <t xml:space="preserve">There are no wells within tract boundaries 
There are ~193 wells outside the tract within a 3 mile radius.
Out of these, 19 were dry and 28 do not have reported production. 
The top wells that produced were monster wells in a strucure  2.5 mi SW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t>
  </si>
  <si>
    <t xml:space="preserve">There are no wells within tract boundaries 
There are ~16 wells outside the tract within a 3 mile radius.
Out of these, 10 were dry and 2 do not have reported production. 
The top wells that produced made: 43 mbbl and 1 mmcf at 6327 ft in 274 months from 1980-2020; 31 mbbl and 0 mmcf at 5225 ft in 224 months from 1980-2015; 15 mbbl and 0 mmcf at 5306 ft in 148 months from 2001-2018; 
The top wells that produced were monster wells in a strucure  3 mi 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t>
  </si>
  <si>
    <t xml:space="preserve">There are 1 wells within the tract.
1 dry holes in tract.
There are ~15 wells outside the tract within a 3 mile radius.
Out of these, 9 were dry and 2 do not have reported production. 
The top wells that produced made: 43 mbbl and 1 mmcf at 6327 ft in 274 months from 1980-2020; 31 mbbl and 0 mmcf at 5225 ft in 224 months from 1980-2015; 15 mbbl and 0 mmcf at 5306 ft in 148 months from 2001-2018; 
The top wells that produced were monster wells in a strucure  5 mi 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t>
  </si>
  <si>
    <t xml:space="preserve">There are no wells within tract boundaries 
There are ~14 wells outside the tract within a 3 mile radius.
Out of these, 9 were dry and 3 do not have reported production. 
The top wells that produced made: 43 mbbl and 1 mmcf at 6327 ft in 274 months from 1980-2020; 
The top wells that produced were monster wells in a strucure  5 mi 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t>
  </si>
  <si>
    <t xml:space="preserve">There are 2 wells within the tract.
1 dry holes in tract.
1 wells did not report production
There are ~7 wells outside the tract within a 3 mile radius.
Out of these, 2 were dry and 4 do not have reported production.  The well that produced at 12000' only made 1 mbbl in 2 monhts - 1/2 mi N from tract 
</t>
  </si>
  <si>
    <t>1 dry hole withn tract boundaries
SW part of this tract is on the edge of a cluster of wells operated by EOG that have made 150-500 mbbl at just 4000' in 10+ years</t>
  </si>
  <si>
    <t>There are no wells within tract boundaries 
There are ~10 wells outside the tract within a 3 mile radius.
Out of these, 5 were dry 
The top wells that produced made: 4 mbbl and 440 mmcf at 8000 ft in 42 months from 2006-2015; 0 mbbl and 7 mmcf at 8214 ft in 39 months from 2007-2015; 0 mbbl and 4 mmcf at 8100 ft in 31 months from 2007-2015;</t>
  </si>
  <si>
    <t xml:space="preserve">There are no wells within tract boundaries 
There are ~12 wells outside the tract within a 3 mile radius.
Out of these, 8 were dry. 
The top wells that produced made: 41 mbbl and 496 mmcf at 13400 ft in 190 months from 1979-2002; 31 mbbl and 496 mmcf at 13361 ft in 188 months from 1998-2019; 0 mbbl and 7 mmcf at 13200 ft in 5 months from 1999-2000; </t>
  </si>
  <si>
    <t>There are no wells within tract boundaries 
Deep (12,000') gas wells to the east of tract operated by hilcorp.  Majority of wells have made under 3 bcf and under 40 mbbl.
The top wells that produced made: 127 mbbl and 12057 mmcf at 12532 ft in 162 months from 2006-2020; 23 mbbl and 2433 mmcf at 12650 ft in 154 months from 2006-2020;</t>
  </si>
  <si>
    <t xml:space="preserve">There are no wells within tract boundaries 
dry holes around tract
</t>
  </si>
  <si>
    <t xml:space="preserve">There are no wells within tract boundaries 
dry holes around tract
</t>
  </si>
  <si>
    <t xml:space="preserve">There are no wells within tract boundaries 
There are ~3 wells outside the tract within a 3 mile radius. All 3 were dry 
</t>
  </si>
  <si>
    <t xml:space="preserve">There are no wells within tract boundaries 
There are ~5 wells outside the tract within a 3 mile radius - all 5 were dry
</t>
  </si>
  <si>
    <t xml:space="preserve">There are no wells within tract boundaries 
There are ~6 wells outside the tract within a 3 mi radius - all dry
</t>
  </si>
  <si>
    <t xml:space="preserve">In a 3 mile radius, the latest leases with bonus information were taken in 2019.
Century Oil paid $207/acre.  Western American Resources paid $11/acre.  </t>
  </si>
  <si>
    <t xml:space="preserve">In a 3 mile radius, the latest leases with bonus information were taken in 2019.
Western American Resources paid $11/acre.  </t>
  </si>
  <si>
    <t>x</t>
  </si>
  <si>
    <t>W/in Devon Conley Draw Unit</t>
  </si>
  <si>
    <t>W/in Grayson Mills Unit</t>
  </si>
  <si>
    <t>Devon permitted bhl 100' away from tract boundary</t>
  </si>
  <si>
    <t>W/in Peak Powder Unit</t>
  </si>
  <si>
    <t xml:space="preserve">Closest well from peak powder unit tracts is 2-3 m west -well is older devon well drilled in 2015 that has only made 100 mbbl i </t>
  </si>
  <si>
    <t>Samson resources - 180 mbbl in 9 months - shl less than 1000' away from tract</t>
  </si>
  <si>
    <t>Samson operator near tract</t>
  </si>
  <si>
    <t>Fringe of EOG's powder river outline - panther and chesapeake operator</t>
  </si>
  <si>
    <t>W/in Panther Energy Unit</t>
  </si>
  <si>
    <t>Panther has a well 2 mi west that has made 100 mbbl in 7 months</t>
  </si>
  <si>
    <t xml:space="preserve">6 permits by panther 1 mi SW </t>
  </si>
  <si>
    <t>Lease bonus 1501/acre within section of lease in 12/19 - samson, wold in area</t>
  </si>
  <si>
    <t>Titan paid 7500/acre in 2018</t>
  </si>
  <si>
    <t xml:space="preserve">4 Titan Energy permits shl within tract - niobrara permitted </t>
  </si>
  <si>
    <t>Outside of EOG's powder river outline</t>
  </si>
  <si>
    <t>In a 3 mile radius there are 4 active permits (3mi sw)
4 permits are H wells 
The average lateral length among these permits is 10000 ft. 
- The TVD for these well(s) are ~8200ft
Rockies Resources Holdings Llc has these 4 permits to the West</t>
  </si>
  <si>
    <t>There are 1 wells within 3 mile radius that have started producing within last 4 years
0.5 mi E, Devon Energy Corporation has a H well at 9728 that has made 246 mbbl and 264 mmcf after 23 months of producing</t>
  </si>
  <si>
    <t>3 devon ducs few hundred feet N of tract boundary</t>
  </si>
  <si>
    <t>There are 1 wells within 3 mile radius that have started producing within last 4 years
1.56 mi NE, Devon Energy Corporation has a H well at 9728 that has made 246 mbbl and 264 mmcf after 23 months of producing</t>
  </si>
  <si>
    <t>3 devon ducs 1.5 mi N</t>
  </si>
  <si>
    <t>anadarko has 3 permits 3 mi south - devon 3 ducs are 3 mi north</t>
  </si>
  <si>
    <t>W/in Grayson Mills Unit - Falls outside of EOG powder river outline</t>
  </si>
  <si>
    <t xml:space="preserve">In a 3 mile radius, the latest leases with bonus information were taken in 2017.
Baseline Minerals paid $302/acre.  </t>
  </si>
  <si>
    <t xml:space="preserve">
Grayson Mill Operating Llc has 14 permits 3 mi SW</t>
  </si>
  <si>
    <t>7 devon permits rnning through 160 acres of this tract</t>
  </si>
  <si>
    <t>In a 3 mile radius, the latest leases with bonus information were taken in 2020.
R&amp;R Royalty paid between $203/acre and $526/acre - 2-3 mi west</t>
  </si>
  <si>
    <t>26 permits are H wells 
The average lateral length among these permits is 9000 ft. 
- The TVD for these well(s) are ~9900ft
Devon has 25 permits, Grayson Mill Operating Llc has 1 permits</t>
  </si>
  <si>
    <t>5 devon Turner &amp; niobrara laterals 1/2 mi west</t>
  </si>
  <si>
    <t>Warm (New Activity)</t>
  </si>
  <si>
    <t>Closing Info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</si>
</sst>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8" formatCode="&quot;$&quot;#,##0.00_);[Red]\(&quot;$&quot;#,##0.00\)"/>
    <numFmt numFmtId="44" formatCode="_(&quot;$&quot;* #,##0.00_);_(&quot;$&quot;* \(#,##0.00\);_(&quot;$&quot;* &quot;-&quot;??_);_(@_)"/>
    <numFmt numFmtId="164" formatCode="_-* #,##0.00_-;\-* #,##0.00_-;_-* &quot;-&quot;??_-;_-@_-"/>
    <numFmt numFmtId="165" formatCode="&quot;$&quot;#,##0.00"/>
    <numFmt numFmtId="166" formatCode="_(* #,##0_);_(* \(#,##0\);_(* &quot;-&quot;??_);_(@_)"/>
    <numFmt numFmtId="167" formatCode="&quot;$&quot;#,##0"/>
    <numFmt numFmtId="168" formatCode="0.000%"/>
    <numFmt numFmtId="169" formatCode="_(* #,##0.000_);_(* \(#,##0.000\);_(* &quot;-&quot;???_);_(@_)"/>
    <numFmt numFmtId="170" formatCode="0.000"/>
    <numFmt numFmtId="171" formatCode="0.0%"/>
    <numFmt numFmtId="172" formatCode="m/d/yy;@"/>
  </numFmts>
  <fonts count="50" x14ac:knownFonts="1">
    <font>
      <sz val="11"/>
      <color theme="1"/>
      <name val="Calibri"/>
      <family val="2"/>
      <scheme val="minor"/>
    </font>
    <font>
      <sz val="11"/>
      <color theme="1"/>
      <name val="Calibri"/>
      <family val="2"/>
      <scheme val="minor"/>
    </font>
    <font>
      <b/>
      <sz val="11"/>
      <color theme="1"/>
      <name val="Calibri"/>
      <family val="2"/>
      <scheme val="minor"/>
    </font>
    <font>
      <b/>
      <u/>
      <sz val="20"/>
      <color theme="1"/>
      <name val="Calibri"/>
      <family val="2"/>
      <scheme val="minor"/>
    </font>
    <font>
      <sz val="11"/>
      <color rgb="FF333333"/>
      <name val="Arial"/>
      <family val="2"/>
    </font>
    <font>
      <sz val="13.2"/>
      <color rgb="FF333333"/>
      <name val="Arial"/>
      <family val="2"/>
    </font>
    <font>
      <b/>
      <u/>
      <sz val="11"/>
      <color theme="1"/>
      <name val="Calibri"/>
      <family val="2"/>
      <scheme val="minor"/>
    </font>
    <font>
      <u/>
      <sz val="11"/>
      <color theme="10"/>
      <name val="Calibri"/>
      <family val="2"/>
      <scheme val="minor"/>
    </font>
    <font>
      <sz val="11"/>
      <color rgb="FFFF0000"/>
      <name val="Calibri"/>
      <family val="2"/>
      <scheme val="minor"/>
    </font>
    <font>
      <b/>
      <u/>
      <sz val="14"/>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1"/>
      <color rgb="FF333333"/>
      <name val="Arial"/>
      <family val="2"/>
    </font>
    <font>
      <b/>
      <sz val="11"/>
      <color theme="0"/>
      <name val="Calibri"/>
      <family val="2"/>
      <scheme val="minor"/>
    </font>
    <font>
      <b/>
      <u/>
      <sz val="11"/>
      <name val="Cambria"/>
      <family val="1"/>
      <scheme val="major"/>
    </font>
    <font>
      <sz val="10"/>
      <color theme="1"/>
      <name val="Cambria"/>
      <family val="1"/>
      <scheme val="major"/>
    </font>
    <font>
      <b/>
      <sz val="10"/>
      <name val="Cambria"/>
      <family val="1"/>
      <scheme val="major"/>
    </font>
    <font>
      <b/>
      <u/>
      <sz val="16"/>
      <name val="Calibri"/>
      <family val="2"/>
      <scheme val="minor"/>
    </font>
    <font>
      <sz val="10"/>
      <name val="Arial"/>
      <family val="2"/>
    </font>
    <font>
      <b/>
      <u/>
      <sz val="16"/>
      <color theme="0"/>
      <name val="Cambria"/>
      <family val="1"/>
      <scheme val="major"/>
    </font>
    <font>
      <b/>
      <u/>
      <sz val="10"/>
      <color theme="0"/>
      <name val="Cambria"/>
      <family val="1"/>
      <scheme val="major"/>
    </font>
    <font>
      <b/>
      <u/>
      <sz val="12"/>
      <color theme="0"/>
      <name val="Cambria"/>
      <family val="1"/>
      <scheme val="major"/>
    </font>
    <font>
      <i/>
      <sz val="10"/>
      <color theme="0"/>
      <name val="Cambria"/>
      <family val="1"/>
      <scheme val="major"/>
    </font>
    <font>
      <sz val="10"/>
      <color theme="0"/>
      <name val="Cambria"/>
      <family val="1"/>
      <scheme val="major"/>
    </font>
    <font>
      <b/>
      <sz val="10"/>
      <color theme="0"/>
      <name val="Cambria"/>
      <family val="1"/>
      <scheme val="major"/>
    </font>
    <font>
      <b/>
      <i/>
      <u/>
      <sz val="10"/>
      <color theme="0"/>
      <name val="Cambria"/>
      <family val="1"/>
      <scheme val="major"/>
    </font>
    <font>
      <b/>
      <u/>
      <sz val="14"/>
      <color theme="0"/>
      <name val="Cambria"/>
      <family val="1"/>
      <scheme val="major"/>
    </font>
    <font>
      <i/>
      <sz val="10"/>
      <color theme="1"/>
      <name val="Cambria"/>
      <family val="1"/>
      <scheme val="major"/>
    </font>
    <font>
      <b/>
      <u/>
      <sz val="10"/>
      <name val="Cambria"/>
      <family val="1"/>
      <scheme val="major"/>
    </font>
    <font>
      <sz val="10"/>
      <name val="Cambria"/>
      <family val="1"/>
      <scheme val="major"/>
    </font>
    <font>
      <b/>
      <i/>
      <sz val="10"/>
      <name val="Cambria"/>
      <family val="1"/>
      <scheme val="major"/>
    </font>
    <font>
      <u/>
      <sz val="10"/>
      <name val="Cambria"/>
      <family val="1"/>
      <scheme val="major"/>
    </font>
    <font>
      <i/>
      <sz val="10"/>
      <name val="Cambria"/>
      <family val="1"/>
      <scheme val="major"/>
    </font>
    <font>
      <b/>
      <sz val="10"/>
      <color theme="1"/>
      <name val="Cambria"/>
      <family val="1"/>
      <scheme val="major"/>
    </font>
    <font>
      <u/>
      <sz val="10"/>
      <color indexed="12"/>
      <name val="Arial"/>
      <family val="2"/>
    </font>
    <font>
      <sz val="10"/>
      <color rgb="FFFF0000"/>
      <name val="Cambria"/>
      <family val="1"/>
      <scheme val="major"/>
    </font>
    <font>
      <b/>
      <i/>
      <sz val="10"/>
      <color theme="1"/>
      <name val="Cambria"/>
      <family val="1"/>
      <scheme val="major"/>
    </font>
    <font>
      <i/>
      <sz val="9"/>
      <name val="Cambria"/>
      <family val="1"/>
      <scheme val="major"/>
    </font>
    <font>
      <sz val="9"/>
      <color theme="1"/>
      <name val="Calibri"/>
      <family val="2"/>
      <scheme val="minor"/>
    </font>
    <font>
      <b/>
      <u/>
      <sz val="10"/>
      <color theme="1"/>
      <name val="Cambria"/>
      <family val="1"/>
      <scheme val="major"/>
    </font>
    <font>
      <i/>
      <sz val="9"/>
      <color theme="1"/>
      <name val="Cambria"/>
      <family val="1"/>
      <scheme val="major"/>
    </font>
    <font>
      <sz val="11"/>
      <color theme="1"/>
      <name val="Cambria"/>
      <family val="1"/>
      <scheme val="major"/>
    </font>
    <font>
      <sz val="10"/>
      <color theme="1"/>
      <name val="Calibri"/>
      <family val="2"/>
      <scheme val="minor"/>
    </font>
    <font>
      <sz val="10"/>
      <color rgb="FF000000"/>
      <name val="Times New Roman"/>
      <family val="1"/>
    </font>
    <font>
      <sz val="11"/>
      <color rgb="FF333333"/>
      <name val="Calibri"/>
      <family val="2"/>
      <scheme val="minor"/>
    </font>
    <font>
      <b/>
      <sz val="11"/>
      <color rgb="FF333333"/>
      <name val="Calibri"/>
      <family val="2"/>
      <scheme val="minor"/>
    </font>
    <font>
      <u/>
      <sz val="11"/>
      <color theme="11"/>
      <name val="Calibri"/>
      <family val="2"/>
      <scheme val="minor"/>
    </font>
    <font>
      <sz val="16"/>
      <color theme="1"/>
      <name val="Calibri"/>
      <family val="2"/>
      <scheme val="minor"/>
    </font>
    <font>
      <sz val="11"/>
      <color rgb="FF000000"/>
      <name val="Calibri"/>
      <family val="2"/>
    </font>
  </fonts>
  <fills count="20">
    <fill>
      <patternFill patternType="none"/>
    </fill>
    <fill>
      <patternFill patternType="gray125"/>
    </fill>
    <fill>
      <patternFill patternType="solid">
        <fgColor rgb="FFFFFFFF"/>
        <bgColor indexed="64"/>
      </patternFill>
    </fill>
    <fill>
      <patternFill patternType="solid">
        <fgColor rgb="FFF3F3F3"/>
        <bgColor indexed="64"/>
      </patternFill>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3E3E3"/>
        <bgColor indexed="64"/>
      </patternFill>
    </fill>
    <fill>
      <patternFill patternType="solid">
        <fgColor theme="8" tint="0.59999389629810485"/>
        <bgColor indexed="64"/>
      </patternFill>
    </fill>
    <fill>
      <patternFill patternType="solid">
        <fgColor theme="9"/>
        <bgColor indexed="64"/>
      </patternFill>
    </fill>
    <fill>
      <patternFill patternType="solid">
        <fgColor theme="9" tint="0.39997558519241921"/>
        <bgColor indexed="64"/>
      </patternFill>
    </fill>
    <fill>
      <patternFill patternType="solid">
        <fgColor rgb="FFFF0000"/>
        <bgColor indexed="64"/>
      </patternFill>
    </fill>
  </fills>
  <borders count="34">
    <border>
      <left/>
      <right/>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bottom style="medium">
        <color rgb="FF11111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top style="thin">
        <color theme="4" tint="0.39997558519241921"/>
      </top>
      <bottom/>
      <diagonal/>
    </border>
    <border>
      <left style="medium">
        <color auto="1"/>
      </left>
      <right/>
      <top/>
      <bottom/>
      <diagonal/>
    </border>
    <border>
      <left/>
      <right/>
      <top style="medium">
        <color rgb="FF111111"/>
      </top>
      <bottom/>
      <diagonal/>
    </border>
    <border>
      <left/>
      <right/>
      <top style="thin">
        <color auto="1"/>
      </top>
      <bottom/>
      <diagonal/>
    </border>
    <border>
      <left/>
      <right style="thin">
        <color auto="1"/>
      </right>
      <top/>
      <bottom style="medium">
        <color auto="1"/>
      </bottom>
      <diagonal/>
    </border>
    <border>
      <left style="thin">
        <color auto="1"/>
      </left>
      <right/>
      <top/>
      <bottom style="medium">
        <color auto="1"/>
      </bottom>
      <diagonal/>
    </border>
    <border>
      <left/>
      <right/>
      <top style="thin">
        <color auto="1"/>
      </top>
      <bottom style="double">
        <color auto="1"/>
      </bottom>
      <diagonal/>
    </border>
    <border>
      <left/>
      <right/>
      <top/>
      <bottom style="double">
        <color auto="1"/>
      </bottom>
      <diagonal/>
    </border>
    <border>
      <left/>
      <right/>
      <top style="double">
        <color auto="1"/>
      </top>
      <bottom style="double">
        <color auto="1"/>
      </bottom>
      <diagonal/>
    </border>
    <border>
      <left/>
      <right/>
      <top style="thin">
        <color auto="1"/>
      </top>
      <bottom style="medium">
        <color auto="1"/>
      </bottom>
      <diagonal/>
    </border>
    <border>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71">
    <xf numFmtId="0" fontId="0" fillId="0" borderId="0"/>
    <xf numFmtId="164" fontId="1" fillId="0" borderId="0"/>
    <xf numFmtId="0" fontId="7" fillId="0" borderId="0"/>
    <xf numFmtId="44" fontId="1" fillId="0" borderId="0"/>
    <xf numFmtId="9" fontId="1" fillId="0" borderId="0"/>
    <xf numFmtId="0" fontId="19" fillId="0" borderId="0"/>
    <xf numFmtId="0" fontId="35" fillId="0" borderId="0">
      <alignment vertical="top"/>
      <protection locked="0"/>
    </xf>
    <xf numFmtId="44" fontId="19" fillId="0" borderId="0"/>
    <xf numFmtId="44" fontId="19" fillId="0" borderId="0"/>
    <xf numFmtId="0"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 fillId="0" borderId="0"/>
    <xf numFmtId="44"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 fillId="0" borderId="0"/>
    <xf numFmtId="0" fontId="44"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 fillId="0" borderId="0"/>
    <xf numFmtId="9" fontId="19" fillId="0" borderId="0"/>
    <xf numFmtId="9" fontId="19" fillId="0" borderId="0"/>
    <xf numFmtId="0" fontId="1" fillId="15" borderId="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cellStyleXfs>
  <cellXfs count="434">
    <xf numFmtId="0" fontId="0" fillId="0" borderId="0" xfId="0"/>
    <xf numFmtId="0" fontId="2" fillId="0" borderId="0" xfId="0" applyFont="1"/>
    <xf numFmtId="0" fontId="2" fillId="0" borderId="15" xfId="0" applyFont="1" applyBorder="1" applyAlignment="1">
      <alignment vertical="center" wrapText="1"/>
    </xf>
    <xf numFmtId="0" fontId="0" fillId="6" borderId="19" xfId="0" applyFill="1" applyBorder="1"/>
    <xf numFmtId="0" fontId="0" fillId="6" borderId="19" xfId="0" applyFill="1" applyBorder="1" applyAlignment="1">
      <alignment wrapText="1"/>
    </xf>
    <xf numFmtId="0" fontId="0" fillId="0" borderId="19" xfId="0" applyBorder="1"/>
    <xf numFmtId="0" fontId="0" fillId="0" borderId="19" xfId="0" applyBorder="1" applyAlignment="1">
      <alignment wrapText="1"/>
    </xf>
    <xf numFmtId="0" fontId="14" fillId="5" borderId="0" xfId="0" applyFont="1" applyFill="1"/>
    <xf numFmtId="0" fontId="14" fillId="5" borderId="0" xfId="0" applyFont="1" applyFill="1" applyAlignment="1">
      <alignment wrapText="1"/>
    </xf>
    <xf numFmtId="0" fontId="13" fillId="2" borderId="9" xfId="0" applyFont="1" applyFill="1" applyBorder="1" applyAlignment="1">
      <alignment horizontal="left" wrapText="1" indent="2"/>
    </xf>
    <xf numFmtId="0" fontId="17" fillId="12" borderId="0" xfId="5" applyFont="1" applyFill="1"/>
    <xf numFmtId="0" fontId="16" fillId="12" borderId="0" xfId="0" applyFont="1" applyFill="1"/>
    <xf numFmtId="0" fontId="16" fillId="12" borderId="0" xfId="0" applyFont="1" applyFill="1" applyAlignment="1">
      <alignment horizontal="center"/>
    </xf>
    <xf numFmtId="0" fontId="22" fillId="12" borderId="0" xfId="5" applyFont="1" applyFill="1"/>
    <xf numFmtId="14" fontId="22" fillId="12" borderId="0" xfId="5" applyNumberFormat="1" applyFont="1" applyFill="1"/>
    <xf numFmtId="0" fontId="23" fillId="12" borderId="0" xfId="5" applyFont="1" applyFill="1" applyAlignment="1">
      <alignment horizontal="left"/>
    </xf>
    <xf numFmtId="0" fontId="24" fillId="12" borderId="0" xfId="5" applyFont="1" applyFill="1" applyAlignment="1">
      <alignment wrapText="1"/>
    </xf>
    <xf numFmtId="0" fontId="24" fillId="12" borderId="5" xfId="5" applyFont="1" applyFill="1" applyBorder="1" applyAlignment="1">
      <alignment wrapText="1"/>
    </xf>
    <xf numFmtId="0" fontId="21" fillId="12" borderId="4" xfId="5" applyFont="1" applyFill="1" applyBorder="1"/>
    <xf numFmtId="0" fontId="21" fillId="12" borderId="5" xfId="5" applyFont="1" applyFill="1" applyBorder="1"/>
    <xf numFmtId="0" fontId="25" fillId="12" borderId="0" xfId="5" applyFont="1" applyFill="1"/>
    <xf numFmtId="0" fontId="25" fillId="12" borderId="5" xfId="5" applyFont="1" applyFill="1" applyBorder="1"/>
    <xf numFmtId="0" fontId="24" fillId="12" borderId="0" xfId="5" applyFont="1" applyFill="1" applyAlignment="1">
      <alignment horizontal="left" wrapText="1"/>
    </xf>
    <xf numFmtId="0" fontId="24" fillId="12" borderId="0" xfId="5" applyFont="1" applyFill="1" applyAlignment="1">
      <alignment horizontal="center"/>
    </xf>
    <xf numFmtId="0" fontId="23" fillId="12" borderId="0" xfId="5" applyFont="1" applyFill="1" applyAlignment="1">
      <alignment wrapText="1"/>
    </xf>
    <xf numFmtId="0" fontId="26" fillId="12" borderId="0" xfId="5" applyFont="1" applyFill="1"/>
    <xf numFmtId="0" fontId="20" fillId="12" borderId="0" xfId="5" applyFont="1" applyFill="1"/>
    <xf numFmtId="0" fontId="21" fillId="12" borderId="0" xfId="5" applyFont="1" applyFill="1"/>
    <xf numFmtId="0" fontId="26" fillId="12" borderId="0" xfId="5" applyFont="1" applyFill="1" applyAlignment="1">
      <alignment wrapText="1"/>
    </xf>
    <xf numFmtId="0" fontId="26" fillId="12" borderId="0" xfId="5" applyFont="1" applyFill="1" applyAlignment="1">
      <alignment horizontal="left"/>
    </xf>
    <xf numFmtId="0" fontId="26" fillId="12" borderId="5" xfId="5" applyFont="1" applyFill="1" applyBorder="1" applyAlignment="1">
      <alignment wrapText="1"/>
    </xf>
    <xf numFmtId="0" fontId="26" fillId="12" borderId="5" xfId="5" applyFont="1" applyFill="1" applyBorder="1"/>
    <xf numFmtId="0" fontId="21" fillId="12" borderId="0" xfId="5" applyFont="1" applyFill="1" applyAlignment="1">
      <alignment horizontal="left" wrapText="1"/>
    </xf>
    <xf numFmtId="0" fontId="17" fillId="13" borderId="0" xfId="5" applyFont="1" applyFill="1"/>
    <xf numFmtId="0" fontId="16" fillId="13" borderId="0" xfId="0" applyFont="1" applyFill="1"/>
    <xf numFmtId="0" fontId="16" fillId="13" borderId="0" xfId="0" applyFont="1" applyFill="1" applyAlignment="1">
      <alignment horizontal="center"/>
    </xf>
    <xf numFmtId="0" fontId="24" fillId="13" borderId="0" xfId="5" applyFont="1" applyFill="1" applyAlignment="1">
      <alignment horizontal="center"/>
    </xf>
    <xf numFmtId="0" fontId="24" fillId="13" borderId="0" xfId="5" applyFont="1" applyFill="1"/>
    <xf numFmtId="0" fontId="23" fillId="13" borderId="0" xfId="5" applyFont="1" applyFill="1" applyAlignment="1">
      <alignment wrapText="1"/>
    </xf>
    <xf numFmtId="0" fontId="23" fillId="13" borderId="0" xfId="5" applyFont="1" applyFill="1" applyAlignment="1">
      <alignment horizontal="left"/>
    </xf>
    <xf numFmtId="0" fontId="24" fillId="13" borderId="0" xfId="5" applyFont="1" applyFill="1" applyAlignment="1">
      <alignment wrapText="1"/>
    </xf>
    <xf numFmtId="0" fontId="24" fillId="13" borderId="5" xfId="5" applyFont="1" applyFill="1" applyBorder="1" applyAlignment="1">
      <alignment wrapText="1"/>
    </xf>
    <xf numFmtId="0" fontId="24" fillId="13" borderId="4" xfId="5" applyFont="1" applyFill="1" applyBorder="1" applyAlignment="1">
      <alignment horizontal="left"/>
    </xf>
    <xf numFmtId="0" fontId="24" fillId="13" borderId="5" xfId="5" applyFont="1" applyFill="1" applyBorder="1"/>
    <xf numFmtId="0" fontId="24" fillId="13" borderId="0" xfId="5" applyFont="1" applyFill="1" applyAlignment="1">
      <alignment horizontal="left" wrapText="1"/>
    </xf>
    <xf numFmtId="0" fontId="28" fillId="12" borderId="0" xfId="5" applyFont="1" applyFill="1" applyAlignment="1">
      <alignment wrapText="1"/>
    </xf>
    <xf numFmtId="0" fontId="28" fillId="12" borderId="0" xfId="5" applyFont="1" applyFill="1" applyAlignment="1">
      <alignment horizontal="left"/>
    </xf>
    <xf numFmtId="0" fontId="16" fillId="12" borderId="0" xfId="5" applyFont="1" applyFill="1" applyAlignment="1">
      <alignment wrapText="1"/>
    </xf>
    <xf numFmtId="0" fontId="16" fillId="12" borderId="5" xfId="5" applyFont="1" applyFill="1" applyBorder="1" applyAlignment="1">
      <alignment wrapText="1"/>
    </xf>
    <xf numFmtId="0" fontId="29" fillId="11" borderId="10" xfId="5" applyFont="1" applyFill="1" applyBorder="1" applyAlignment="1">
      <alignment horizontal="center" vertical="center" wrapText="1"/>
    </xf>
    <xf numFmtId="0" fontId="29" fillId="11" borderId="10" xfId="0" applyFont="1" applyFill="1" applyBorder="1" applyAlignment="1">
      <alignment horizontal="center" vertical="center"/>
    </xf>
    <xf numFmtId="0" fontId="29" fillId="11" borderId="23" xfId="5" applyFont="1" applyFill="1" applyBorder="1" applyAlignment="1">
      <alignment horizontal="center" vertical="center" wrapText="1"/>
    </xf>
    <xf numFmtId="0" fontId="29" fillId="11" borderId="24" xfId="5" applyFont="1" applyFill="1" applyBorder="1" applyAlignment="1">
      <alignment horizontal="center" vertical="center" wrapText="1"/>
    </xf>
    <xf numFmtId="9" fontId="29" fillId="11" borderId="10" xfId="5" applyNumberFormat="1" applyFont="1" applyFill="1" applyBorder="1" applyAlignment="1">
      <alignment horizontal="center" vertical="center" wrapText="1"/>
    </xf>
    <xf numFmtId="9" fontId="29" fillId="11" borderId="23" xfId="5" applyNumberFormat="1" applyFont="1" applyFill="1" applyBorder="1" applyAlignment="1">
      <alignment horizontal="center" vertical="center" wrapText="1"/>
    </xf>
    <xf numFmtId="1" fontId="31" fillId="0" borderId="0" xfId="5" applyNumberFormat="1" applyFont="1" applyAlignment="1">
      <alignment horizontal="left" wrapText="1"/>
    </xf>
    <xf numFmtId="0" fontId="17" fillId="0" borderId="4" xfId="5" applyFont="1" applyBorder="1" applyAlignment="1">
      <alignment horizontal="left"/>
    </xf>
    <xf numFmtId="0" fontId="30" fillId="0" borderId="5" xfId="5" applyFont="1" applyBorder="1" applyAlignment="1">
      <alignment horizontal="center" wrapText="1"/>
    </xf>
    <xf numFmtId="0" fontId="32" fillId="0" borderId="0" xfId="5" applyFont="1" applyAlignment="1">
      <alignment horizontal="center"/>
    </xf>
    <xf numFmtId="0" fontId="32" fillId="0" borderId="0" xfId="5" applyFont="1" applyAlignment="1">
      <alignment horizontal="center" wrapText="1"/>
    </xf>
    <xf numFmtId="0" fontId="16" fillId="0" borderId="4" xfId="0" applyFont="1" applyBorder="1" applyAlignment="1">
      <alignment horizontal="left"/>
    </xf>
    <xf numFmtId="0" fontId="32" fillId="0" borderId="0" xfId="5" applyFont="1" applyAlignment="1">
      <alignment horizontal="left" wrapText="1"/>
    </xf>
    <xf numFmtId="0" fontId="30" fillId="0" borderId="0" xfId="5" applyFont="1" applyAlignment="1">
      <alignment horizontal="left"/>
    </xf>
    <xf numFmtId="0" fontId="30" fillId="0" borderId="5" xfId="5" quotePrefix="1" applyFont="1" applyBorder="1" applyAlignment="1">
      <alignment wrapText="1"/>
    </xf>
    <xf numFmtId="0" fontId="30" fillId="11" borderId="0" xfId="0" applyFont="1" applyFill="1"/>
    <xf numFmtId="0" fontId="16" fillId="0" borderId="0" xfId="5" applyFont="1"/>
    <xf numFmtId="2" fontId="31" fillId="0" borderId="0" xfId="5" applyNumberFormat="1" applyFont="1" applyAlignment="1">
      <alignment horizontal="left" wrapText="1"/>
    </xf>
    <xf numFmtId="2" fontId="31" fillId="0" borderId="0" xfId="5" applyNumberFormat="1" applyFont="1" applyAlignment="1">
      <alignment horizontal="left"/>
    </xf>
    <xf numFmtId="9" fontId="30" fillId="0" borderId="0" xfId="5" applyNumberFormat="1" applyFont="1" applyAlignment="1">
      <alignment horizontal="center" wrapText="1"/>
    </xf>
    <xf numFmtId="49" fontId="30" fillId="0" borderId="4" xfId="5" applyNumberFormat="1" applyFont="1" applyBorder="1" applyAlignment="1">
      <alignment horizontal="left"/>
    </xf>
    <xf numFmtId="14" fontId="17" fillId="11" borderId="0" xfId="5" applyNumberFormat="1" applyFont="1" applyFill="1"/>
    <xf numFmtId="0" fontId="30" fillId="0" borderId="0" xfId="5" applyFont="1"/>
    <xf numFmtId="0" fontId="31" fillId="0" borderId="0" xfId="5" applyFont="1" applyAlignment="1">
      <alignment horizontal="left" wrapText="1"/>
    </xf>
    <xf numFmtId="0" fontId="30" fillId="0" borderId="0" xfId="5" applyFont="1" applyAlignment="1">
      <alignment wrapText="1"/>
    </xf>
    <xf numFmtId="0" fontId="30" fillId="0" borderId="5" xfId="5" applyFont="1" applyBorder="1" applyAlignment="1">
      <alignment wrapText="1"/>
    </xf>
    <xf numFmtId="0" fontId="30" fillId="0" borderId="4" xfId="5" applyFont="1" applyBorder="1" applyAlignment="1">
      <alignment horizontal="left"/>
    </xf>
    <xf numFmtId="9" fontId="30" fillId="0" borderId="5" xfId="5" applyNumberFormat="1" applyFont="1" applyBorder="1" applyAlignment="1">
      <alignment horizontal="center"/>
    </xf>
    <xf numFmtId="0" fontId="30" fillId="0" borderId="0" xfId="5" applyFont="1" applyAlignment="1">
      <alignment horizontal="left" wrapText="1"/>
    </xf>
    <xf numFmtId="0" fontId="30" fillId="0" borderId="0" xfId="5" applyFont="1" applyAlignment="1">
      <alignment horizontal="center"/>
    </xf>
    <xf numFmtId="0" fontId="33" fillId="0" borderId="0" xfId="5" applyFont="1" applyAlignment="1">
      <alignment horizontal="left" wrapText="1"/>
    </xf>
    <xf numFmtId="0" fontId="33" fillId="0" borderId="0" xfId="5" applyFont="1" applyAlignment="1">
      <alignment horizontal="left"/>
    </xf>
    <xf numFmtId="0" fontId="31" fillId="0" borderId="0" xfId="5" applyFont="1" applyAlignment="1">
      <alignment horizontal="left"/>
    </xf>
    <xf numFmtId="9" fontId="17" fillId="0" borderId="0" xfId="5" applyNumberFormat="1" applyFont="1" applyAlignment="1">
      <alignment horizontal="center"/>
    </xf>
    <xf numFmtId="9" fontId="17" fillId="0" borderId="5" xfId="5" applyNumberFormat="1" applyFont="1" applyBorder="1" applyAlignment="1">
      <alignment horizontal="center"/>
    </xf>
    <xf numFmtId="14" fontId="30" fillId="0" borderId="0" xfId="5" applyNumberFormat="1" applyFont="1" applyAlignment="1">
      <alignment horizontal="center"/>
    </xf>
    <xf numFmtId="9" fontId="30" fillId="0" borderId="0" xfId="5" applyNumberFormat="1" applyFont="1" applyAlignment="1">
      <alignment horizontal="center"/>
    </xf>
    <xf numFmtId="14" fontId="34" fillId="0" borderId="0" xfId="5" applyNumberFormat="1" applyFont="1" applyAlignment="1">
      <alignment horizontal="center"/>
    </xf>
    <xf numFmtId="14" fontId="16" fillId="0" borderId="0" xfId="5" applyNumberFormat="1" applyFont="1" applyAlignment="1">
      <alignment horizontal="center"/>
    </xf>
    <xf numFmtId="14" fontId="31" fillId="0" borderId="0" xfId="5" applyNumberFormat="1" applyFont="1" applyAlignment="1">
      <alignment horizontal="left" wrapText="1"/>
    </xf>
    <xf numFmtId="14" fontId="31" fillId="0" borderId="0" xfId="5" applyNumberFormat="1" applyFont="1" applyAlignment="1">
      <alignment horizontal="left"/>
    </xf>
    <xf numFmtId="2" fontId="30" fillId="0" borderId="0" xfId="5" applyNumberFormat="1" applyFont="1" applyAlignment="1">
      <alignment horizontal="center"/>
    </xf>
    <xf numFmtId="0" fontId="17" fillId="0" borderId="4" xfId="5" applyFont="1" applyBorder="1"/>
    <xf numFmtId="14" fontId="30" fillId="0" borderId="0" xfId="5" applyNumberFormat="1" applyFont="1" applyAlignment="1">
      <alignment horizontal="center" wrapText="1"/>
    </xf>
    <xf numFmtId="0" fontId="30" fillId="0" borderId="0" xfId="6" applyFont="1" applyAlignment="1" applyProtection="1">
      <alignment wrapText="1"/>
    </xf>
    <xf numFmtId="0" fontId="30" fillId="0" borderId="5" xfId="6" applyFont="1" applyBorder="1" applyAlignment="1" applyProtection="1">
      <alignment wrapText="1"/>
    </xf>
    <xf numFmtId="14" fontId="30" fillId="0" borderId="4" xfId="5" applyNumberFormat="1" applyFont="1" applyBorder="1" applyAlignment="1">
      <alignment horizontal="left"/>
    </xf>
    <xf numFmtId="0" fontId="30" fillId="0" borderId="5" xfId="5" applyFont="1" applyBorder="1"/>
    <xf numFmtId="14" fontId="31" fillId="0" borderId="0" xfId="5" applyNumberFormat="1" applyFont="1"/>
    <xf numFmtId="14" fontId="31" fillId="0" borderId="0" xfId="5" applyNumberFormat="1" applyFont="1" applyAlignment="1">
      <alignment horizontal="center"/>
    </xf>
    <xf numFmtId="14" fontId="17" fillId="0" borderId="0" xfId="5" applyNumberFormat="1" applyFont="1" applyAlignment="1">
      <alignment horizontal="left"/>
    </xf>
    <xf numFmtId="0" fontId="31" fillId="0" borderId="0" xfId="5" applyFont="1"/>
    <xf numFmtId="10" fontId="30" fillId="0" borderId="0" xfId="5" applyNumberFormat="1" applyFont="1" applyAlignment="1">
      <alignment horizontal="center"/>
    </xf>
    <xf numFmtId="10" fontId="30" fillId="0" borderId="5" xfId="5" applyNumberFormat="1" applyFont="1" applyBorder="1" applyAlignment="1">
      <alignment horizontal="center"/>
    </xf>
    <xf numFmtId="14" fontId="17" fillId="0" borderId="0" xfId="5" applyNumberFormat="1" applyFont="1" applyAlignment="1">
      <alignment horizontal="center"/>
    </xf>
    <xf numFmtId="0" fontId="17" fillId="0" borderId="0" xfId="5" applyFont="1" applyAlignment="1">
      <alignment wrapText="1"/>
    </xf>
    <xf numFmtId="0" fontId="31" fillId="0" borderId="0" xfId="5" applyFont="1" applyAlignment="1">
      <alignment wrapText="1"/>
    </xf>
    <xf numFmtId="2" fontId="30" fillId="0" borderId="0" xfId="5" applyNumberFormat="1" applyFont="1"/>
    <xf numFmtId="0" fontId="31" fillId="0" borderId="4" xfId="5" applyFont="1" applyBorder="1" applyAlignment="1">
      <alignment horizontal="left"/>
    </xf>
    <xf numFmtId="0" fontId="31" fillId="0" borderId="0" xfId="5" applyFont="1" applyAlignment="1">
      <alignment horizontal="center"/>
    </xf>
    <xf numFmtId="0" fontId="17" fillId="11" borderId="20" xfId="5" applyFont="1" applyFill="1" applyBorder="1"/>
    <xf numFmtId="10" fontId="30" fillId="0" borderId="0" xfId="5" applyNumberFormat="1" applyFont="1"/>
    <xf numFmtId="10" fontId="30" fillId="0" borderId="5" xfId="5" applyNumberFormat="1" applyFont="1" applyBorder="1"/>
    <xf numFmtId="0" fontId="30" fillId="0" borderId="0" xfId="5" quotePrefix="1" applyFont="1"/>
    <xf numFmtId="14" fontId="30" fillId="0" borderId="0" xfId="5" applyNumberFormat="1" applyFont="1"/>
    <xf numFmtId="0" fontId="16" fillId="14" borderId="0" xfId="0" applyFont="1" applyFill="1"/>
    <xf numFmtId="0" fontId="33" fillId="0" borderId="0" xfId="5" applyFont="1"/>
    <xf numFmtId="0" fontId="30" fillId="11" borderId="0" xfId="5" applyFont="1" applyFill="1"/>
    <xf numFmtId="0" fontId="17" fillId="11" borderId="0" xfId="5" applyFont="1" applyFill="1"/>
    <xf numFmtId="0" fontId="16" fillId="0" borderId="0" xfId="0" applyFont="1"/>
    <xf numFmtId="0" fontId="16" fillId="0" borderId="5" xfId="0" applyFont="1" applyBorder="1" applyAlignment="1">
      <alignment wrapText="1"/>
    </xf>
    <xf numFmtId="0" fontId="36" fillId="11" borderId="0" xfId="0" applyFont="1" applyFill="1"/>
    <xf numFmtId="0" fontId="16" fillId="0" borderId="5" xfId="0" applyFont="1" applyBorder="1"/>
    <xf numFmtId="0" fontId="37" fillId="0" borderId="0" xfId="0" applyFont="1" applyAlignment="1">
      <alignment horizontal="left" wrapText="1"/>
    </xf>
    <xf numFmtId="0" fontId="37" fillId="0" borderId="0" xfId="0" applyFont="1" applyAlignment="1">
      <alignment horizontal="left"/>
    </xf>
    <xf numFmtId="14" fontId="16" fillId="0" borderId="0" xfId="0" applyNumberFormat="1" applyFont="1" applyAlignment="1">
      <alignment horizontal="center"/>
    </xf>
    <xf numFmtId="0" fontId="16" fillId="0" borderId="0" xfId="0" quotePrefix="1" applyFont="1"/>
    <xf numFmtId="0" fontId="30" fillId="0" borderId="0" xfId="0" applyFont="1"/>
    <xf numFmtId="0" fontId="17" fillId="11" borderId="0" xfId="0" applyFont="1" applyFill="1"/>
    <xf numFmtId="14" fontId="34" fillId="0" borderId="0" xfId="0" applyNumberFormat="1" applyFont="1" applyAlignment="1">
      <alignment horizontal="center"/>
    </xf>
    <xf numFmtId="0" fontId="28" fillId="0" borderId="0" xfId="0" applyFont="1" applyAlignment="1">
      <alignment horizontal="left" wrapText="1"/>
    </xf>
    <xf numFmtId="0" fontId="28" fillId="0" borderId="0" xfId="0" applyFont="1" applyAlignment="1">
      <alignment horizontal="left"/>
    </xf>
    <xf numFmtId="0" fontId="16" fillId="0" borderId="0" xfId="0" applyFont="1" applyAlignment="1">
      <alignment wrapText="1"/>
    </xf>
    <xf numFmtId="0" fontId="17" fillId="0" borderId="0" xfId="0" applyFont="1"/>
    <xf numFmtId="0" fontId="17" fillId="11" borderId="0" xfId="0" applyFont="1" applyFill="1" applyAlignment="1">
      <alignment horizontal="left"/>
    </xf>
    <xf numFmtId="14" fontId="16" fillId="0" borderId="0" xfId="0" applyNumberFormat="1" applyFont="1" applyAlignment="1">
      <alignment horizontal="right"/>
    </xf>
    <xf numFmtId="14" fontId="30" fillId="0" borderId="0" xfId="0" applyNumberFormat="1" applyFont="1" applyAlignment="1">
      <alignment horizontal="right"/>
    </xf>
    <xf numFmtId="2" fontId="30" fillId="0" borderId="0" xfId="0" applyNumberFormat="1" applyFont="1" applyAlignment="1">
      <alignment horizontal="right"/>
    </xf>
    <xf numFmtId="0" fontId="30" fillId="0" borderId="0" xfId="0" applyFont="1" applyAlignment="1">
      <alignment horizontal="left"/>
    </xf>
    <xf numFmtId="0" fontId="38" fillId="0" borderId="0" xfId="0" applyFont="1" applyAlignment="1">
      <alignment wrapText="1"/>
    </xf>
    <xf numFmtId="0" fontId="30" fillId="0" borderId="0" xfId="0" applyFont="1" applyAlignment="1">
      <alignment horizontal="center"/>
    </xf>
    <xf numFmtId="14" fontId="30" fillId="0" borderId="4" xfId="0" applyNumberFormat="1" applyFont="1" applyBorder="1" applyAlignment="1">
      <alignment horizontal="right"/>
    </xf>
    <xf numFmtId="10" fontId="16" fillId="0" borderId="5" xfId="4" applyNumberFormat="1" applyFont="1" applyBorder="1"/>
    <xf numFmtId="0" fontId="30" fillId="0" borderId="0" xfId="0" applyFont="1" applyAlignment="1">
      <alignment horizontal="left" wrapText="1"/>
    </xf>
    <xf numFmtId="0" fontId="17" fillId="0" borderId="0" xfId="0" applyFont="1" applyAlignment="1">
      <alignment horizontal="left"/>
    </xf>
    <xf numFmtId="0" fontId="38" fillId="0" borderId="0" xfId="0" applyFont="1" applyAlignment="1">
      <alignment horizontal="center" wrapText="1"/>
    </xf>
    <xf numFmtId="0" fontId="39" fillId="0" borderId="0" xfId="0" applyFont="1" applyAlignment="1">
      <alignment wrapText="1"/>
    </xf>
    <xf numFmtId="10" fontId="16" fillId="0" borderId="0" xfId="4" applyNumberFormat="1" applyFont="1"/>
    <xf numFmtId="0" fontId="15" fillId="0" borderId="0" xfId="0" applyFont="1" applyAlignment="1">
      <alignment horizontal="center"/>
    </xf>
    <xf numFmtId="0" fontId="40" fillId="0" borderId="0" xfId="0" applyFont="1" applyAlignment="1">
      <alignment horizontal="center"/>
    </xf>
    <xf numFmtId="0" fontId="29" fillId="0" borderId="0" xfId="0" applyFont="1" applyAlignment="1">
      <alignment horizontal="center"/>
    </xf>
    <xf numFmtId="2" fontId="29" fillId="0" borderId="0" xfId="0" applyNumberFormat="1" applyFont="1" applyAlignment="1">
      <alignment horizontal="right"/>
    </xf>
    <xf numFmtId="0" fontId="29" fillId="0" borderId="0" xfId="0" applyFont="1" applyAlignment="1">
      <alignment horizontal="center" wrapText="1"/>
    </xf>
    <xf numFmtId="0" fontId="29" fillId="0" borderId="4" xfId="0" applyFont="1" applyBorder="1" applyAlignment="1">
      <alignment horizontal="center"/>
    </xf>
    <xf numFmtId="9" fontId="34" fillId="0" borderId="0" xfId="4" applyFont="1" applyAlignment="1">
      <alignment horizontal="center"/>
    </xf>
    <xf numFmtId="9" fontId="34" fillId="0" borderId="5" xfId="4" applyFont="1" applyBorder="1" applyAlignment="1">
      <alignment horizontal="center"/>
    </xf>
    <xf numFmtId="0" fontId="29" fillId="0" borderId="0" xfId="0" applyFont="1" applyAlignment="1">
      <alignment horizontal="left" wrapText="1"/>
    </xf>
    <xf numFmtId="0" fontId="34" fillId="11" borderId="0" xfId="0" applyFont="1" applyFill="1"/>
    <xf numFmtId="14" fontId="16" fillId="0" borderId="0" xfId="0" applyNumberFormat="1" applyFont="1"/>
    <xf numFmtId="0" fontId="16" fillId="0" borderId="0" xfId="0" applyFont="1" applyAlignment="1">
      <alignment horizontal="center"/>
    </xf>
    <xf numFmtId="14" fontId="16" fillId="0" borderId="4" xfId="0" applyNumberFormat="1" applyFont="1" applyBorder="1"/>
    <xf numFmtId="0" fontId="16" fillId="0" borderId="0" xfId="0" applyFont="1" applyAlignment="1">
      <alignment horizontal="left" wrapText="1"/>
    </xf>
    <xf numFmtId="14" fontId="34" fillId="0" borderId="0" xfId="0" applyNumberFormat="1" applyFont="1"/>
    <xf numFmtId="14" fontId="34" fillId="0" borderId="4" xfId="0" applyNumberFormat="1" applyFont="1" applyBorder="1"/>
    <xf numFmtId="0" fontId="34" fillId="0" borderId="0" xfId="0" applyFont="1"/>
    <xf numFmtId="0" fontId="16" fillId="0" borderId="4" xfId="0" applyFont="1" applyBorder="1"/>
    <xf numFmtId="9" fontId="16" fillId="0" borderId="0" xfId="4" applyFont="1" applyAlignment="1">
      <alignment horizontal="center"/>
    </xf>
    <xf numFmtId="9" fontId="16" fillId="0" borderId="5" xfId="4" applyFont="1" applyBorder="1"/>
    <xf numFmtId="0" fontId="16" fillId="0" borderId="0" xfId="0" applyFont="1" applyAlignment="1">
      <alignment horizontal="right"/>
    </xf>
    <xf numFmtId="0" fontId="34" fillId="0" borderId="0" xfId="0" applyFont="1" applyAlignment="1">
      <alignment horizontal="center"/>
    </xf>
    <xf numFmtId="2" fontId="34" fillId="0" borderId="0" xfId="0" applyNumberFormat="1" applyFont="1" applyAlignment="1">
      <alignment horizontal="right"/>
    </xf>
    <xf numFmtId="0" fontId="41" fillId="0" borderId="0" xfId="0" applyFont="1" applyAlignment="1">
      <alignment wrapText="1"/>
    </xf>
    <xf numFmtId="10" fontId="30" fillId="0" borderId="0" xfId="9" applyNumberFormat="1" applyFont="1" applyAlignment="1">
      <alignment horizontal="center"/>
    </xf>
    <xf numFmtId="10" fontId="30" fillId="0" borderId="5" xfId="9" applyNumberFormat="1" applyFont="1" applyBorder="1" applyAlignment="1">
      <alignment horizontal="center"/>
    </xf>
    <xf numFmtId="0" fontId="42" fillId="0" borderId="0" xfId="0" applyFont="1" applyAlignment="1">
      <alignment wrapText="1"/>
    </xf>
    <xf numFmtId="0" fontId="42" fillId="0" borderId="0" xfId="0" applyFont="1" applyAlignment="1">
      <alignment horizontal="center"/>
    </xf>
    <xf numFmtId="0" fontId="0" fillId="0" borderId="0" xfId="0" applyAlignment="1">
      <alignment horizontal="center"/>
    </xf>
    <xf numFmtId="2" fontId="42" fillId="0" borderId="0" xfId="0" applyNumberFormat="1" applyFont="1" applyAlignment="1">
      <alignment horizontal="right"/>
    </xf>
    <xf numFmtId="2" fontId="43" fillId="0" borderId="0" xfId="0" applyNumberFormat="1" applyFont="1" applyAlignment="1">
      <alignment horizontal="right"/>
    </xf>
    <xf numFmtId="2" fontId="0" fillId="0" borderId="0" xfId="0" applyNumberFormat="1" applyAlignment="1">
      <alignment horizontal="right"/>
    </xf>
    <xf numFmtId="0" fontId="0" fillId="0" borderId="4" xfId="0" applyBorder="1"/>
    <xf numFmtId="9" fontId="0" fillId="0" borderId="0" xfId="4" applyFont="1" applyAlignment="1">
      <alignment horizontal="center"/>
    </xf>
    <xf numFmtId="9" fontId="0" fillId="0" borderId="5" xfId="4" applyFont="1" applyBorder="1"/>
    <xf numFmtId="0" fontId="0" fillId="0" borderId="0" xfId="0" applyAlignment="1">
      <alignment horizontal="left" wrapText="1"/>
    </xf>
    <xf numFmtId="2" fontId="16" fillId="0" borderId="0" xfId="0" applyNumberFormat="1" applyFont="1" applyAlignment="1">
      <alignment horizontal="right"/>
    </xf>
    <xf numFmtId="10" fontId="16" fillId="0" borderId="0" xfId="4" applyNumberFormat="1" applyFont="1" applyAlignment="1">
      <alignment horizontal="center"/>
    </xf>
    <xf numFmtId="0" fontId="28" fillId="0" borderId="0" xfId="0" applyFont="1" applyAlignment="1">
      <alignment wrapText="1"/>
    </xf>
    <xf numFmtId="0" fontId="0" fillId="0" borderId="0" xfId="0" applyAlignment="1">
      <alignment vertical="top"/>
    </xf>
    <xf numFmtId="0" fontId="0" fillId="0" borderId="0" xfId="0" applyAlignment="1">
      <alignment horizontal="center" vertical="top"/>
    </xf>
    <xf numFmtId="0" fontId="0" fillId="0" borderId="0" xfId="0" applyAlignment="1">
      <alignment vertical="center"/>
    </xf>
    <xf numFmtId="0" fontId="7" fillId="0" borderId="0" xfId="2" applyAlignment="1">
      <alignment horizontal="left" vertical="center" wrapText="1" indent="1"/>
    </xf>
    <xf numFmtId="0" fontId="45" fillId="0" borderId="0" xfId="0" applyFont="1" applyAlignment="1">
      <alignment horizontal="center" vertical="center" wrapText="1"/>
    </xf>
    <xf numFmtId="0" fontId="2" fillId="0" borderId="0" xfId="0" applyFont="1" applyAlignment="1">
      <alignment horizontal="center" vertical="center"/>
    </xf>
    <xf numFmtId="0" fontId="46" fillId="0" borderId="0" xfId="0" applyFont="1" applyAlignment="1">
      <alignment horizontal="center" vertical="center" wrapText="1"/>
    </xf>
    <xf numFmtId="14" fontId="5" fillId="3" borderId="0" xfId="0" applyNumberFormat="1" applyFont="1" applyFill="1" applyAlignment="1">
      <alignment horizontal="right" vertical="center" wrapText="1" indent="1"/>
    </xf>
    <xf numFmtId="0" fontId="5" fillId="3" borderId="0" xfId="0" applyFont="1" applyFill="1" applyAlignment="1">
      <alignment horizontal="right" vertical="center" wrapText="1" indent="1"/>
    </xf>
    <xf numFmtId="0" fontId="7" fillId="3" borderId="0" xfId="2" applyFill="1" applyAlignment="1">
      <alignment horizontal="right" vertical="center" wrapText="1" indent="1"/>
    </xf>
    <xf numFmtId="14" fontId="5" fillId="2" borderId="0" xfId="0" applyNumberFormat="1" applyFont="1" applyFill="1" applyAlignment="1">
      <alignment horizontal="right" vertical="center" wrapText="1" indent="1"/>
    </xf>
    <xf numFmtId="0" fontId="5" fillId="2" borderId="0" xfId="0" applyFont="1" applyFill="1" applyAlignment="1">
      <alignment horizontal="right" vertical="center" wrapText="1" indent="1"/>
    </xf>
    <xf numFmtId="0" fontId="7" fillId="2" borderId="0" xfId="2" applyFill="1" applyAlignment="1">
      <alignment horizontal="right" vertical="center" wrapText="1" indent="1"/>
    </xf>
    <xf numFmtId="0" fontId="13" fillId="2" borderId="0" xfId="0" applyFont="1" applyFill="1" applyAlignment="1">
      <alignment horizontal="left" vertical="center" wrapText="1" indent="1"/>
    </xf>
    <xf numFmtId="0" fontId="4" fillId="3" borderId="0" xfId="0" applyFont="1" applyFill="1" applyAlignment="1">
      <alignment horizontal="right" vertical="center" wrapText="1" indent="1"/>
    </xf>
    <xf numFmtId="0" fontId="4" fillId="3" borderId="9" xfId="0" applyFont="1" applyFill="1" applyBorder="1" applyAlignment="1">
      <alignment horizontal="right" vertical="center" wrapText="1" indent="1"/>
    </xf>
    <xf numFmtId="0" fontId="4" fillId="3" borderId="0" xfId="0" applyFont="1" applyFill="1" applyAlignment="1">
      <alignment vertical="center" wrapText="1"/>
    </xf>
    <xf numFmtId="0" fontId="4" fillId="2" borderId="0" xfId="0" applyFont="1" applyFill="1" applyAlignment="1">
      <alignment vertical="center" wrapText="1"/>
    </xf>
    <xf numFmtId="0" fontId="4" fillId="3" borderId="9" xfId="0" applyFont="1" applyFill="1" applyBorder="1" applyAlignment="1">
      <alignment vertical="center" wrapText="1"/>
    </xf>
    <xf numFmtId="0" fontId="0" fillId="0" borderId="0" xfId="0" applyAlignment="1">
      <alignment horizontal="left"/>
    </xf>
    <xf numFmtId="0" fontId="0" fillId="0" borderId="0" xfId="0" applyAlignment="1">
      <alignment horizontal="center" vertical="center" wrapText="1"/>
    </xf>
    <xf numFmtId="0" fontId="4" fillId="2" borderId="0" xfId="0" applyFont="1" applyFill="1" applyAlignment="1">
      <alignment horizontal="right" vertical="center" wrapText="1" indent="1"/>
    </xf>
    <xf numFmtId="0" fontId="5" fillId="3" borderId="0" xfId="0" applyFont="1" applyFill="1" applyAlignment="1">
      <alignment horizontal="left" vertical="center" wrapText="1" indent="1"/>
    </xf>
    <xf numFmtId="0" fontId="7" fillId="3" borderId="0" xfId="2" applyFill="1" applyAlignment="1">
      <alignment horizontal="left" vertical="center" wrapText="1" indent="1"/>
    </xf>
    <xf numFmtId="0" fontId="13" fillId="3" borderId="0" xfId="0" applyFont="1" applyFill="1" applyAlignment="1">
      <alignment horizontal="left" vertical="center" wrapText="1" indent="1"/>
    </xf>
    <xf numFmtId="0" fontId="5" fillId="2" borderId="0" xfId="0" applyFont="1" applyFill="1" applyAlignment="1">
      <alignment horizontal="left" vertical="center" wrapText="1" indent="1"/>
    </xf>
    <xf numFmtId="0" fontId="7" fillId="2" borderId="0" xfId="2" applyFill="1" applyAlignment="1">
      <alignment horizontal="left" vertical="center" wrapText="1" indent="1"/>
    </xf>
    <xf numFmtId="0" fontId="0" fillId="0" borderId="0" xfId="0" applyAlignment="1">
      <alignment wrapText="1"/>
    </xf>
    <xf numFmtId="0" fontId="45" fillId="0" borderId="0" xfId="0" applyFont="1" applyAlignment="1">
      <alignment vertical="center" wrapText="1"/>
    </xf>
    <xf numFmtId="0" fontId="0" fillId="0" borderId="0" xfId="0" pivotButton="1"/>
    <xf numFmtId="0" fontId="0" fillId="0" borderId="0" xfId="0"/>
    <xf numFmtId="0" fontId="4" fillId="2" borderId="0" xfId="0" applyFont="1" applyFill="1" applyAlignment="1">
      <alignment horizontal="left" vertical="center" wrapText="1" indent="1"/>
    </xf>
    <xf numFmtId="0" fontId="4" fillId="3" borderId="0" xfId="0" applyFont="1" applyFill="1" applyAlignment="1">
      <alignment horizontal="left" vertical="center" wrapText="1" indent="1"/>
    </xf>
    <xf numFmtId="0" fontId="4" fillId="2" borderId="9" xfId="0" applyFont="1" applyFill="1" applyBorder="1" applyAlignment="1">
      <alignment horizontal="left" vertical="center" wrapText="1" indent="1"/>
    </xf>
    <xf numFmtId="164" fontId="45" fillId="0" borderId="0" xfId="1" applyFont="1" applyAlignment="1">
      <alignment vertical="center" wrapText="1"/>
    </xf>
    <xf numFmtId="164" fontId="0" fillId="0" borderId="0" xfId="1" applyFont="1" applyAlignment="1">
      <alignment vertical="center"/>
    </xf>
    <xf numFmtId="44" fontId="16" fillId="0" borderId="0" xfId="0" applyNumberFormat="1" applyFont="1"/>
    <xf numFmtId="44" fontId="16" fillId="0" borderId="5" xfId="0" applyNumberFormat="1" applyFont="1" applyBorder="1"/>
    <xf numFmtId="164" fontId="24" fillId="13" borderId="0" xfId="5" applyNumberFormat="1" applyFont="1" applyFill="1"/>
    <xf numFmtId="44" fontId="24" fillId="13" borderId="0" xfId="5" applyNumberFormat="1" applyFont="1" applyFill="1"/>
    <xf numFmtId="44" fontId="24" fillId="13" borderId="5" xfId="5" applyNumberFormat="1" applyFont="1" applyFill="1" applyBorder="1"/>
    <xf numFmtId="44" fontId="29" fillId="11" borderId="10" xfId="5" applyNumberFormat="1" applyFont="1" applyFill="1" applyBorder="1" applyAlignment="1">
      <alignment horizontal="center" vertical="center" wrapText="1"/>
    </xf>
    <xf numFmtId="44" fontId="29" fillId="11" borderId="23" xfId="5" applyNumberFormat="1" applyFont="1" applyFill="1" applyBorder="1" applyAlignment="1">
      <alignment horizontal="center" vertical="center" wrapText="1"/>
    </xf>
    <xf numFmtId="169" fontId="30" fillId="0" borderId="0" xfId="5" applyNumberFormat="1" applyFont="1"/>
    <xf numFmtId="44" fontId="30" fillId="0" borderId="0" xfId="5" applyNumberFormat="1" applyFont="1"/>
    <xf numFmtId="44" fontId="30" fillId="0" borderId="5" xfId="5" applyNumberFormat="1" applyFont="1" applyBorder="1"/>
    <xf numFmtId="164" fontId="17" fillId="0" borderId="0" xfId="5" applyNumberFormat="1" applyFont="1" applyAlignment="1">
      <alignment horizontal="left"/>
    </xf>
    <xf numFmtId="44" fontId="30" fillId="0" borderId="0" xfId="5" applyNumberFormat="1" applyFont="1" applyAlignment="1">
      <alignment horizontal="right"/>
    </xf>
    <xf numFmtId="44" fontId="30" fillId="0" borderId="0" xfId="5" applyNumberFormat="1" applyFont="1" applyAlignment="1">
      <alignment horizontal="left"/>
    </xf>
    <xf numFmtId="44" fontId="32" fillId="0" borderId="5" xfId="5" applyNumberFormat="1" applyFont="1" applyBorder="1" applyAlignment="1">
      <alignment horizontal="center"/>
    </xf>
    <xf numFmtId="44" fontId="32" fillId="0" borderId="0" xfId="5" applyNumberFormat="1" applyFont="1" applyAlignment="1">
      <alignment horizontal="center"/>
    </xf>
    <xf numFmtId="164" fontId="30" fillId="0" borderId="0" xfId="5" applyNumberFormat="1" applyFont="1"/>
    <xf numFmtId="164" fontId="31" fillId="0" borderId="0" xfId="5" applyNumberFormat="1" applyFont="1" applyAlignment="1">
      <alignment horizontal="left" wrapText="1"/>
    </xf>
    <xf numFmtId="164" fontId="31" fillId="0" borderId="0" xfId="5" applyNumberFormat="1" applyFont="1" applyAlignment="1">
      <alignment horizontal="left"/>
    </xf>
    <xf numFmtId="164" fontId="30" fillId="0" borderId="4" xfId="5" applyNumberFormat="1" applyFont="1" applyBorder="1" applyAlignment="1">
      <alignment horizontal="left"/>
    </xf>
    <xf numFmtId="44" fontId="30" fillId="0" borderId="25" xfId="5" applyNumberFormat="1" applyFont="1" applyBorder="1"/>
    <xf numFmtId="164" fontId="31" fillId="0" borderId="0" xfId="5" applyNumberFormat="1" applyFont="1"/>
    <xf numFmtId="44" fontId="31" fillId="0" borderId="5" xfId="5" applyNumberFormat="1" applyFont="1" applyBorder="1"/>
    <xf numFmtId="44" fontId="31" fillId="0" borderId="0" xfId="5" applyNumberFormat="1" applyFont="1"/>
    <xf numFmtId="169" fontId="31" fillId="0" borderId="0" xfId="5" applyNumberFormat="1" applyFont="1"/>
    <xf numFmtId="164" fontId="30" fillId="0" borderId="0" xfId="5" applyNumberFormat="1" applyFont="1" applyAlignment="1">
      <alignment horizontal="center"/>
    </xf>
    <xf numFmtId="44" fontId="33" fillId="0" borderId="0" xfId="5" applyNumberFormat="1" applyFont="1"/>
    <xf numFmtId="164" fontId="33" fillId="0" borderId="0" xfId="5" applyNumberFormat="1" applyFont="1" applyAlignment="1">
      <alignment horizontal="left" wrapText="1"/>
    </xf>
    <xf numFmtId="164" fontId="33" fillId="0" borderId="0" xfId="5" applyNumberFormat="1" applyFont="1" applyAlignment="1">
      <alignment horizontal="left"/>
    </xf>
    <xf numFmtId="44" fontId="16" fillId="0" borderId="5" xfId="5" applyNumberFormat="1" applyFont="1" applyBorder="1"/>
    <xf numFmtId="44" fontId="16" fillId="0" borderId="0" xfId="5" applyNumberFormat="1" applyFont="1"/>
    <xf numFmtId="164" fontId="30" fillId="0" borderId="0" xfId="5" applyNumberFormat="1" applyFont="1" applyAlignment="1">
      <alignment wrapText="1"/>
    </xf>
    <xf numFmtId="164" fontId="30" fillId="0" borderId="5" xfId="5" applyNumberFormat="1" applyFont="1" applyBorder="1" applyAlignment="1">
      <alignment wrapText="1"/>
    </xf>
    <xf numFmtId="170" fontId="30" fillId="0" borderId="0" xfId="5" applyNumberFormat="1" applyFont="1"/>
    <xf numFmtId="44" fontId="30" fillId="0" borderId="26" xfId="5" applyNumberFormat="1" applyFont="1" applyBorder="1"/>
    <xf numFmtId="44" fontId="30" fillId="0" borderId="27" xfId="5" applyNumberFormat="1" applyFont="1" applyBorder="1"/>
    <xf numFmtId="44" fontId="30" fillId="0" borderId="1" xfId="5" applyNumberFormat="1" applyFont="1" applyBorder="1"/>
    <xf numFmtId="171" fontId="30" fillId="0" borderId="0" xfId="5" applyNumberFormat="1" applyFont="1" applyAlignment="1">
      <alignment horizontal="center"/>
    </xf>
    <xf numFmtId="171" fontId="30" fillId="0" borderId="5" xfId="5" applyNumberFormat="1" applyFont="1" applyBorder="1" applyAlignment="1">
      <alignment horizontal="center"/>
    </xf>
    <xf numFmtId="164" fontId="31" fillId="0" borderId="4" xfId="5" applyNumberFormat="1" applyFont="1" applyBorder="1" applyAlignment="1">
      <alignment horizontal="left"/>
    </xf>
    <xf numFmtId="44" fontId="30" fillId="0" borderId="5" xfId="7" applyFont="1" applyBorder="1"/>
    <xf numFmtId="44" fontId="30" fillId="0" borderId="0" xfId="7" applyFont="1"/>
    <xf numFmtId="44" fontId="30" fillId="0" borderId="0" xfId="5" applyNumberFormat="1" applyFont="1" applyAlignment="1">
      <alignment horizontal="center"/>
    </xf>
    <xf numFmtId="44" fontId="30" fillId="0" borderId="28" xfId="5" applyNumberFormat="1" applyFont="1" applyBorder="1"/>
    <xf numFmtId="44" fontId="30" fillId="0" borderId="5" xfId="5" applyNumberFormat="1" applyFont="1" applyBorder="1" applyAlignment="1">
      <alignment horizontal="center"/>
    </xf>
    <xf numFmtId="44" fontId="16" fillId="0" borderId="0" xfId="7" applyFont="1"/>
    <xf numFmtId="44" fontId="16" fillId="0" borderId="1" xfId="7" applyFont="1" applyBorder="1"/>
    <xf numFmtId="44" fontId="30" fillId="0" borderId="5" xfId="8" applyFont="1" applyBorder="1"/>
    <xf numFmtId="44" fontId="30" fillId="0" borderId="0" xfId="8" applyFont="1"/>
    <xf numFmtId="170" fontId="30" fillId="0" borderId="0" xfId="5" applyNumberFormat="1" applyFont="1" applyAlignment="1">
      <alignment horizontal="right"/>
    </xf>
    <xf numFmtId="164" fontId="16" fillId="0" borderId="0" xfId="0" applyNumberFormat="1" applyFont="1"/>
    <xf numFmtId="44" fontId="30" fillId="0" borderId="22" xfId="5" applyNumberFormat="1" applyFont="1" applyBorder="1"/>
    <xf numFmtId="44" fontId="30" fillId="0" borderId="0" xfId="0" applyNumberFormat="1" applyFont="1" applyAlignment="1">
      <alignment horizontal="center"/>
    </xf>
    <xf numFmtId="44" fontId="16" fillId="0" borderId="0" xfId="0" applyNumberFormat="1" applyFont="1" applyAlignment="1">
      <alignment horizontal="center"/>
    </xf>
    <xf numFmtId="44" fontId="30" fillId="0" borderId="5" xfId="0" applyNumberFormat="1" applyFont="1" applyBorder="1" applyAlignment="1">
      <alignment horizontal="center"/>
    </xf>
    <xf numFmtId="44" fontId="17" fillId="0" borderId="22" xfId="0" applyNumberFormat="1" applyFont="1" applyBorder="1" applyAlignment="1">
      <alignment horizontal="center"/>
    </xf>
    <xf numFmtId="44" fontId="30" fillId="0" borderId="29" xfId="0" applyNumberFormat="1" applyFont="1" applyBorder="1" applyAlignment="1">
      <alignment horizontal="center"/>
    </xf>
    <xf numFmtId="44" fontId="16" fillId="0" borderId="29" xfId="0" applyNumberFormat="1" applyFont="1" applyBorder="1" applyAlignment="1">
      <alignment horizontal="center"/>
    </xf>
    <xf numFmtId="44" fontId="29" fillId="0" borderId="29" xfId="0" applyNumberFormat="1" applyFont="1" applyBorder="1" applyAlignment="1">
      <alignment horizontal="center"/>
    </xf>
    <xf numFmtId="44" fontId="40" fillId="0" borderId="29" xfId="0" applyNumberFormat="1" applyFont="1" applyBorder="1" applyAlignment="1">
      <alignment horizontal="center"/>
    </xf>
    <xf numFmtId="44" fontId="29" fillId="0" borderId="5" xfId="0" applyNumberFormat="1" applyFont="1" applyBorder="1" applyAlignment="1">
      <alignment horizontal="center"/>
    </xf>
    <xf numFmtId="44" fontId="29" fillId="0" borderId="0" xfId="0" applyNumberFormat="1" applyFont="1" applyAlignment="1">
      <alignment horizontal="center"/>
    </xf>
    <xf numFmtId="44" fontId="34" fillId="0" borderId="22" xfId="0" applyNumberFormat="1" applyFont="1" applyBorder="1"/>
    <xf numFmtId="44" fontId="34" fillId="0" borderId="5" xfId="0" applyNumberFormat="1" applyFont="1" applyBorder="1"/>
    <xf numFmtId="44" fontId="34" fillId="0" borderId="0" xfId="0" applyNumberFormat="1" applyFont="1"/>
    <xf numFmtId="44" fontId="34" fillId="0" borderId="29" xfId="0" applyNumberFormat="1" applyFont="1" applyBorder="1"/>
    <xf numFmtId="44" fontId="16" fillId="0" borderId="19" xfId="0" applyNumberFormat="1" applyFont="1" applyBorder="1"/>
    <xf numFmtId="172" fontId="16" fillId="0" borderId="0" xfId="0" applyNumberFormat="1" applyFont="1"/>
    <xf numFmtId="172" fontId="16" fillId="0" borderId="4" xfId="0" applyNumberFormat="1" applyFont="1" applyBorder="1"/>
    <xf numFmtId="44" fontId="16" fillId="0" borderId="0" xfId="3" applyFont="1"/>
    <xf numFmtId="44" fontId="16" fillId="0" borderId="29" xfId="0" applyNumberFormat="1" applyFont="1" applyBorder="1"/>
    <xf numFmtId="44" fontId="42" fillId="0" borderId="5" xfId="0" applyNumberFormat="1" applyFont="1" applyBorder="1"/>
    <xf numFmtId="44" fontId="42" fillId="0" borderId="0" xfId="0" applyNumberFormat="1" applyFont="1"/>
    <xf numFmtId="44" fontId="43" fillId="0" borderId="5" xfId="0" applyNumberFormat="1" applyFont="1" applyBorder="1"/>
    <xf numFmtId="44" fontId="43" fillId="0" borderId="0" xfId="0" applyNumberFormat="1" applyFont="1"/>
    <xf numFmtId="44" fontId="0" fillId="0" borderId="29" xfId="0" applyNumberFormat="1" applyBorder="1"/>
    <xf numFmtId="44" fontId="0" fillId="0" borderId="5" xfId="0" applyNumberFormat="1" applyBorder="1"/>
    <xf numFmtId="44" fontId="0" fillId="0" borderId="0" xfId="0" applyNumberFormat="1"/>
    <xf numFmtId="44" fontId="16" fillId="0" borderId="1" xfId="0" applyNumberFormat="1" applyFont="1" applyBorder="1"/>
    <xf numFmtId="44" fontId="16" fillId="0" borderId="1" xfId="3" applyFont="1" applyBorder="1"/>
    <xf numFmtId="8" fontId="16" fillId="0" borderId="5" xfId="0" applyNumberFormat="1" applyFont="1" applyBorder="1"/>
    <xf numFmtId="8" fontId="16" fillId="0" borderId="0" xfId="0" applyNumberFormat="1" applyFont="1"/>
    <xf numFmtId="44" fontId="34" fillId="0" borderId="25" xfId="0" applyNumberFormat="1" applyFont="1" applyBorder="1"/>
    <xf numFmtId="0" fontId="0" fillId="0" borderId="0" xfId="0" applyNumberFormat="1"/>
    <xf numFmtId="3" fontId="0" fillId="0" borderId="0" xfId="0" applyNumberFormat="1"/>
    <xf numFmtId="0" fontId="0" fillId="0" borderId="0" xfId="0" applyAlignment="1">
      <alignment vertical="center" wrapText="1"/>
    </xf>
    <xf numFmtId="165" fontId="0" fillId="0" borderId="0" xfId="0" applyNumberFormat="1" applyAlignment="1">
      <alignment horizontal="center" vertical="center" wrapText="1"/>
    </xf>
    <xf numFmtId="0" fontId="45" fillId="0" borderId="22" xfId="0" applyFont="1" applyBorder="1" applyAlignment="1">
      <alignment vertical="center" wrapText="1"/>
    </xf>
    <xf numFmtId="0" fontId="0" fillId="0" borderId="22" xfId="0" applyBorder="1" applyAlignment="1">
      <alignment vertical="center" wrapText="1"/>
    </xf>
    <xf numFmtId="0" fontId="0" fillId="0" borderId="3" xfId="0" applyBorder="1" applyAlignment="1">
      <alignment vertical="center" wrapText="1"/>
    </xf>
    <xf numFmtId="0" fontId="0" fillId="0" borderId="1" xfId="0" applyBorder="1" applyAlignment="1">
      <alignment vertical="center" wrapText="1"/>
    </xf>
    <xf numFmtId="0" fontId="0" fillId="0" borderId="22" xfId="0" applyBorder="1" applyAlignment="1">
      <alignment horizontal="center" vertical="center" wrapText="1"/>
    </xf>
    <xf numFmtId="0" fontId="0" fillId="0" borderId="1" xfId="0" applyBorder="1" applyAlignment="1">
      <alignment horizontal="center" vertical="center" wrapText="1"/>
    </xf>
    <xf numFmtId="1" fontId="0" fillId="0" borderId="22" xfId="0" applyNumberFormat="1" applyBorder="1" applyAlignment="1">
      <alignment vertical="center" wrapText="1"/>
    </xf>
    <xf numFmtId="0" fontId="0" fillId="0" borderId="0" xfId="0"/>
    <xf numFmtId="2" fontId="0" fillId="0" borderId="22" xfId="1" applyNumberFormat="1" applyFont="1" applyBorder="1" applyAlignment="1">
      <alignment vertical="center" wrapText="1"/>
    </xf>
    <xf numFmtId="165" fontId="0" fillId="0" borderId="0" xfId="0" applyNumberFormat="1" applyAlignment="1">
      <alignment vertical="center" wrapText="1"/>
    </xf>
    <xf numFmtId="0" fontId="0" fillId="16" borderId="30" xfId="0" applyFill="1" applyBorder="1" applyAlignment="1">
      <alignment vertical="center" wrapText="1"/>
    </xf>
    <xf numFmtId="0" fontId="0" fillId="0" borderId="30" xfId="0" applyBorder="1" applyAlignment="1">
      <alignment vertical="center" wrapText="1"/>
    </xf>
    <xf numFmtId="0" fontId="0" fillId="0" borderId="2" xfId="0" applyBorder="1" applyAlignment="1">
      <alignment vertical="center" wrapText="1"/>
    </xf>
    <xf numFmtId="0" fontId="0" fillId="4" borderId="30" xfId="0" applyFill="1" applyBorder="1" applyAlignment="1">
      <alignment vertical="center" wrapText="1"/>
    </xf>
    <xf numFmtId="0" fontId="0" fillId="0" borderId="4" xfId="0" applyBorder="1" applyAlignment="1">
      <alignment vertical="center" wrapText="1"/>
    </xf>
    <xf numFmtId="165" fontId="0" fillId="0" borderId="5" xfId="0" applyNumberFormat="1" applyBorder="1" applyAlignment="1">
      <alignment vertical="center" wrapText="1"/>
    </xf>
    <xf numFmtId="0" fontId="0" fillId="0" borderId="6" xfId="0" applyBorder="1" applyAlignment="1">
      <alignment vertical="center" wrapText="1"/>
    </xf>
    <xf numFmtId="165" fontId="0" fillId="0" borderId="7" xfId="0" applyNumberFormat="1" applyBorder="1" applyAlignment="1">
      <alignment vertical="center" wrapText="1"/>
    </xf>
    <xf numFmtId="0" fontId="3" fillId="0" borderId="0" xfId="0" applyFont="1" applyAlignment="1">
      <alignment vertical="center"/>
    </xf>
    <xf numFmtId="0" fontId="3" fillId="0" borderId="0" xfId="0" applyFont="1" applyAlignment="1">
      <alignment horizontal="left" vertical="center" wrapText="1"/>
    </xf>
    <xf numFmtId="0" fontId="3" fillId="0" borderId="0" xfId="0" applyFont="1" applyAlignment="1">
      <alignment vertical="center" wrapText="1"/>
    </xf>
    <xf numFmtId="0" fontId="18" fillId="0" borderId="0" xfId="0" applyFont="1" applyAlignment="1">
      <alignment horizontal="center" vertical="center" wrapText="1"/>
    </xf>
    <xf numFmtId="0" fontId="2" fillId="10" borderId="11" xfId="0" applyFont="1" applyFill="1" applyBorder="1" applyAlignment="1">
      <alignment vertical="center" wrapText="1"/>
    </xf>
    <xf numFmtId="165" fontId="10" fillId="10" borderId="12" xfId="0" applyNumberFormat="1" applyFont="1" applyFill="1" applyBorder="1" applyAlignment="1">
      <alignment horizontal="center" vertical="center" wrapText="1"/>
    </xf>
    <xf numFmtId="0" fontId="2" fillId="9" borderId="11" xfId="0" applyFont="1" applyFill="1" applyBorder="1" applyAlignment="1">
      <alignment vertical="center" wrapText="1"/>
    </xf>
    <xf numFmtId="0" fontId="0" fillId="9" borderId="12" xfId="0" applyFill="1" applyBorder="1" applyAlignment="1">
      <alignment vertical="center" wrapText="1"/>
    </xf>
    <xf numFmtId="0" fontId="6" fillId="0" borderId="3" xfId="0" applyFont="1" applyBorder="1" applyAlignment="1">
      <alignment horizontal="center" vertical="center" wrapText="1"/>
    </xf>
    <xf numFmtId="0" fontId="2" fillId="10" borderId="13" xfId="0" applyFont="1" applyFill="1" applyBorder="1" applyAlignment="1">
      <alignment vertical="center" wrapText="1"/>
    </xf>
    <xf numFmtId="165" fontId="11" fillId="10" borderId="14" xfId="0" applyNumberFormat="1" applyFont="1" applyFill="1" applyBorder="1" applyAlignment="1">
      <alignment horizontal="center" vertical="center" wrapText="1"/>
    </xf>
    <xf numFmtId="0" fontId="2" fillId="9" borderId="13" xfId="0" applyFont="1" applyFill="1" applyBorder="1" applyAlignment="1">
      <alignment vertical="center" wrapText="1"/>
    </xf>
    <xf numFmtId="166" fontId="0" fillId="9" borderId="14" xfId="1" applyNumberFormat="1" applyFont="1" applyFill="1" applyBorder="1" applyAlignment="1">
      <alignment vertical="center" wrapText="1"/>
    </xf>
    <xf numFmtId="0" fontId="2" fillId="10" borderId="15" xfId="0" applyFont="1" applyFill="1" applyBorder="1" applyAlignment="1">
      <alignment vertical="center" wrapText="1"/>
    </xf>
    <xf numFmtId="0" fontId="0" fillId="10" borderId="16" xfId="0" applyFill="1" applyBorder="1" applyAlignment="1">
      <alignment horizontal="center" vertical="center" wrapText="1"/>
    </xf>
    <xf numFmtId="0" fontId="2" fillId="7" borderId="11" xfId="0" applyFont="1" applyFill="1" applyBorder="1" applyAlignment="1">
      <alignment vertical="center" wrapText="1"/>
    </xf>
    <xf numFmtId="0" fontId="0" fillId="7" borderId="12" xfId="0" applyFill="1" applyBorder="1" applyAlignment="1">
      <alignment horizontal="center" vertical="center" wrapText="1"/>
    </xf>
    <xf numFmtId="0" fontId="2" fillId="9" borderId="15" xfId="0" applyFont="1" applyFill="1" applyBorder="1" applyAlignment="1">
      <alignment vertical="center" wrapText="1"/>
    </xf>
    <xf numFmtId="166" fontId="0" fillId="9" borderId="16" xfId="1" applyNumberFormat="1" applyFont="1" applyFill="1" applyBorder="1" applyAlignment="1">
      <alignment vertical="center" wrapText="1"/>
    </xf>
    <xf numFmtId="0" fontId="2" fillId="7" borderId="13" xfId="0" applyFont="1" applyFill="1" applyBorder="1" applyAlignment="1">
      <alignment vertical="center" wrapText="1"/>
    </xf>
    <xf numFmtId="168" fontId="0" fillId="7" borderId="8" xfId="0" applyNumberFormat="1" applyFill="1" applyBorder="1" applyAlignment="1">
      <alignment horizontal="center" vertical="center" wrapText="1"/>
    </xf>
    <xf numFmtId="0" fontId="2" fillId="0" borderId="11" xfId="0" applyFont="1" applyBorder="1" applyAlignment="1">
      <alignment vertical="center" wrapText="1"/>
    </xf>
    <xf numFmtId="167" fontId="12" fillId="0" borderId="12" xfId="0" applyNumberFormat="1" applyFont="1" applyBorder="1" applyAlignment="1">
      <alignment vertical="center" wrapText="1"/>
    </xf>
    <xf numFmtId="0" fontId="0" fillId="7" borderId="8" xfId="0" applyFill="1" applyBorder="1" applyAlignment="1">
      <alignment horizontal="center" vertical="center" wrapText="1"/>
    </xf>
    <xf numFmtId="0" fontId="2" fillId="0" borderId="17" xfId="0" applyFont="1" applyBorder="1" applyAlignment="1">
      <alignment vertical="center" wrapText="1"/>
    </xf>
    <xf numFmtId="167" fontId="0" fillId="8" borderId="18" xfId="0" applyNumberFormat="1" applyFill="1" applyBorder="1" applyAlignment="1">
      <alignment vertical="center" wrapText="1"/>
    </xf>
    <xf numFmtId="0" fontId="2" fillId="7" borderId="15" xfId="0" applyFont="1" applyFill="1" applyBorder="1" applyAlignment="1">
      <alignment vertical="center" wrapText="1"/>
    </xf>
    <xf numFmtId="10" fontId="0" fillId="7" borderId="10" xfId="0" applyNumberFormat="1" applyFill="1" applyBorder="1" applyAlignment="1">
      <alignment horizontal="center" vertical="center" wrapText="1"/>
    </xf>
    <xf numFmtId="165" fontId="8" fillId="4" borderId="16" xfId="0" applyNumberFormat="1" applyFont="1" applyFill="1" applyBorder="1" applyAlignment="1">
      <alignment vertical="center" wrapText="1"/>
    </xf>
    <xf numFmtId="164" fontId="0" fillId="0" borderId="0" xfId="0" applyNumberFormat="1" applyAlignment="1">
      <alignment vertical="center" wrapText="1"/>
    </xf>
    <xf numFmtId="0" fontId="45" fillId="0" borderId="8" xfId="0" applyFont="1" applyBorder="1" applyAlignment="1">
      <alignment horizontal="center" vertical="center" wrapText="1"/>
    </xf>
    <xf numFmtId="0" fontId="0" fillId="0" borderId="32" xfId="0" applyBorder="1" applyAlignment="1">
      <alignment horizontal="center" vertical="center" wrapText="1"/>
    </xf>
    <xf numFmtId="1" fontId="0" fillId="0" borderId="32" xfId="0" applyNumberFormat="1" applyBorder="1" applyAlignment="1">
      <alignment vertical="center" wrapText="1"/>
    </xf>
    <xf numFmtId="0" fontId="0" fillId="0" borderId="32" xfId="0" applyBorder="1" applyAlignment="1">
      <alignment vertical="center" wrapText="1"/>
    </xf>
    <xf numFmtId="2" fontId="1" fillId="0" borderId="32" xfId="1" applyNumberFormat="1" applyBorder="1" applyAlignment="1">
      <alignment vertical="center" wrapText="1"/>
    </xf>
    <xf numFmtId="0" fontId="45" fillId="0" borderId="32" xfId="0" applyFont="1" applyBorder="1" applyAlignment="1">
      <alignment vertical="center" wrapText="1"/>
    </xf>
    <xf numFmtId="0" fontId="0" fillId="0" borderId="33" xfId="0" applyBorder="1" applyAlignment="1">
      <alignment vertical="center" wrapText="1"/>
    </xf>
    <xf numFmtId="165" fontId="0" fillId="0" borderId="1" xfId="0" applyNumberFormat="1" applyBorder="1" applyAlignment="1">
      <alignment horizontal="center" vertical="center" wrapText="1"/>
    </xf>
    <xf numFmtId="167" fontId="0" fillId="0" borderId="32" xfId="0" applyNumberFormat="1" applyBorder="1" applyAlignment="1">
      <alignment horizontal="center" vertical="center" wrapText="1"/>
    </xf>
    <xf numFmtId="165" fontId="0" fillId="0" borderId="32" xfId="0" applyNumberFormat="1" applyBorder="1" applyAlignment="1">
      <alignment horizontal="center" vertical="center" wrapText="1"/>
    </xf>
    <xf numFmtId="0" fontId="45" fillId="0" borderId="32" xfId="0" applyFont="1" applyBorder="1" applyAlignment="1">
      <alignment horizontal="center" vertical="center" wrapText="1"/>
    </xf>
    <xf numFmtId="0" fontId="45" fillId="0" borderId="30" xfId="0" applyFont="1" applyBorder="1" applyAlignment="1">
      <alignment horizontal="center" vertical="center" wrapText="1"/>
    </xf>
    <xf numFmtId="1" fontId="0" fillId="0" borderId="30" xfId="0" applyNumberFormat="1" applyBorder="1" applyAlignment="1">
      <alignment vertical="center" wrapText="1"/>
    </xf>
    <xf numFmtId="2" fontId="1" fillId="0" borderId="8" xfId="1" applyNumberFormat="1" applyBorder="1" applyAlignment="1">
      <alignment vertical="center" wrapText="1"/>
    </xf>
    <xf numFmtId="0" fontId="45" fillId="0" borderId="33" xfId="0" applyFont="1" applyBorder="1" applyAlignment="1">
      <alignment vertical="center" wrapText="1"/>
    </xf>
    <xf numFmtId="167" fontId="0" fillId="0" borderId="8" xfId="0" applyNumberFormat="1" applyBorder="1" applyAlignment="1">
      <alignment horizontal="center" vertical="center" wrapText="1"/>
    </xf>
    <xf numFmtId="0" fontId="45" fillId="16" borderId="32" xfId="0" applyFont="1" applyFill="1" applyBorder="1" applyAlignment="1">
      <alignment horizontal="center" vertical="center" wrapText="1"/>
    </xf>
    <xf numFmtId="1" fontId="0" fillId="16" borderId="32" xfId="0" applyNumberFormat="1" applyFill="1" applyBorder="1" applyAlignment="1">
      <alignment vertical="center" wrapText="1"/>
    </xf>
    <xf numFmtId="2" fontId="1" fillId="16" borderId="32" xfId="1" applyNumberFormat="1" applyFill="1" applyBorder="1" applyAlignment="1">
      <alignment vertical="center" wrapText="1"/>
    </xf>
    <xf numFmtId="0" fontId="45" fillId="16" borderId="32" xfId="0" applyFont="1" applyFill="1" applyBorder="1" applyAlignment="1">
      <alignment vertical="center" wrapText="1"/>
    </xf>
    <xf numFmtId="167" fontId="0" fillId="16" borderId="32" xfId="0" applyNumberFormat="1" applyFill="1" applyBorder="1" applyAlignment="1">
      <alignment horizontal="center" vertical="center" wrapText="1"/>
    </xf>
    <xf numFmtId="0" fontId="0" fillId="16" borderId="32" xfId="0" applyFill="1" applyBorder="1" applyAlignment="1">
      <alignment vertical="center" wrapText="1"/>
    </xf>
    <xf numFmtId="0" fontId="0" fillId="4" borderId="32" xfId="0" applyFill="1" applyBorder="1" applyAlignment="1">
      <alignment vertical="center" wrapText="1"/>
    </xf>
    <xf numFmtId="0" fontId="0" fillId="16" borderId="32" xfId="0" applyFill="1" applyBorder="1" applyAlignment="1">
      <alignment horizontal="center" vertical="center" wrapText="1"/>
    </xf>
    <xf numFmtId="165" fontId="0" fillId="16" borderId="32" xfId="0" applyNumberFormat="1" applyFill="1" applyBorder="1" applyAlignment="1">
      <alignment horizontal="center" vertical="center" wrapText="1"/>
    </xf>
    <xf numFmtId="2" fontId="0" fillId="0" borderId="32" xfId="1" applyNumberFormat="1" applyFont="1" applyBorder="1" applyAlignment="1">
      <alignment vertical="center" wrapText="1"/>
    </xf>
    <xf numFmtId="0" fontId="0" fillId="0" borderId="8" xfId="0" applyBorder="1" applyAlignment="1">
      <alignment horizontal="center" vertical="center" wrapText="1"/>
    </xf>
    <xf numFmtId="165" fontId="0" fillId="0" borderId="22" xfId="0" applyNumberFormat="1" applyBorder="1" applyAlignment="1">
      <alignment horizontal="center" vertical="center" wrapText="1"/>
    </xf>
    <xf numFmtId="0" fontId="3" fillId="0" borderId="0" xfId="0" applyFont="1" applyAlignment="1">
      <alignment horizontal="center" vertical="center" wrapText="1"/>
    </xf>
    <xf numFmtId="0" fontId="48" fillId="0" borderId="32" xfId="0" applyFont="1" applyBorder="1" applyAlignment="1">
      <alignment horizontal="center" vertical="center" wrapText="1"/>
    </xf>
    <xf numFmtId="167" fontId="48" fillId="0" borderId="32" xfId="0" applyNumberFormat="1" applyFont="1" applyBorder="1" applyAlignment="1">
      <alignment horizontal="center" vertical="center" wrapText="1"/>
    </xf>
    <xf numFmtId="167" fontId="48" fillId="0" borderId="22" xfId="0" applyNumberFormat="1" applyFont="1" applyBorder="1" applyAlignment="1">
      <alignment horizontal="center" vertical="center" wrapText="1"/>
    </xf>
    <xf numFmtId="0" fontId="0" fillId="17" borderId="32" xfId="0" applyFill="1" applyBorder="1" applyAlignment="1">
      <alignment horizontal="center" vertical="center" wrapText="1"/>
    </xf>
    <xf numFmtId="0" fontId="0" fillId="17" borderId="32" xfId="0" applyFill="1" applyBorder="1" applyAlignment="1">
      <alignment vertical="center" wrapText="1"/>
    </xf>
    <xf numFmtId="0" fontId="2" fillId="0" borderId="32" xfId="0" applyFont="1" applyBorder="1" applyAlignment="1">
      <alignment vertical="center" wrapText="1"/>
    </xf>
    <xf numFmtId="0" fontId="45" fillId="18" borderId="32" xfId="0" applyFont="1" applyFill="1" applyBorder="1" applyAlignment="1">
      <alignment horizontal="center" vertical="center" wrapText="1"/>
    </xf>
    <xf numFmtId="1" fontId="0" fillId="18" borderId="32" xfId="0" applyNumberFormat="1" applyFill="1" applyBorder="1" applyAlignment="1">
      <alignment vertical="center" wrapText="1"/>
    </xf>
    <xf numFmtId="2" fontId="1" fillId="18" borderId="32" xfId="1" applyNumberFormat="1" applyFill="1" applyBorder="1" applyAlignment="1">
      <alignment vertical="center" wrapText="1"/>
    </xf>
    <xf numFmtId="0" fontId="45" fillId="18" borderId="32" xfId="0" applyFont="1" applyFill="1" applyBorder="1" applyAlignment="1">
      <alignment vertical="center" wrapText="1"/>
    </xf>
    <xf numFmtId="167" fontId="48" fillId="18" borderId="32" xfId="0" applyNumberFormat="1" applyFont="1" applyFill="1" applyBorder="1" applyAlignment="1">
      <alignment horizontal="center" vertical="center" wrapText="1"/>
    </xf>
    <xf numFmtId="167" fontId="0" fillId="18" borderId="32" xfId="0" applyNumberFormat="1" applyFill="1" applyBorder="1" applyAlignment="1">
      <alignment horizontal="center" vertical="center" wrapText="1"/>
    </xf>
    <xf numFmtId="0" fontId="0" fillId="18" borderId="32" xfId="0" applyFill="1" applyBorder="1" applyAlignment="1">
      <alignment vertical="center" wrapText="1"/>
    </xf>
    <xf numFmtId="0" fontId="0" fillId="18" borderId="32" xfId="0" applyFill="1" applyBorder="1" applyAlignment="1">
      <alignment horizontal="center" vertical="center" wrapText="1"/>
    </xf>
    <xf numFmtId="165" fontId="0" fillId="18" borderId="32" xfId="0" applyNumberFormat="1" applyFill="1" applyBorder="1" applyAlignment="1">
      <alignment horizontal="center" vertical="center" wrapText="1"/>
    </xf>
    <xf numFmtId="2" fontId="0" fillId="18" borderId="32" xfId="1" applyNumberFormat="1" applyFont="1" applyFill="1" applyBorder="1" applyAlignment="1">
      <alignment vertical="center" wrapText="1"/>
    </xf>
    <xf numFmtId="0" fontId="0" fillId="19" borderId="30" xfId="0" applyFill="1" applyBorder="1" applyAlignment="1">
      <alignment vertical="center" wrapText="1"/>
    </xf>
    <xf numFmtId="15" fontId="45" fillId="18" borderId="30" xfId="0" applyNumberFormat="1" applyFont="1" applyFill="1" applyBorder="1" applyAlignment="1">
      <alignment horizontal="center" vertical="center" wrapText="1"/>
    </xf>
    <xf numFmtId="15" fontId="0" fillId="18" borderId="30" xfId="0" applyNumberFormat="1" applyFill="1" applyBorder="1" applyAlignment="1">
      <alignment horizontal="center" vertical="center" wrapText="1"/>
    </xf>
    <xf numFmtId="1" fontId="0" fillId="18" borderId="30" xfId="0" applyNumberFormat="1" applyFill="1" applyBorder="1" applyAlignment="1">
      <alignment vertical="center" wrapText="1"/>
    </xf>
    <xf numFmtId="2" fontId="1" fillId="18" borderId="8" xfId="1" applyNumberFormat="1" applyFill="1" applyBorder="1" applyAlignment="1">
      <alignment vertical="center" wrapText="1"/>
    </xf>
    <xf numFmtId="15" fontId="45" fillId="18" borderId="32" xfId="0" applyNumberFormat="1" applyFont="1" applyFill="1" applyBorder="1" applyAlignment="1">
      <alignment vertical="center" wrapText="1"/>
    </xf>
    <xf numFmtId="15" fontId="45" fillId="18" borderId="33" xfId="0" applyNumberFormat="1" applyFont="1" applyFill="1" applyBorder="1" applyAlignment="1">
      <alignment vertical="center" wrapText="1"/>
    </xf>
    <xf numFmtId="2" fontId="0" fillId="18" borderId="8" xfId="1" applyNumberFormat="1" applyFont="1" applyFill="1" applyBorder="1" applyAlignment="1">
      <alignment vertical="center" wrapText="1"/>
    </xf>
    <xf numFmtId="15" fontId="0" fillId="18" borderId="32" xfId="0" applyNumberFormat="1" applyFill="1" applyBorder="1" applyAlignment="1">
      <alignment vertical="center" wrapText="1"/>
    </xf>
    <xf numFmtId="15" fontId="0" fillId="18" borderId="33" xfId="0" applyNumberFormat="1" applyFill="1" applyBorder="1" applyAlignment="1">
      <alignment vertical="center" wrapText="1"/>
    </xf>
    <xf numFmtId="0" fontId="0" fillId="18" borderId="30" xfId="0" applyFill="1" applyBorder="1" applyAlignment="1">
      <alignment vertical="center" wrapText="1"/>
    </xf>
    <xf numFmtId="0" fontId="0" fillId="0" borderId="0" xfId="0" applyAlignment="1">
      <alignment vertical="center" wrapText="1"/>
    </xf>
    <xf numFmtId="14" fontId="0" fillId="0" borderId="32" xfId="0" applyNumberFormat="1" applyBorder="1" applyAlignment="1">
      <alignment vertical="center" wrapText="1"/>
    </xf>
    <xf numFmtId="0" fontId="9" fillId="0" borderId="0" xfId="0" applyFont="1" applyAlignment="1">
      <alignment horizontal="center" vertical="center" wrapText="1"/>
    </xf>
    <xf numFmtId="0" fontId="0" fillId="0" borderId="0" xfId="0" applyAlignment="1">
      <alignment vertical="center" wrapText="1"/>
    </xf>
    <xf numFmtId="0" fontId="0" fillId="0" borderId="7" xfId="0" applyBorder="1" applyAlignment="1">
      <alignment horizontal="left" vertical="center" wrapText="1"/>
    </xf>
    <xf numFmtId="0" fontId="0" fillId="0" borderId="5" xfId="0" applyBorder="1" applyAlignment="1">
      <alignment vertical="center"/>
    </xf>
    <xf numFmtId="0" fontId="0" fillId="0" borderId="7" xfId="0" applyBorder="1" applyAlignment="1">
      <alignment vertical="center"/>
    </xf>
    <xf numFmtId="0" fontId="9" fillId="0" borderId="1" xfId="0" applyFont="1" applyBorder="1" applyAlignment="1">
      <alignment horizontal="center" vertical="center" wrapText="1"/>
    </xf>
    <xf numFmtId="0" fontId="0" fillId="0" borderId="1" xfId="0" applyBorder="1" applyAlignment="1">
      <alignment vertical="center"/>
    </xf>
    <xf numFmtId="0" fontId="4" fillId="2" borderId="0" xfId="0" applyFont="1" applyFill="1" applyAlignment="1">
      <alignment horizontal="left" vertical="center" wrapText="1" indent="1"/>
    </xf>
    <xf numFmtId="0" fontId="0" fillId="0" borderId="0" xfId="0"/>
    <xf numFmtId="0" fontId="4" fillId="3" borderId="0" xfId="0" applyFont="1" applyFill="1" applyAlignment="1">
      <alignment horizontal="left" vertical="center" wrapText="1" indent="1"/>
    </xf>
    <xf numFmtId="0" fontId="4" fillId="3" borderId="21" xfId="0" applyFont="1" applyFill="1" applyBorder="1" applyAlignment="1">
      <alignment horizontal="left" vertical="center" wrapText="1" indent="1"/>
    </xf>
    <xf numFmtId="0" fontId="4" fillId="2" borderId="9" xfId="0" applyFont="1" applyFill="1" applyBorder="1" applyAlignment="1">
      <alignment horizontal="left" vertical="center" wrapText="1" indent="1"/>
    </xf>
    <xf numFmtId="0" fontId="0" fillId="0" borderId="9" xfId="0" applyBorder="1"/>
    <xf numFmtId="0" fontId="27" fillId="12" borderId="4" xfId="5" applyFont="1" applyFill="1" applyBorder="1" applyAlignment="1">
      <alignment horizontal="center"/>
    </xf>
    <xf numFmtId="0" fontId="16" fillId="0" borderId="0" xfId="0" applyFont="1"/>
    <xf numFmtId="0" fontId="16" fillId="0" borderId="0" xfId="0" applyFont="1" applyAlignment="1">
      <alignment horizontal="center"/>
    </xf>
    <xf numFmtId="0" fontId="27" fillId="12" borderId="31" xfId="5" applyFont="1" applyFill="1" applyBorder="1" applyAlignment="1">
      <alignment horizontal="center"/>
    </xf>
    <xf numFmtId="44" fontId="16" fillId="0" borderId="0" xfId="0" applyNumberFormat="1" applyFont="1"/>
    <xf numFmtId="0" fontId="0" fillId="0" borderId="5" xfId="0" applyBorder="1"/>
    <xf numFmtId="0" fontId="27" fillId="12" borderId="5" xfId="5" applyFont="1" applyFill="1" applyBorder="1" applyAlignment="1">
      <alignment horizontal="center"/>
    </xf>
  </cellXfs>
  <cellStyles count="71">
    <cellStyle name="Comma" xfId="1" builtinId="3"/>
    <cellStyle name="Currency" xfId="3" builtinId="4"/>
    <cellStyle name="Currency 2" xfId="10" xr:uid="{00000000-0005-0000-0000-000002000000}"/>
    <cellStyle name="Currency 2 2" xfId="11" xr:uid="{00000000-0005-0000-0000-000003000000}"/>
    <cellStyle name="Currency 2 2 2" xfId="12" xr:uid="{00000000-0005-0000-0000-000004000000}"/>
    <cellStyle name="Currency 2 3" xfId="13" xr:uid="{00000000-0005-0000-0000-000005000000}"/>
    <cellStyle name="Currency 3" xfId="14" xr:uid="{00000000-0005-0000-0000-000006000000}"/>
    <cellStyle name="Currency 3 2" xfId="15" xr:uid="{00000000-0005-0000-0000-000007000000}"/>
    <cellStyle name="Currency 3 2 2" xfId="16" xr:uid="{00000000-0005-0000-0000-000008000000}"/>
    <cellStyle name="Currency 3 3" xfId="8" xr:uid="{00000000-0005-0000-0000-000009000000}"/>
    <cellStyle name="Currency 3 3 2" xfId="17" xr:uid="{00000000-0005-0000-0000-00000A000000}"/>
    <cellStyle name="Currency 3 3 2 2" xfId="18" xr:uid="{00000000-0005-0000-0000-00000B000000}"/>
    <cellStyle name="Currency 3 3 3" xfId="19" xr:uid="{00000000-0005-0000-0000-00000C000000}"/>
    <cellStyle name="Currency 3 3 3 2" xfId="20" xr:uid="{00000000-0005-0000-0000-00000D000000}"/>
    <cellStyle name="Currency 3 3 3 3" xfId="21" xr:uid="{00000000-0005-0000-0000-00000E000000}"/>
    <cellStyle name="Currency 3 3 4" xfId="22" xr:uid="{00000000-0005-0000-0000-00000F000000}"/>
    <cellStyle name="Currency 3 4" xfId="23" xr:uid="{00000000-0005-0000-0000-000010000000}"/>
    <cellStyle name="Currency 3 4 2" xfId="24" xr:uid="{00000000-0005-0000-0000-000011000000}"/>
    <cellStyle name="Currency 3 4 3" xfId="25" xr:uid="{00000000-0005-0000-0000-000012000000}"/>
    <cellStyle name="Currency 3 5" xfId="26" xr:uid="{00000000-0005-0000-0000-000013000000}"/>
    <cellStyle name="Currency 4" xfId="27" xr:uid="{00000000-0005-0000-0000-000014000000}"/>
    <cellStyle name="Currency 5" xfId="7" xr:uid="{00000000-0005-0000-0000-000015000000}"/>
    <cellStyle name="Currency 5 2" xfId="28" xr:uid="{00000000-0005-0000-0000-000016000000}"/>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GrayCell" xfId="62" xr:uid="{00000000-0005-0000-0000-00001F000000}"/>
    <cellStyle name="Hyperlink" xfId="2" builtinId="8"/>
    <cellStyle name="Hyperlink 2" xfId="6" xr:uid="{00000000-0005-0000-0000-000021000000}"/>
    <cellStyle name="Normal" xfId="0" builtinId="0"/>
    <cellStyle name="Normal 2" xfId="29" xr:uid="{00000000-0005-0000-0000-000023000000}"/>
    <cellStyle name="Normal 2 2" xfId="30" xr:uid="{00000000-0005-0000-0000-000024000000}"/>
    <cellStyle name="Normal 2 2 2" xfId="31" xr:uid="{00000000-0005-0000-0000-000025000000}"/>
    <cellStyle name="Normal 2 3" xfId="32" xr:uid="{00000000-0005-0000-0000-000026000000}"/>
    <cellStyle name="Normal 2 3 2" xfId="33" xr:uid="{00000000-0005-0000-0000-000027000000}"/>
    <cellStyle name="Normal 2 3 2 2" xfId="34" xr:uid="{00000000-0005-0000-0000-000028000000}"/>
    <cellStyle name="Normal 2 3 3" xfId="35" xr:uid="{00000000-0005-0000-0000-000029000000}"/>
    <cellStyle name="Normal 2 3 3 2" xfId="36" xr:uid="{00000000-0005-0000-0000-00002A000000}"/>
    <cellStyle name="Normal 2 3 3 3" xfId="37" xr:uid="{00000000-0005-0000-0000-00002B000000}"/>
    <cellStyle name="Normal 2 3 4" xfId="38" xr:uid="{00000000-0005-0000-0000-00002C000000}"/>
    <cellStyle name="Normal 2 4" xfId="39" xr:uid="{00000000-0005-0000-0000-00002D000000}"/>
    <cellStyle name="Normal 2 4 2" xfId="40" xr:uid="{00000000-0005-0000-0000-00002E000000}"/>
    <cellStyle name="Normal 2 4 3" xfId="41" xr:uid="{00000000-0005-0000-0000-00002F000000}"/>
    <cellStyle name="Normal 2 5" xfId="42" xr:uid="{00000000-0005-0000-0000-000030000000}"/>
    <cellStyle name="Normal 3" xfId="43" xr:uid="{00000000-0005-0000-0000-000031000000}"/>
    <cellStyle name="Normal 4" xfId="44" xr:uid="{00000000-0005-0000-0000-000032000000}"/>
    <cellStyle name="Normal 5" xfId="5" xr:uid="{00000000-0005-0000-0000-000033000000}"/>
    <cellStyle name="Normal 5 2" xfId="9" xr:uid="{00000000-0005-0000-0000-000034000000}"/>
    <cellStyle name="Percent" xfId="4" builtinId="5"/>
    <cellStyle name="Percent 2" xfId="45" xr:uid="{00000000-0005-0000-0000-000036000000}"/>
    <cellStyle name="Percent 2 2" xfId="46" xr:uid="{00000000-0005-0000-0000-000037000000}"/>
    <cellStyle name="Percent 2 2 2" xfId="47" xr:uid="{00000000-0005-0000-0000-000038000000}"/>
    <cellStyle name="Percent 2 3" xfId="48" xr:uid="{00000000-0005-0000-0000-000039000000}"/>
    <cellStyle name="Percent 2 3 2" xfId="49" xr:uid="{00000000-0005-0000-0000-00003A000000}"/>
    <cellStyle name="Percent 2 3 2 2" xfId="50" xr:uid="{00000000-0005-0000-0000-00003B000000}"/>
    <cellStyle name="Percent 2 3 3" xfId="51" xr:uid="{00000000-0005-0000-0000-00003C000000}"/>
    <cellStyle name="Percent 2 3 3 2" xfId="52" xr:uid="{00000000-0005-0000-0000-00003D000000}"/>
    <cellStyle name="Percent 2 3 3 3" xfId="53" xr:uid="{00000000-0005-0000-0000-00003E000000}"/>
    <cellStyle name="Percent 2 3 4" xfId="54" xr:uid="{00000000-0005-0000-0000-00003F000000}"/>
    <cellStyle name="Percent 2 4" xfId="55" xr:uid="{00000000-0005-0000-0000-000040000000}"/>
    <cellStyle name="Percent 2 4 2" xfId="56" xr:uid="{00000000-0005-0000-0000-000041000000}"/>
    <cellStyle name="Percent 2 4 3" xfId="57" xr:uid="{00000000-0005-0000-0000-000042000000}"/>
    <cellStyle name="Percent 2 5" xfId="58" xr:uid="{00000000-0005-0000-0000-000043000000}"/>
    <cellStyle name="Percent 3" xfId="59" xr:uid="{00000000-0005-0000-0000-000044000000}"/>
    <cellStyle name="Percent 4" xfId="60" xr:uid="{00000000-0005-0000-0000-000045000000}"/>
    <cellStyle name="Percent 4 2" xfId="61" xr:uid="{00000000-0005-0000-0000-000046000000}"/>
  </cellStyles>
  <dxfs count="66">
    <dxf>
      <alignment horizontal="center" vertical="center" textRotation="0" wrapText="1" indent="0" justifyLastLine="0" shrinkToFit="0" readingOrder="0"/>
    </dxf>
    <dxf>
      <numFmt numFmtId="165" formatCode="&quot;$&quot;#,##0.00"/>
      <alignment horizontal="center" vertical="center" textRotation="0" wrapText="1" indent="0" justifyLastLine="0" shrinkToFit="0" readingOrder="0"/>
    </dxf>
    <dxf>
      <numFmt numFmtId="165" formatCode="&quot;$&quot;#,##0.00"/>
      <alignment horizontal="center" vertical="center" textRotation="0" wrapText="1" indent="0" justifyLastLine="0" shrinkToFit="0" readingOrder="0"/>
    </dxf>
    <dxf>
      <numFmt numFmtId="165" formatCode="&quot;$&quot;#,##0.00"/>
      <alignment horizontal="center" vertical="center" textRotation="0" wrapText="1" indent="0" justifyLastLine="0" shrinkToFit="0" readingOrder="0"/>
    </dxf>
    <dxf>
      <numFmt numFmtId="165" formatCode="&quot;$&quot;#,##0.00"/>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164" formatCode="_-* #,##0.00_-;\-* #,##0.00_-;_-* &quot;-&quot;??_-;_-@_-"/>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font>
        <color rgb="FF9C0006"/>
      </font>
      <fill>
        <patternFill>
          <bgColor rgb="FFFFC7CE"/>
        </patternFill>
      </fill>
    </dxf>
    <dxf>
      <font>
        <color rgb="FF006100"/>
      </font>
      <fill>
        <patternFill>
          <bgColor rgb="FFC6EFCE"/>
        </patternFill>
      </fill>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alignment horizontal="general" vertical="bottom" wrapText="1"/>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strike val="0"/>
        <condense val="0"/>
        <extend val="0"/>
        <outline val="0"/>
        <shadow val="0"/>
        <vertAlign val="baseline"/>
        <sz val="11"/>
        <color theme="1"/>
        <name val="Calibri"/>
        <scheme val="minor"/>
      </font>
    </dxf>
    <dxf>
      <font>
        <b/>
        <strike val="0"/>
        <condense val="0"/>
        <extend val="0"/>
        <outline val="0"/>
        <shadow val="0"/>
        <vertAlign val="baseline"/>
        <sz val="11"/>
        <color theme="0"/>
        <name val="Calibri"/>
        <scheme val="minor"/>
      </font>
      <fill>
        <patternFill patternType="solid">
          <fgColor theme="4"/>
          <bgColor theme="4"/>
        </patternFill>
      </fill>
    </dxf>
    <dxf>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numFmt numFmtId="165" formatCode="&quot;$&quot;#,##0.00"/>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numFmt numFmtId="165" formatCode="&quot;$&quot;#,##0.00"/>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numFmt numFmtId="165" formatCode="&quot;$&quot;#,##0.00"/>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numFmt numFmtId="165" formatCode="&quot;$&quot;#,##0.00"/>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fill>
        <patternFill>
          <fgColor indexed="64"/>
          <bgColor auto="1"/>
        </patternFill>
      </fill>
      <alignment horizontal="general" vertical="center" textRotation="0" wrapText="1" indent="0" justifyLastLine="0" shrinkToFit="0" readingOrder="0"/>
      <border diagonalUp="0" diagonalDown="0">
        <left/>
        <right/>
        <top style="thin">
          <color auto="1"/>
        </top>
        <bottom style="thin">
          <color auto="1"/>
        </bottom>
        <vertical/>
        <horizontal style="thin">
          <color auto="1"/>
        </horizontal>
      </border>
    </dxf>
    <dxf>
      <fill>
        <patternFill>
          <fgColor indexed="64"/>
          <bgColor auto="1"/>
        </patternFill>
      </fill>
      <alignment horizontal="general" vertical="center" textRotation="0" wrapText="1" indent="0" justifyLastLine="0" shrinkToFit="0" readingOrder="0"/>
      <border diagonalUp="0" diagonalDown="0">
        <left/>
        <right/>
        <top style="thin">
          <color auto="1"/>
        </top>
        <bottom style="thin">
          <color auto="1"/>
        </bottom>
        <vertical/>
        <horizontal style="thin">
          <color auto="1"/>
        </horizontal>
      </border>
    </dxf>
    <dxf>
      <fill>
        <patternFill>
          <fgColor indexed="64"/>
          <bgColor auto="1"/>
        </patternFill>
      </fill>
      <alignment horizontal="general" vertical="center" textRotation="0" wrapText="1" indent="0" justifyLastLine="0" shrinkToFit="0" readingOrder="0"/>
      <border diagonalUp="0" diagonalDown="0">
        <left/>
        <right/>
        <top style="thin">
          <color auto="1"/>
        </top>
        <bottom style="thin">
          <color auto="1"/>
        </bottom>
        <vertical/>
        <horizontal style="thin">
          <color auto="1"/>
        </horizontal>
      </border>
    </dxf>
    <dxf>
      <fill>
        <patternFill>
          <fgColor indexed="64"/>
          <bgColor auto="1"/>
        </patternFill>
      </fill>
      <alignment horizontal="general" vertical="center" textRotation="0" wrapText="1" indent="0" justifyLastLine="0" shrinkToFit="0" readingOrder="0"/>
      <border diagonalUp="0" diagonalDown="0" outline="0">
        <left/>
        <right/>
        <top style="thin">
          <color auto="1"/>
        </top>
        <bottom style="thin">
          <color auto="1"/>
        </bottom>
      </border>
    </dxf>
    <dxf>
      <fill>
        <patternFill>
          <fgColor indexed="64"/>
          <bgColor auto="1"/>
        </patternFill>
      </fill>
      <alignment horizontal="center" vertical="center" textRotation="0" wrapText="1" indent="0" justifyLastLine="0" shrinkToFit="0"/>
      <border diagonalUp="0" diagonalDown="0" outline="0">
        <left/>
        <right/>
        <top style="thin">
          <color auto="1"/>
        </top>
        <bottom style="thin">
          <color auto="1"/>
        </bottom>
      </border>
    </dxf>
    <dxf>
      <font>
        <strike val="0"/>
        <outline val="0"/>
        <shadow val="0"/>
        <u val="none"/>
        <vertAlign val="baseline"/>
        <sz val="16"/>
        <color theme="1"/>
        <name val="Calibri"/>
        <scheme val="minor"/>
      </font>
      <numFmt numFmtId="167" formatCode="&quot;$&quot;#,##0"/>
      <fill>
        <patternFill>
          <fgColor indexed="64"/>
          <bgColor auto="1"/>
        </patternFill>
      </fill>
      <alignment horizontal="center" vertical="center" textRotation="0" wrapText="1" indent="0" justifyLastLine="0" shrinkToFit="0"/>
      <border diagonalUp="0" diagonalDown="0" outline="0">
        <left/>
        <right/>
        <top style="thin">
          <color auto="1"/>
        </top>
        <bottom style="thin">
          <color auto="1"/>
        </bottom>
      </border>
    </dxf>
    <dxf>
      <fill>
        <patternFill>
          <fgColor indexed="64"/>
          <bgColor auto="1"/>
        </patternFill>
      </fill>
      <alignment vertical="center" textRotation="0" wrapText="1" justifyLastLine="0" shrinkToFit="0"/>
      <border diagonalUp="0" diagonalDown="0" outline="0">
        <left/>
        <right/>
        <top style="thin">
          <color auto="1"/>
        </top>
        <bottom style="thin">
          <color auto="1"/>
        </bottom>
      </border>
    </dxf>
    <dxf>
      <font>
        <color rgb="FF333333"/>
      </font>
      <numFmt numFmtId="0" formatCode="General"/>
      <fill>
        <patternFill>
          <fgColor indexed="64"/>
          <bgColor auto="1"/>
        </patternFill>
      </fill>
      <alignment horizontal="general" vertical="center" textRotation="0" wrapText="1" justifyLastLine="0" shrinkToFit="0"/>
      <border diagonalUp="0" diagonalDown="0">
        <left/>
        <right/>
        <top style="thin">
          <color auto="1"/>
        </top>
        <bottom style="thin">
          <color auto="1"/>
        </bottom>
        <vertical/>
        <horizontal style="thin">
          <color auto="1"/>
        </horizontal>
      </border>
    </dxf>
    <dxf>
      <font>
        <color rgb="FF333333"/>
      </font>
      <fill>
        <patternFill>
          <fgColor indexed="64"/>
          <bgColor auto="1"/>
        </patternFill>
      </fill>
      <alignment horizontal="general" vertical="center" textRotation="0" wrapText="1" justifyLastLine="0" shrinkToFit="0"/>
      <border diagonalUp="0" diagonalDown="0">
        <left/>
        <right/>
        <top style="thin">
          <color auto="1"/>
        </top>
        <bottom style="thin">
          <color auto="1"/>
        </bottom>
        <vertical/>
        <horizontal style="thin">
          <color auto="1"/>
        </horizontal>
      </border>
    </dxf>
    <dxf>
      <font>
        <strike val="0"/>
        <outline val="0"/>
        <shadow val="0"/>
        <vertAlign val="baseline"/>
        <sz val="11"/>
        <color theme="1"/>
        <name val="Calibri"/>
        <scheme val="minor"/>
      </font>
      <numFmt numFmtId="2" formatCode="0.00"/>
      <fill>
        <patternFill>
          <fgColor indexed="64"/>
          <bgColor auto="1"/>
        </patternFill>
      </fill>
      <alignment horizontal="general" vertical="center" textRotation="0" wrapText="1" justifyLastLine="0" shrinkToFit="0"/>
      <border diagonalUp="0" diagonalDown="0">
        <left/>
        <right/>
        <top style="thin">
          <color auto="1"/>
        </top>
        <bottom style="thin">
          <color auto="1"/>
        </bottom>
        <vertical/>
        <horizontal style="thin">
          <color auto="1"/>
        </horizontal>
      </border>
    </dxf>
    <dxf>
      <fill>
        <patternFill>
          <fgColor indexed="64"/>
          <bgColor auto="1"/>
        </patternFill>
      </fill>
      <alignment vertical="center" textRotation="0" wrapText="1" justifyLastLine="0" shrinkToFit="0"/>
      <border diagonalUp="0" diagonalDown="0">
        <left/>
        <right/>
        <top style="thin">
          <color auto="1"/>
        </top>
        <bottom style="thin">
          <color auto="1"/>
        </bottom>
        <vertical/>
        <horizontal style="thin">
          <color auto="1"/>
        </horizontal>
      </border>
    </dxf>
    <dxf>
      <numFmt numFmtId="1" formatCode="0"/>
      <fill>
        <patternFill>
          <fgColor indexed="64"/>
          <bgColor auto="1"/>
        </patternFill>
      </fill>
      <alignment vertical="center" textRotation="0" wrapText="1" justifyLastLine="0" shrinkToFit="0"/>
      <border diagonalUp="0" diagonalDown="0">
        <left/>
        <right/>
        <top style="thin">
          <color auto="1"/>
        </top>
        <bottom style="thin">
          <color auto="1"/>
        </bottom>
        <vertical/>
        <horizontal style="thin">
          <color auto="1"/>
        </horizontal>
      </border>
    </dxf>
    <dxf>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fill>
        <patternFill>
          <fgColor indexed="64"/>
          <bgColor auto="1"/>
        </patternFill>
      </fill>
      <alignment vertical="center" textRotation="0" wrapText="1" justifyLastLine="0" shrinkToFit="0"/>
    </dxf>
    <dxf>
      <border outline="0">
        <left style="thin">
          <color indexed="64"/>
        </left>
        <right style="thin">
          <color indexed="64"/>
        </right>
        <top style="thin">
          <color indexed="64"/>
        </top>
        <bottom style="thin">
          <color indexed="64"/>
        </bottom>
      </border>
    </dxf>
    <dxf>
      <fill>
        <patternFill>
          <fgColor indexed="64"/>
          <bgColor auto="1"/>
        </patternFill>
      </fill>
      <alignment horizontal="center" vertical="center" textRotation="0" wrapText="1" justifyLastLine="0" shrinkToFit="0"/>
    </dxf>
    <dxf>
      <font>
        <b/>
        <strike val="0"/>
        <condense val="0"/>
        <extend val="0"/>
        <outline val="0"/>
        <shadow val="0"/>
        <u/>
        <vertAlign val="baseline"/>
        <sz val="16"/>
        <color theme="0"/>
        <name val="Calibri"/>
        <scheme val="minor"/>
      </font>
      <fill>
        <patternFill>
          <fgColor indexed="64"/>
          <bgColor auto="1"/>
        </patternFill>
      </fill>
      <alignment horizontal="center" vertical="center" textRotation="0" wrapText="1" justifyLastLine="0" shrinkToFit="0"/>
    </dxf>
    <dxf>
      <fill>
        <patternFill patternType="solid">
          <fgColor indexed="64"/>
          <bgColor rgb="FFFF0000"/>
        </patternFill>
      </fill>
    </dxf>
    <dxf>
      <fill>
        <patternFill>
          <bgColor theme="8" tint="0.59996337778862885"/>
        </patternFill>
      </fill>
    </dxf>
    <dxf>
      <fill>
        <patternFill>
          <bgColor rgb="FFFFFF00"/>
        </patternFill>
      </fill>
    </dxf>
    <dxf>
      <font>
        <color rgb="FFFF0000"/>
      </font>
      <fill>
        <patternFill>
          <bgColor auto="1"/>
        </patternFill>
      </fill>
    </dxf>
    <dxf>
      <font>
        <color rgb="FF9C0006"/>
      </font>
    </dxf>
    <dxf>
      <fill>
        <patternFill>
          <bgColor theme="0" tint="-4.9989318521683403E-2"/>
        </patternFill>
      </fill>
    </dxf>
    <dxf>
      <fill>
        <patternFill>
          <bgColor theme="0"/>
        </patternFill>
      </fill>
    </dxf>
    <dxf>
      <border>
        <left style="medium">
          <color auto="1"/>
        </left>
        <right style="medium">
          <color auto="1"/>
        </right>
        <top style="medium">
          <color auto="1"/>
        </top>
        <bottom style="medium">
          <color auto="1"/>
        </bottom>
        <vertical style="thin">
          <color auto="1"/>
        </vertical>
        <horizontal style="thin">
          <color theme="0" tint="-0.24994659260841701"/>
        </horizontal>
      </border>
    </dxf>
  </dxfs>
  <tableStyles count="1" defaultTableStyle="TableStyleMedium2" defaultPivotStyle="PivotStyleLight16">
    <tableStyle name="Table Style 1" pivot="0" count="3" xr9:uid="{00000000-0011-0000-FFFF-FFFF00000000}">
      <tableStyleElement type="wholeTable" dxfId="65"/>
      <tableStyleElement type="firstRowStripe" dxfId="64"/>
      <tableStyleElement type="secondRowStripe" dxfId="6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barChart>
        <c:barDir val="bar"/>
        <c:grouping val="clustered"/>
        <c:varyColors val="0"/>
        <c:ser>
          <c:idx val="0"/>
          <c:order val="0"/>
          <c:tx>
            <c:strRef>
              <c:f>'Summary Tables'!$B$3</c:f>
              <c:strCache>
                <c:ptCount val="1"/>
                <c:pt idx="0">
                  <c:v>Sum of Acres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Tables'!$A$4:$A$20</c:f>
              <c:strCache>
                <c:ptCount val="17"/>
                <c:pt idx="0">
                  <c:v>Niobrara County, WY</c:v>
                </c:pt>
                <c:pt idx="1">
                  <c:v>Weston County, WY</c:v>
                </c:pt>
                <c:pt idx="2">
                  <c:v>Crook County, WY</c:v>
                </c:pt>
                <c:pt idx="3">
                  <c:v>Converse County, WY</c:v>
                </c:pt>
                <c:pt idx="4">
                  <c:v>Campbell County, WY</c:v>
                </c:pt>
                <c:pt idx="5">
                  <c:v>Sheridan County, WY</c:v>
                </c:pt>
                <c:pt idx="6">
                  <c:v>Natrona County, WY</c:v>
                </c:pt>
                <c:pt idx="7">
                  <c:v>Carbon County, WY</c:v>
                </c:pt>
                <c:pt idx="8">
                  <c:v>Sweetwater County, WY</c:v>
                </c:pt>
                <c:pt idx="9">
                  <c:v>Washakie County, WY</c:v>
                </c:pt>
                <c:pt idx="10">
                  <c:v>Big Horn County, WY</c:v>
                </c:pt>
                <c:pt idx="11">
                  <c:v>Park and Big Horn, WY</c:v>
                </c:pt>
                <c:pt idx="12">
                  <c:v>Park County, WY</c:v>
                </c:pt>
                <c:pt idx="13">
                  <c:v>Sublette County, WY</c:v>
                </c:pt>
                <c:pt idx="14">
                  <c:v>Uinta County, WY</c:v>
                </c:pt>
                <c:pt idx="15">
                  <c:v>Lincoln County, WY</c:v>
                </c:pt>
                <c:pt idx="16">
                  <c:v>Grand Total</c:v>
                </c:pt>
              </c:strCache>
            </c:strRef>
          </c:cat>
          <c:val>
            <c:numRef>
              <c:f>'Summary Tables'!$B$4:$B$20</c:f>
              <c:numCache>
                <c:formatCode>#,##0</c:formatCode>
                <c:ptCount val="17"/>
                <c:pt idx="0">
                  <c:v>9368.8300000000017</c:v>
                </c:pt>
                <c:pt idx="1">
                  <c:v>718.95</c:v>
                </c:pt>
                <c:pt idx="2">
                  <c:v>76.95</c:v>
                </c:pt>
                <c:pt idx="3">
                  <c:v>11055</c:v>
                </c:pt>
                <c:pt idx="4">
                  <c:v>4707.22</c:v>
                </c:pt>
                <c:pt idx="5">
                  <c:v>1948.65</c:v>
                </c:pt>
                <c:pt idx="6">
                  <c:v>2383.9</c:v>
                </c:pt>
                <c:pt idx="7">
                  <c:v>3514.5699999999997</c:v>
                </c:pt>
                <c:pt idx="8">
                  <c:v>14599.64</c:v>
                </c:pt>
                <c:pt idx="9">
                  <c:v>72579.589999999982</c:v>
                </c:pt>
                <c:pt idx="10">
                  <c:v>28579.719999999998</c:v>
                </c:pt>
                <c:pt idx="11">
                  <c:v>2119.92</c:v>
                </c:pt>
                <c:pt idx="12">
                  <c:v>3081.59</c:v>
                </c:pt>
                <c:pt idx="13">
                  <c:v>2864.9300000000003</c:v>
                </c:pt>
                <c:pt idx="14">
                  <c:v>1000</c:v>
                </c:pt>
                <c:pt idx="15">
                  <c:v>11151.29</c:v>
                </c:pt>
                <c:pt idx="16">
                  <c:v>169750.74999999997</c:v>
                </c:pt>
              </c:numCache>
            </c:numRef>
          </c:val>
          <c:extLst>
            <c:ext xmlns:c16="http://schemas.microsoft.com/office/drawing/2014/chart" uri="{C3380CC4-5D6E-409C-BE32-E72D297353CC}">
              <c16:uniqueId val="{00000000-EA5C-1846-AFCE-2B905AB1BBEE}"/>
            </c:ext>
          </c:extLst>
        </c:ser>
        <c:ser>
          <c:idx val="1"/>
          <c:order val="1"/>
          <c:tx>
            <c:strRef>
              <c:f>'Summary Tables'!$C$3</c:f>
              <c:strCache>
                <c:ptCount val="1"/>
                <c:pt idx="0">
                  <c:v>Count of Serial numbers</c:v>
                </c:pt>
              </c:strCache>
            </c:strRef>
          </c:tx>
          <c:invertIfNegative val="0"/>
          <c:cat>
            <c:strRef>
              <c:f>'Summary Tables'!$A$4:$A$20</c:f>
              <c:strCache>
                <c:ptCount val="17"/>
                <c:pt idx="0">
                  <c:v>Niobrara County, WY</c:v>
                </c:pt>
                <c:pt idx="1">
                  <c:v>Weston County, WY</c:v>
                </c:pt>
                <c:pt idx="2">
                  <c:v>Crook County, WY</c:v>
                </c:pt>
                <c:pt idx="3">
                  <c:v>Converse County, WY</c:v>
                </c:pt>
                <c:pt idx="4">
                  <c:v>Campbell County, WY</c:v>
                </c:pt>
                <c:pt idx="5">
                  <c:v>Sheridan County, WY</c:v>
                </c:pt>
                <c:pt idx="6">
                  <c:v>Natrona County, WY</c:v>
                </c:pt>
                <c:pt idx="7">
                  <c:v>Carbon County, WY</c:v>
                </c:pt>
                <c:pt idx="8">
                  <c:v>Sweetwater County, WY</c:v>
                </c:pt>
                <c:pt idx="9">
                  <c:v>Washakie County, WY</c:v>
                </c:pt>
                <c:pt idx="10">
                  <c:v>Big Horn County, WY</c:v>
                </c:pt>
                <c:pt idx="11">
                  <c:v>Park and Big Horn, WY</c:v>
                </c:pt>
                <c:pt idx="12">
                  <c:v>Park County, WY</c:v>
                </c:pt>
                <c:pt idx="13">
                  <c:v>Sublette County, WY</c:v>
                </c:pt>
                <c:pt idx="14">
                  <c:v>Uinta County, WY</c:v>
                </c:pt>
                <c:pt idx="15">
                  <c:v>Lincoln County, WY</c:v>
                </c:pt>
                <c:pt idx="16">
                  <c:v>Grand Total</c:v>
                </c:pt>
              </c:strCache>
            </c:strRef>
          </c:cat>
          <c:val>
            <c:numRef>
              <c:f>'Summary Tables'!$C$4:$C$20</c:f>
              <c:numCache>
                <c:formatCode>General</c:formatCode>
                <c:ptCount val="17"/>
                <c:pt idx="0">
                  <c:v>8</c:v>
                </c:pt>
                <c:pt idx="1">
                  <c:v>3</c:v>
                </c:pt>
                <c:pt idx="2">
                  <c:v>1</c:v>
                </c:pt>
                <c:pt idx="3">
                  <c:v>30</c:v>
                </c:pt>
                <c:pt idx="4">
                  <c:v>8</c:v>
                </c:pt>
                <c:pt idx="5">
                  <c:v>1</c:v>
                </c:pt>
                <c:pt idx="6">
                  <c:v>2</c:v>
                </c:pt>
                <c:pt idx="7">
                  <c:v>3</c:v>
                </c:pt>
                <c:pt idx="8">
                  <c:v>9</c:v>
                </c:pt>
                <c:pt idx="9">
                  <c:v>39</c:v>
                </c:pt>
                <c:pt idx="10">
                  <c:v>14</c:v>
                </c:pt>
                <c:pt idx="11">
                  <c:v>1</c:v>
                </c:pt>
                <c:pt idx="12">
                  <c:v>6</c:v>
                </c:pt>
                <c:pt idx="13">
                  <c:v>2</c:v>
                </c:pt>
                <c:pt idx="14">
                  <c:v>1</c:v>
                </c:pt>
                <c:pt idx="15">
                  <c:v>7</c:v>
                </c:pt>
                <c:pt idx="16">
                  <c:v>135</c:v>
                </c:pt>
              </c:numCache>
            </c:numRef>
          </c:val>
          <c:extLst>
            <c:ext xmlns:c16="http://schemas.microsoft.com/office/drawing/2014/chart" uri="{C3380CC4-5D6E-409C-BE32-E72D297353CC}">
              <c16:uniqueId val="{00000001-EA5C-1846-AFCE-2B905AB1BBEE}"/>
            </c:ext>
          </c:extLst>
        </c:ser>
        <c:dLbls>
          <c:showLegendKey val="0"/>
          <c:showVal val="0"/>
          <c:showCatName val="0"/>
          <c:showSerName val="0"/>
          <c:showPercent val="0"/>
          <c:showBubbleSize val="0"/>
        </c:dLbls>
        <c:gapWidth val="150"/>
        <c:axId val="-2142362536"/>
        <c:axId val="-2119864120"/>
      </c:barChart>
      <c:valAx>
        <c:axId val="-2119864120"/>
        <c:scaling>
          <c:orientation val="minMax"/>
        </c:scaling>
        <c:delete val="0"/>
        <c:axPos val="b"/>
        <c:majorGridlines/>
        <c:numFmt formatCode="#,##0" sourceLinked="1"/>
        <c:majorTickMark val="out"/>
        <c:minorTickMark val="none"/>
        <c:tickLblPos val="nextTo"/>
        <c:crossAx val="-2142362536"/>
        <c:crosses val="autoZero"/>
        <c:crossBetween val="between"/>
      </c:valAx>
      <c:catAx>
        <c:axId val="-2142362536"/>
        <c:scaling>
          <c:orientation val="minMax"/>
        </c:scaling>
        <c:delete val="0"/>
        <c:axPos val="l"/>
        <c:numFmt formatCode="General" sourceLinked="0"/>
        <c:majorTickMark val="out"/>
        <c:minorTickMark val="none"/>
        <c:tickLblPos val="nextTo"/>
        <c:crossAx val="-2119864120"/>
        <c:crosses val="autoZero"/>
        <c:auto val="1"/>
        <c:lblAlgn val="ctr"/>
        <c:lblOffset val="100"/>
        <c:noMultiLvlLbl val="0"/>
      </c:cat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139700</xdr:colOff>
          <xdr:row>0</xdr:row>
          <xdr:rowOff>101600</xdr:rowOff>
        </xdr:from>
        <xdr:to>
          <xdr:col>2</xdr:col>
          <xdr:colOff>0</xdr:colOff>
          <xdr:row>2</xdr:row>
          <xdr:rowOff>139700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Show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2</xdr:row>
          <xdr:rowOff>292100</xdr:rowOff>
        </xdr:from>
        <xdr:to>
          <xdr:col>2</xdr:col>
          <xdr:colOff>0</xdr:colOff>
          <xdr:row>4</xdr:row>
          <xdr:rowOff>88900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Show all Columns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114300</xdr:colOff>
      <xdr:row>1</xdr:row>
      <xdr:rowOff>50800</xdr:rowOff>
    </xdr:from>
    <xdr:to>
      <xdr:col>23</xdr:col>
      <xdr:colOff>12700</xdr:colOff>
      <xdr:row>38</xdr:row>
      <xdr:rowOff>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un_Bhakta/Library/Application%20Support/Microsoft/Office/Office%202011%20AutoRecovery/R&amp;R%20&amp;%20Magnum%20Master%20-%20BLM%20Leas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
      <sheetName val="Summary Table"/>
      <sheetName val="GIS"/>
      <sheetName val="AMENDMENTS"/>
      <sheetName val="Filter List"/>
    </sheetNames>
    <sheetDataSet>
      <sheetData sheetId="0"/>
      <sheetData sheetId="1"/>
      <sheetData sheetId="2">
        <row r="1">
          <cell r="C1" t="str">
            <v>LEASE_NO</v>
          </cell>
        </row>
        <row r="2">
          <cell r="C2" t="str">
            <v>ALES57303</v>
          </cell>
        </row>
        <row r="3">
          <cell r="C3" t="str">
            <v>ALES56637</v>
          </cell>
        </row>
        <row r="4">
          <cell r="C4" t="str">
            <v>ALES56636</v>
          </cell>
        </row>
        <row r="5">
          <cell r="C5" t="str">
            <v>ALES56204</v>
          </cell>
        </row>
        <row r="6">
          <cell r="C6" t="str">
            <v>ALES56203</v>
          </cell>
        </row>
        <row r="7">
          <cell r="C7" t="str">
            <v>ALES56202</v>
          </cell>
        </row>
        <row r="8">
          <cell r="C8" t="str">
            <v>ALES56201</v>
          </cell>
        </row>
        <row r="9">
          <cell r="C9" t="str">
            <v>ALES56529</v>
          </cell>
        </row>
        <row r="10">
          <cell r="C10" t="str">
            <v>ALES56200</v>
          </cell>
        </row>
        <row r="11">
          <cell r="C11" t="str">
            <v>ALES57295</v>
          </cell>
        </row>
        <row r="12">
          <cell r="C12" t="str">
            <v>ALES57294</v>
          </cell>
        </row>
        <row r="13">
          <cell r="C13" t="str">
            <v>ALES57293</v>
          </cell>
        </row>
        <row r="14">
          <cell r="C14" t="str">
            <v>ALES57292</v>
          </cell>
        </row>
        <row r="15">
          <cell r="C15" t="str">
            <v>ALES57286</v>
          </cell>
        </row>
        <row r="16">
          <cell r="C16" t="str">
            <v>ALES57299</v>
          </cell>
        </row>
        <row r="17">
          <cell r="C17" t="str">
            <v>ALES57300</v>
          </cell>
        </row>
        <row r="18">
          <cell r="C18" t="str">
            <v>ALES57298</v>
          </cell>
        </row>
        <row r="19">
          <cell r="C19" t="str">
            <v>ALES57302</v>
          </cell>
        </row>
        <row r="20">
          <cell r="C20" t="str">
            <v>ALES57297</v>
          </cell>
        </row>
        <row r="21">
          <cell r="C21" t="str">
            <v>ALES57296</v>
          </cell>
        </row>
        <row r="22">
          <cell r="C22" t="str">
            <v>ALES56628</v>
          </cell>
        </row>
        <row r="23">
          <cell r="C23" t="str">
            <v>ALES56528</v>
          </cell>
        </row>
        <row r="24">
          <cell r="C24" t="str">
            <v>ALES57887</v>
          </cell>
        </row>
        <row r="25">
          <cell r="C25" t="str">
            <v>ALES57301</v>
          </cell>
        </row>
        <row r="26">
          <cell r="C26" t="str">
            <v>ALES57287</v>
          </cell>
        </row>
        <row r="27">
          <cell r="C27" t="str">
            <v>ALES57285</v>
          </cell>
        </row>
        <row r="28">
          <cell r="C28" t="str">
            <v>ALES55543</v>
          </cell>
        </row>
        <row r="29">
          <cell r="C29" t="str">
            <v>ALES55311</v>
          </cell>
        </row>
        <row r="30">
          <cell r="C30" t="str">
            <v>ALES55546</v>
          </cell>
        </row>
        <row r="31">
          <cell r="C31" t="str">
            <v>ALES57928</v>
          </cell>
        </row>
        <row r="32">
          <cell r="C32" t="str">
            <v>ALES56207</v>
          </cell>
        </row>
        <row r="33">
          <cell r="C33" t="str">
            <v>ALES56206</v>
          </cell>
        </row>
        <row r="34">
          <cell r="C34" t="str">
            <v>ALES55551</v>
          </cell>
        </row>
        <row r="35">
          <cell r="C35" t="str">
            <v>ALES57284</v>
          </cell>
        </row>
        <row r="36">
          <cell r="C36" t="str">
            <v>ALES56210</v>
          </cell>
        </row>
        <row r="37">
          <cell r="C37" t="str">
            <v>ARES056806</v>
          </cell>
        </row>
        <row r="38">
          <cell r="C38" t="str">
            <v>ARES056805</v>
          </cell>
        </row>
        <row r="39">
          <cell r="C39" t="str">
            <v>ARES56660</v>
          </cell>
        </row>
        <row r="40">
          <cell r="C40" t="str">
            <v>ARES56659</v>
          </cell>
        </row>
        <row r="41">
          <cell r="C41" t="str">
            <v>ARES56658</v>
          </cell>
        </row>
        <row r="42">
          <cell r="C42" t="str">
            <v>ARES56657</v>
          </cell>
        </row>
        <row r="43">
          <cell r="C43" t="str">
            <v>ARES56654</v>
          </cell>
        </row>
        <row r="44">
          <cell r="C44" t="str">
            <v>ARES55679</v>
          </cell>
        </row>
        <row r="45">
          <cell r="C45" t="str">
            <v>ARES56652</v>
          </cell>
        </row>
        <row r="46">
          <cell r="C46" t="str">
            <v>ARES56645</v>
          </cell>
        </row>
        <row r="47">
          <cell r="C47" t="str">
            <v>ARES56644</v>
          </cell>
        </row>
        <row r="48">
          <cell r="C48" t="str">
            <v>ARES56642</v>
          </cell>
        </row>
        <row r="49">
          <cell r="C49" t="str">
            <v>ARES56641</v>
          </cell>
        </row>
        <row r="50">
          <cell r="C50" t="str">
            <v>ARES56640</v>
          </cell>
        </row>
        <row r="51">
          <cell r="C51" t="str">
            <v>ARES56639</v>
          </cell>
        </row>
        <row r="52">
          <cell r="C52" t="str">
            <v>ARES55688</v>
          </cell>
        </row>
        <row r="53">
          <cell r="C53" t="str">
            <v>ARES55687</v>
          </cell>
        </row>
        <row r="54">
          <cell r="C54" t="str">
            <v>ARES55686</v>
          </cell>
        </row>
        <row r="55">
          <cell r="C55" t="str">
            <v>ARES55685</v>
          </cell>
        </row>
        <row r="56">
          <cell r="C56" t="str">
            <v>ARES55684</v>
          </cell>
        </row>
        <row r="57">
          <cell r="C57" t="str">
            <v>ARES55683</v>
          </cell>
        </row>
        <row r="58">
          <cell r="C58" t="str">
            <v>ARES55682</v>
          </cell>
        </row>
        <row r="59">
          <cell r="C59" t="str">
            <v>ARES56647</v>
          </cell>
        </row>
        <row r="60">
          <cell r="C60" t="str">
            <v>ARES57895</v>
          </cell>
        </row>
        <row r="61">
          <cell r="C61" t="str">
            <v>ARES57894</v>
          </cell>
        </row>
        <row r="62">
          <cell r="C62" t="str">
            <v>ARES57893</v>
          </cell>
        </row>
        <row r="63">
          <cell r="C63" t="str">
            <v>ARES57890</v>
          </cell>
        </row>
        <row r="64">
          <cell r="C64" t="str">
            <v>ARES56662</v>
          </cell>
        </row>
        <row r="65">
          <cell r="C65" t="str">
            <v>ARES56661</v>
          </cell>
        </row>
        <row r="66">
          <cell r="C66" t="str">
            <v>ARES56531</v>
          </cell>
        </row>
        <row r="67">
          <cell r="C67" t="str">
            <v>ARES55329</v>
          </cell>
        </row>
        <row r="68">
          <cell r="C68" t="str">
            <v>ARES55328</v>
          </cell>
        </row>
        <row r="69">
          <cell r="C69" t="str">
            <v>ARES55327</v>
          </cell>
        </row>
        <row r="70">
          <cell r="C70" t="str">
            <v>ARES55326</v>
          </cell>
        </row>
        <row r="71">
          <cell r="C71" t="str">
            <v>ARES55325</v>
          </cell>
        </row>
        <row r="72">
          <cell r="C72" t="str">
            <v>ARES55324</v>
          </cell>
        </row>
        <row r="73">
          <cell r="C73" t="str">
            <v>ARES55323</v>
          </cell>
        </row>
        <row r="74">
          <cell r="C74" t="str">
            <v>ARES55322</v>
          </cell>
        </row>
        <row r="75">
          <cell r="C75" t="str">
            <v>ARES55321</v>
          </cell>
        </row>
        <row r="76">
          <cell r="C76" t="str">
            <v>ARES55320</v>
          </cell>
        </row>
        <row r="77">
          <cell r="C77" t="str">
            <v>ARES55319</v>
          </cell>
        </row>
        <row r="78">
          <cell r="C78" t="str">
            <v>ARES55318</v>
          </cell>
        </row>
        <row r="79">
          <cell r="C79" t="str">
            <v>ARES55317</v>
          </cell>
        </row>
        <row r="80">
          <cell r="C80" t="str">
            <v>ARES55316</v>
          </cell>
        </row>
        <row r="81">
          <cell r="C81" t="str">
            <v>ARES55315</v>
          </cell>
        </row>
        <row r="82">
          <cell r="C82" t="str">
            <v>INES55570</v>
          </cell>
        </row>
        <row r="83">
          <cell r="C83" t="str">
            <v>INES55569</v>
          </cell>
        </row>
        <row r="84">
          <cell r="C84" t="str">
            <v>INES55564</v>
          </cell>
        </row>
        <row r="85">
          <cell r="C85" t="str">
            <v>INES55563</v>
          </cell>
        </row>
        <row r="86">
          <cell r="C86" t="str">
            <v>KSNM123510</v>
          </cell>
        </row>
        <row r="87">
          <cell r="C87" t="str">
            <v>KSNM123506</v>
          </cell>
        </row>
        <row r="88">
          <cell r="C88" t="str">
            <v>KSNM125630</v>
          </cell>
        </row>
        <row r="89">
          <cell r="C89" t="str">
            <v>KSNM123509</v>
          </cell>
        </row>
        <row r="90">
          <cell r="C90" t="str">
            <v>KYES56667</v>
          </cell>
        </row>
        <row r="91">
          <cell r="C91" t="str">
            <v>KYES56666</v>
          </cell>
        </row>
        <row r="92">
          <cell r="C92" t="str">
            <v>KYES56665</v>
          </cell>
        </row>
        <row r="93">
          <cell r="C93" t="str">
            <v>KYES56663</v>
          </cell>
        </row>
        <row r="94">
          <cell r="C94" t="str">
            <v>KYES56664</v>
          </cell>
        </row>
        <row r="95">
          <cell r="C95" t="str">
            <v>LAES57907</v>
          </cell>
        </row>
        <row r="96">
          <cell r="C96" t="str">
            <v>LAES56539</v>
          </cell>
        </row>
        <row r="97">
          <cell r="C97" t="str">
            <v>LAES55693</v>
          </cell>
        </row>
        <row r="98">
          <cell r="C98" t="str">
            <v>LAES55691</v>
          </cell>
        </row>
        <row r="99">
          <cell r="C99" t="str">
            <v>LAES56705</v>
          </cell>
        </row>
        <row r="100">
          <cell r="C100" t="str">
            <v>LAES55694</v>
          </cell>
        </row>
        <row r="101">
          <cell r="C101" t="str">
            <v>LAES55692</v>
          </cell>
        </row>
        <row r="102">
          <cell r="C102" t="str">
            <v>LAES55690</v>
          </cell>
        </row>
        <row r="103">
          <cell r="C103" t="str">
            <v>LAES55466</v>
          </cell>
        </row>
        <row r="104">
          <cell r="C104" t="str">
            <v>LAES56465</v>
          </cell>
        </row>
        <row r="105">
          <cell r="C105" t="str">
            <v>LAES56680</v>
          </cell>
        </row>
        <row r="106">
          <cell r="C106" t="str">
            <v>LAES56679</v>
          </cell>
        </row>
        <row r="107">
          <cell r="C107" t="str">
            <v>LAES56678</v>
          </cell>
        </row>
        <row r="108">
          <cell r="C108" t="str">
            <v>LAES56676</v>
          </cell>
        </row>
        <row r="109">
          <cell r="C109" t="str">
            <v>LAES56674</v>
          </cell>
        </row>
        <row r="110">
          <cell r="C110" t="str">
            <v>LAES56673</v>
          </cell>
        </row>
        <row r="111">
          <cell r="C111" t="str">
            <v>LAES56672</v>
          </cell>
        </row>
        <row r="112">
          <cell r="C112" t="str">
            <v>LAES56671</v>
          </cell>
        </row>
        <row r="113">
          <cell r="C113" t="str">
            <v>LAES57608</v>
          </cell>
        </row>
        <row r="114">
          <cell r="C114" t="str">
            <v>LAES57340</v>
          </cell>
        </row>
        <row r="115">
          <cell r="C115" t="str">
            <v>LAES57461</v>
          </cell>
        </row>
        <row r="116">
          <cell r="C116" t="str">
            <v>LAES56551</v>
          </cell>
        </row>
        <row r="117">
          <cell r="C117" t="str">
            <v>LAES56467</v>
          </cell>
        </row>
        <row r="118">
          <cell r="C118" t="str">
            <v>LAES56468</v>
          </cell>
        </row>
        <row r="119">
          <cell r="C119" t="str">
            <v>LAES56469</v>
          </cell>
        </row>
        <row r="120">
          <cell r="C120" t="str">
            <v>LAES56470</v>
          </cell>
        </row>
        <row r="121">
          <cell r="C121" t="str">
            <v>LAES56471</v>
          </cell>
        </row>
        <row r="122">
          <cell r="C122" t="str">
            <v>LAES56472</v>
          </cell>
        </row>
        <row r="123">
          <cell r="C123" t="str">
            <v>LAES56474</v>
          </cell>
        </row>
        <row r="124">
          <cell r="C124" t="str">
            <v>LAES56532</v>
          </cell>
        </row>
        <row r="125">
          <cell r="C125" t="str">
            <v>LAES57336</v>
          </cell>
        </row>
        <row r="126">
          <cell r="C126" t="str">
            <v>LAES57337</v>
          </cell>
        </row>
        <row r="127">
          <cell r="C127" t="str">
            <v>LAES57338</v>
          </cell>
        </row>
        <row r="128">
          <cell r="C128" t="str">
            <v>LAES57341</v>
          </cell>
        </row>
        <row r="129">
          <cell r="C129" t="str">
            <v>LAES57342</v>
          </cell>
        </row>
        <row r="130">
          <cell r="C130" t="str">
            <v>LAES57343</v>
          </cell>
        </row>
        <row r="131">
          <cell r="C131" t="str">
            <v>LAES57344</v>
          </cell>
        </row>
        <row r="132">
          <cell r="C132" t="str">
            <v>LAES57345</v>
          </cell>
        </row>
        <row r="133">
          <cell r="C133" t="str">
            <v>LAES57346</v>
          </cell>
        </row>
        <row r="134">
          <cell r="C134" t="str">
            <v>LAES57347</v>
          </cell>
        </row>
        <row r="135">
          <cell r="C135" t="str">
            <v>LAES57348</v>
          </cell>
        </row>
        <row r="136">
          <cell r="C136" t="str">
            <v>LAES57349</v>
          </cell>
        </row>
        <row r="137">
          <cell r="C137" t="str">
            <v>LAES57350</v>
          </cell>
        </row>
        <row r="138">
          <cell r="C138" t="str">
            <v>LAES57351</v>
          </cell>
        </row>
        <row r="139">
          <cell r="C139" t="str">
            <v>LAES57352</v>
          </cell>
        </row>
        <row r="140">
          <cell r="C140" t="str">
            <v>LAES57353</v>
          </cell>
        </row>
        <row r="141">
          <cell r="C141" t="str">
            <v>LAES57354</v>
          </cell>
        </row>
        <row r="142">
          <cell r="C142" t="str">
            <v>LAES57355</v>
          </cell>
        </row>
        <row r="143">
          <cell r="C143" t="str">
            <v>LAES57452</v>
          </cell>
        </row>
        <row r="144">
          <cell r="C144" t="str">
            <v>LAES57453</v>
          </cell>
        </row>
        <row r="145">
          <cell r="C145" t="str">
            <v>LAES57454</v>
          </cell>
        </row>
        <row r="146">
          <cell r="C146" t="str">
            <v>LAES57455</v>
          </cell>
        </row>
        <row r="147">
          <cell r="C147" t="str">
            <v>LAES57456</v>
          </cell>
        </row>
        <row r="148">
          <cell r="C148" t="str">
            <v>LAES57457</v>
          </cell>
        </row>
        <row r="149">
          <cell r="C149" t="str">
            <v>LAES57458</v>
          </cell>
        </row>
        <row r="150">
          <cell r="C150" t="str">
            <v>LAES57460</v>
          </cell>
        </row>
        <row r="151">
          <cell r="C151" t="str">
            <v>LAES57462</v>
          </cell>
        </row>
        <row r="152">
          <cell r="C152" t="str">
            <v>LAES57463</v>
          </cell>
        </row>
        <row r="153">
          <cell r="C153" t="str">
            <v>LAES57464</v>
          </cell>
        </row>
        <row r="154">
          <cell r="C154" t="str">
            <v>LAES57466</v>
          </cell>
        </row>
        <row r="155">
          <cell r="C155" t="str">
            <v>LAES57465</v>
          </cell>
        </row>
        <row r="156">
          <cell r="C156" t="str">
            <v>LAES57467</v>
          </cell>
        </row>
        <row r="157">
          <cell r="C157" t="str">
            <v>LAES57469</v>
          </cell>
        </row>
        <row r="158">
          <cell r="C158" t="str">
            <v>LAES57468</v>
          </cell>
        </row>
        <row r="159">
          <cell r="C159" t="str">
            <v>LAES57470</v>
          </cell>
        </row>
        <row r="160">
          <cell r="C160" t="str">
            <v>LAES57471</v>
          </cell>
        </row>
        <row r="161">
          <cell r="C161" t="str">
            <v>LAES056373</v>
          </cell>
        </row>
        <row r="162">
          <cell r="C162" t="str">
            <v>LAES056372</v>
          </cell>
        </row>
        <row r="163">
          <cell r="C163" t="str">
            <v>LAES056367</v>
          </cell>
        </row>
        <row r="164">
          <cell r="C164" t="str">
            <v>LAES056366</v>
          </cell>
        </row>
        <row r="165">
          <cell r="C165" t="str">
            <v>LAES056365</v>
          </cell>
        </row>
        <row r="166">
          <cell r="C166" t="str">
            <v>LAES056363</v>
          </cell>
        </row>
        <row r="167">
          <cell r="C167" t="str">
            <v>LAES55380</v>
          </cell>
        </row>
        <row r="168">
          <cell r="C168" t="str">
            <v>LAES55379</v>
          </cell>
        </row>
        <row r="169">
          <cell r="C169" t="str">
            <v>LAES55378</v>
          </cell>
        </row>
        <row r="170">
          <cell r="C170" t="str">
            <v>LAES55377</v>
          </cell>
        </row>
        <row r="171">
          <cell r="C171" t="str">
            <v>LAES55376</v>
          </cell>
        </row>
        <row r="172">
          <cell r="C172" t="str">
            <v>LAES55375</v>
          </cell>
        </row>
        <row r="173">
          <cell r="C173" t="str">
            <v>LAES55374</v>
          </cell>
        </row>
        <row r="174">
          <cell r="C174" t="str">
            <v>LAES55373</v>
          </cell>
        </row>
        <row r="175">
          <cell r="C175" t="str">
            <v>LAES55372</v>
          </cell>
        </row>
        <row r="176">
          <cell r="C176" t="str">
            <v>LAES55371</v>
          </cell>
        </row>
        <row r="177">
          <cell r="C177" t="str">
            <v>LAES55370</v>
          </cell>
        </row>
        <row r="178">
          <cell r="C178" t="str">
            <v>LAES55365</v>
          </cell>
        </row>
        <row r="179">
          <cell r="C179" t="str">
            <v>LAES55364</v>
          </cell>
        </row>
        <row r="180">
          <cell r="C180" t="str">
            <v>LAES55369</v>
          </cell>
        </row>
        <row r="181">
          <cell r="C181" t="str">
            <v>LAES55368</v>
          </cell>
        </row>
        <row r="182">
          <cell r="C182" t="str">
            <v>LAES55367</v>
          </cell>
        </row>
        <row r="183">
          <cell r="C183" t="str">
            <v>LAES55366</v>
          </cell>
        </row>
        <row r="184">
          <cell r="C184" t="str">
            <v>LAES55363</v>
          </cell>
        </row>
        <row r="185">
          <cell r="C185" t="str">
            <v>LAES55362</v>
          </cell>
        </row>
        <row r="186">
          <cell r="C186" t="str">
            <v>LAES55361</v>
          </cell>
        </row>
        <row r="187">
          <cell r="C187" t="str">
            <v>LAES55360</v>
          </cell>
        </row>
        <row r="188">
          <cell r="C188" t="str">
            <v>LAES55359</v>
          </cell>
        </row>
        <row r="189">
          <cell r="C189" t="str">
            <v>LAES55358</v>
          </cell>
        </row>
        <row r="190">
          <cell r="C190" t="str">
            <v>LAES55357</v>
          </cell>
        </row>
        <row r="191">
          <cell r="C191" t="str">
            <v>LAES55355</v>
          </cell>
        </row>
        <row r="192">
          <cell r="C192" t="str">
            <v>LAES55354</v>
          </cell>
        </row>
        <row r="193">
          <cell r="C193" t="str">
            <v>LAES55353</v>
          </cell>
        </row>
        <row r="194">
          <cell r="C194" t="str">
            <v>LAES55352</v>
          </cell>
        </row>
        <row r="195">
          <cell r="C195" t="str">
            <v>LAES55351</v>
          </cell>
        </row>
        <row r="196">
          <cell r="C196" t="str">
            <v>LAES55350</v>
          </cell>
        </row>
        <row r="197">
          <cell r="C197" t="str">
            <v>LAES55349</v>
          </cell>
        </row>
        <row r="198">
          <cell r="C198" t="str">
            <v>LAES55348</v>
          </cell>
        </row>
        <row r="199">
          <cell r="C199" t="str">
            <v>LAES55347</v>
          </cell>
        </row>
        <row r="200">
          <cell r="C200" t="str">
            <v>LAES55345</v>
          </cell>
        </row>
        <row r="201">
          <cell r="C201" t="str">
            <v>LAES55344</v>
          </cell>
        </row>
        <row r="202">
          <cell r="C202" t="str">
            <v>LAES55342</v>
          </cell>
        </row>
        <row r="203">
          <cell r="C203" t="str">
            <v>LAES55340</v>
          </cell>
        </row>
        <row r="204">
          <cell r="C204" t="str">
            <v>LAES55341</v>
          </cell>
        </row>
        <row r="205">
          <cell r="C205" t="str">
            <v>LAES55339</v>
          </cell>
        </row>
        <row r="206">
          <cell r="C206" t="str">
            <v>LAES55338</v>
          </cell>
        </row>
        <row r="207">
          <cell r="C207" t="str">
            <v>LAES55337</v>
          </cell>
        </row>
        <row r="208">
          <cell r="C208" t="str">
            <v>LAES55336</v>
          </cell>
        </row>
        <row r="209">
          <cell r="C209" t="str">
            <v>LAES55335</v>
          </cell>
        </row>
        <row r="210">
          <cell r="C210" t="str">
            <v>LAES55334</v>
          </cell>
        </row>
        <row r="211">
          <cell r="C211" t="str">
            <v>LAES55333</v>
          </cell>
        </row>
        <row r="212">
          <cell r="C212" t="str">
            <v>LAES55356</v>
          </cell>
        </row>
        <row r="213">
          <cell r="C213" t="str">
            <v>LAES57905</v>
          </cell>
        </row>
        <row r="214">
          <cell r="C214" t="str">
            <v>LAES57904</v>
          </cell>
        </row>
        <row r="215">
          <cell r="C215" t="str">
            <v>LAES57903</v>
          </cell>
        </row>
        <row r="216">
          <cell r="C216" t="str">
            <v>LAES57902</v>
          </cell>
        </row>
        <row r="217">
          <cell r="C217" t="str">
            <v>LAES57901</v>
          </cell>
        </row>
        <row r="218">
          <cell r="C218" t="str">
            <v>LAES57900</v>
          </cell>
        </row>
        <row r="219">
          <cell r="C219" t="str">
            <v>LAES57897</v>
          </cell>
        </row>
        <row r="220">
          <cell r="C220" t="str">
            <v>LAES55689</v>
          </cell>
        </row>
        <row r="221">
          <cell r="C221" t="str">
            <v>LAES55465</v>
          </cell>
        </row>
        <row r="222">
          <cell r="C222" t="str">
            <v>LAES55464</v>
          </cell>
        </row>
        <row r="223">
          <cell r="C223" t="str">
            <v>LAES55463</v>
          </cell>
        </row>
        <row r="224">
          <cell r="C224" t="str">
            <v>LAES55462</v>
          </cell>
        </row>
        <row r="225">
          <cell r="C225" t="str">
            <v>LAES55461</v>
          </cell>
        </row>
        <row r="226">
          <cell r="C226" t="str">
            <v>LAES55460</v>
          </cell>
        </row>
        <row r="227">
          <cell r="C227" t="str">
            <v>LAES55459</v>
          </cell>
        </row>
        <row r="228">
          <cell r="C228" t="str">
            <v>LAES55458</v>
          </cell>
        </row>
        <row r="229">
          <cell r="C229" t="str">
            <v>LAES55457</v>
          </cell>
        </row>
        <row r="230">
          <cell r="C230" t="str">
            <v>LAES55455</v>
          </cell>
        </row>
        <row r="231">
          <cell r="C231" t="str">
            <v>LAES55454</v>
          </cell>
        </row>
        <row r="232">
          <cell r="C232" t="str">
            <v>LAES55453</v>
          </cell>
        </row>
        <row r="233">
          <cell r="C233" t="str">
            <v>LAES55452</v>
          </cell>
        </row>
        <row r="234">
          <cell r="C234" t="str">
            <v>LAES55450</v>
          </cell>
        </row>
        <row r="235">
          <cell r="C235" t="str">
            <v>LAES55449</v>
          </cell>
        </row>
        <row r="236">
          <cell r="C236" t="str">
            <v>LAES55448</v>
          </cell>
        </row>
        <row r="237">
          <cell r="C237" t="str">
            <v>MSES057110</v>
          </cell>
        </row>
        <row r="238">
          <cell r="C238" t="str">
            <v>MSES057109</v>
          </cell>
        </row>
        <row r="239">
          <cell r="C239" t="str">
            <v>MSES057108</v>
          </cell>
        </row>
        <row r="240">
          <cell r="C240" t="str">
            <v>MSES057103</v>
          </cell>
        </row>
        <row r="241">
          <cell r="C241" t="str">
            <v>MSES057102</v>
          </cell>
        </row>
        <row r="242">
          <cell r="C242" t="str">
            <v>MSES057101</v>
          </cell>
        </row>
        <row r="243">
          <cell r="C243" t="str">
            <v>MSES057100</v>
          </cell>
        </row>
        <row r="244">
          <cell r="C244" t="str">
            <v>MSES057095</v>
          </cell>
        </row>
        <row r="245">
          <cell r="C245" t="str">
            <v>MSES057141</v>
          </cell>
        </row>
        <row r="246">
          <cell r="C246" t="str">
            <v>MSES057140</v>
          </cell>
        </row>
        <row r="247">
          <cell r="C247" t="str">
            <v>MSES057138</v>
          </cell>
        </row>
        <row r="248">
          <cell r="C248" t="str">
            <v>MSES057127</v>
          </cell>
        </row>
        <row r="249">
          <cell r="C249" t="str">
            <v>MSES057126</v>
          </cell>
        </row>
        <row r="250">
          <cell r="C250" t="str">
            <v>MSES057093</v>
          </cell>
        </row>
        <row r="251">
          <cell r="C251" t="str">
            <v>MSES057092</v>
          </cell>
        </row>
        <row r="252">
          <cell r="C252" t="str">
            <v>MSES056991</v>
          </cell>
        </row>
        <row r="253">
          <cell r="C253" t="str">
            <v>MSES056990</v>
          </cell>
        </row>
        <row r="254">
          <cell r="C254" t="str">
            <v>MSES056989</v>
          </cell>
        </row>
        <row r="255">
          <cell r="C255" t="str">
            <v>MSES056988</v>
          </cell>
        </row>
        <row r="256">
          <cell r="C256" t="str">
            <v>MSES056987</v>
          </cell>
        </row>
        <row r="257">
          <cell r="C257" t="str">
            <v>MSES056984</v>
          </cell>
        </row>
        <row r="258">
          <cell r="C258" t="str">
            <v>MSES056983</v>
          </cell>
        </row>
        <row r="259">
          <cell r="C259" t="str">
            <v>MSES56557</v>
          </cell>
        </row>
        <row r="260">
          <cell r="C260" t="str">
            <v>MSES56556</v>
          </cell>
        </row>
        <row r="261">
          <cell r="C261" t="str">
            <v>MSES057094</v>
          </cell>
        </row>
        <row r="262">
          <cell r="C262" t="str">
            <v>MSES057091</v>
          </cell>
        </row>
        <row r="263">
          <cell r="C263" t="str">
            <v>MSES056965</v>
          </cell>
        </row>
        <row r="264">
          <cell r="C264" t="str">
            <v>MSES056982</v>
          </cell>
        </row>
        <row r="265">
          <cell r="C265" t="str">
            <v>MSES056985</v>
          </cell>
        </row>
        <row r="266">
          <cell r="C266" t="str">
            <v>MSES056986</v>
          </cell>
        </row>
        <row r="267">
          <cell r="C267" t="str">
            <v>MSES057111</v>
          </cell>
        </row>
        <row r="268">
          <cell r="C268" t="str">
            <v>MSES56249</v>
          </cell>
        </row>
        <row r="269">
          <cell r="C269" t="str">
            <v>MSES57243</v>
          </cell>
        </row>
        <row r="270">
          <cell r="C270" t="str">
            <v>MSES57242</v>
          </cell>
        </row>
        <row r="271">
          <cell r="C271" t="str">
            <v>MSES57241</v>
          </cell>
        </row>
        <row r="272">
          <cell r="C272" t="str">
            <v>MSES57240</v>
          </cell>
        </row>
        <row r="273">
          <cell r="C273" t="str">
            <v>MSES57239</v>
          </cell>
        </row>
        <row r="274">
          <cell r="C274" t="str">
            <v>MSES57238</v>
          </cell>
        </row>
        <row r="275">
          <cell r="C275" t="str">
            <v>MSES57237</v>
          </cell>
        </row>
        <row r="276">
          <cell r="C276" t="str">
            <v>MSES056853</v>
          </cell>
        </row>
        <row r="277">
          <cell r="C277" t="str">
            <v>MSES57491</v>
          </cell>
        </row>
        <row r="278">
          <cell r="C278" t="str">
            <v>MSES57490</v>
          </cell>
        </row>
        <row r="279">
          <cell r="C279" t="str">
            <v>MSES57489</v>
          </cell>
        </row>
        <row r="280">
          <cell r="C280" t="str">
            <v>MSES57488</v>
          </cell>
        </row>
        <row r="281">
          <cell r="C281" t="str">
            <v>MSES57487</v>
          </cell>
        </row>
        <row r="282">
          <cell r="C282" t="str">
            <v>MSES57486</v>
          </cell>
        </row>
        <row r="283">
          <cell r="C283" t="str">
            <v>MSES57823</v>
          </cell>
        </row>
        <row r="284">
          <cell r="C284" t="str">
            <v>MSES056396</v>
          </cell>
        </row>
        <row r="285">
          <cell r="C285" t="str">
            <v>MSES56253</v>
          </cell>
        </row>
        <row r="286">
          <cell r="C286" t="str">
            <v>MSES57582</v>
          </cell>
        </row>
        <row r="287">
          <cell r="C287" t="str">
            <v>MSES57581</v>
          </cell>
        </row>
        <row r="288">
          <cell r="C288" t="str">
            <v>MSES57578</v>
          </cell>
        </row>
        <row r="289">
          <cell r="C289" t="str">
            <v>MSES57577</v>
          </cell>
        </row>
        <row r="290">
          <cell r="C290" t="str">
            <v>MSES57576</v>
          </cell>
        </row>
        <row r="291">
          <cell r="C291" t="str">
            <v>MSES57493</v>
          </cell>
        </row>
        <row r="292">
          <cell r="C292" t="str">
            <v>MSES57492</v>
          </cell>
        </row>
        <row r="293">
          <cell r="C293" t="str">
            <v>MSES57475</v>
          </cell>
        </row>
        <row r="294">
          <cell r="C294" t="str">
            <v>MSES57478</v>
          </cell>
        </row>
        <row r="295">
          <cell r="C295" t="str">
            <v>MSES57357</v>
          </cell>
        </row>
        <row r="296">
          <cell r="C296" t="str">
            <v>MSES57358</v>
          </cell>
        </row>
        <row r="297">
          <cell r="C297" t="str">
            <v>MSES056862</v>
          </cell>
        </row>
        <row r="298">
          <cell r="C298" t="str">
            <v>MSES056861</v>
          </cell>
        </row>
        <row r="299">
          <cell r="C299" t="str">
            <v>MSES056859</v>
          </cell>
        </row>
        <row r="300">
          <cell r="C300" t="str">
            <v>MSES056858</v>
          </cell>
        </row>
        <row r="301">
          <cell r="C301" t="str">
            <v>MSES056857</v>
          </cell>
        </row>
        <row r="302">
          <cell r="C302" t="str">
            <v>MSES056856</v>
          </cell>
        </row>
        <row r="303">
          <cell r="C303" t="str">
            <v>MSES056855</v>
          </cell>
        </row>
        <row r="304">
          <cell r="C304" t="str">
            <v>MSES056854</v>
          </cell>
        </row>
        <row r="305">
          <cell r="C305" t="str">
            <v>MSES57476</v>
          </cell>
        </row>
        <row r="306">
          <cell r="C306" t="str">
            <v>MSES57477</v>
          </cell>
        </row>
        <row r="307">
          <cell r="C307" t="str">
            <v>MSES056860</v>
          </cell>
        </row>
        <row r="308">
          <cell r="C308" t="str">
            <v>MSES056389</v>
          </cell>
        </row>
        <row r="309">
          <cell r="C309" t="str">
            <v>MSES57580</v>
          </cell>
        </row>
        <row r="310">
          <cell r="C310" t="str">
            <v>MSES57579</v>
          </cell>
        </row>
        <row r="311">
          <cell r="C311" t="str">
            <v>MSES57356</v>
          </cell>
        </row>
        <row r="312">
          <cell r="C312" t="str">
            <v>MSES57229</v>
          </cell>
        </row>
        <row r="313">
          <cell r="C313" t="str">
            <v>MSES56718</v>
          </cell>
        </row>
        <row r="314">
          <cell r="C314" t="str">
            <v>MSES56717</v>
          </cell>
        </row>
        <row r="315">
          <cell r="C315" t="str">
            <v>MSES56716</v>
          </cell>
        </row>
        <row r="316">
          <cell r="C316" t="str">
            <v>MSES56715</v>
          </cell>
        </row>
        <row r="317">
          <cell r="C317" t="str">
            <v>MSES56710</v>
          </cell>
        </row>
        <row r="318">
          <cell r="C318" t="str">
            <v>MSES56709</v>
          </cell>
        </row>
        <row r="319">
          <cell r="C319" t="str">
            <v>MSES55387</v>
          </cell>
        </row>
        <row r="320">
          <cell r="C320" t="str">
            <v>MSES55385</v>
          </cell>
        </row>
        <row r="321">
          <cell r="C321" t="str">
            <v>MSES55384</v>
          </cell>
        </row>
        <row r="322">
          <cell r="C322" t="str">
            <v>MSES55381</v>
          </cell>
        </row>
        <row r="323">
          <cell r="C323" t="str">
            <v>MSES55386</v>
          </cell>
        </row>
        <row r="324">
          <cell r="C324" t="str">
            <v>MSES57236</v>
          </cell>
        </row>
        <row r="325">
          <cell r="C325" t="str">
            <v>MSES57909</v>
          </cell>
        </row>
        <row r="326">
          <cell r="C326" t="str">
            <v>MSES57360</v>
          </cell>
        </row>
        <row r="327">
          <cell r="C327" t="str">
            <v>MSES57365</v>
          </cell>
        </row>
        <row r="328">
          <cell r="C328" t="str">
            <v>MSES56757</v>
          </cell>
        </row>
        <row r="329">
          <cell r="C329" t="str">
            <v>MSES56756</v>
          </cell>
        </row>
        <row r="330">
          <cell r="C330" t="str">
            <v>MSES56755</v>
          </cell>
        </row>
        <row r="331">
          <cell r="C331" t="str">
            <v>MSES56752</v>
          </cell>
        </row>
        <row r="332">
          <cell r="C332" t="str">
            <v>MSES56751</v>
          </cell>
        </row>
        <row r="333">
          <cell r="C333" t="str">
            <v>MSES56749</v>
          </cell>
        </row>
        <row r="334">
          <cell r="C334" t="str">
            <v>MSES56748</v>
          </cell>
        </row>
        <row r="335">
          <cell r="C335" t="str">
            <v>MSES56747</v>
          </cell>
        </row>
        <row r="336">
          <cell r="C336" t="str">
            <v>MSES56251</v>
          </cell>
        </row>
        <row r="337">
          <cell r="C337" t="str">
            <v>MSES57366</v>
          </cell>
        </row>
        <row r="338">
          <cell r="C338" t="str">
            <v>MSES57364</v>
          </cell>
        </row>
        <row r="339">
          <cell r="C339" t="str">
            <v>MSES57363</v>
          </cell>
        </row>
        <row r="340">
          <cell r="C340" t="str">
            <v>MSES57361</v>
          </cell>
        </row>
        <row r="341">
          <cell r="C341" t="str">
            <v>MSES57362</v>
          </cell>
        </row>
        <row r="342">
          <cell r="C342" t="str">
            <v>MSES57359</v>
          </cell>
        </row>
        <row r="343">
          <cell r="C343" t="str">
            <v>MSES57228</v>
          </cell>
        </row>
        <row r="344">
          <cell r="C344" t="str">
            <v>MSES57227</v>
          </cell>
        </row>
        <row r="345">
          <cell r="C345" t="str">
            <v>MSES57226</v>
          </cell>
        </row>
        <row r="346">
          <cell r="C346" t="str">
            <v>MSES57225</v>
          </cell>
        </row>
        <row r="347">
          <cell r="C347" t="str">
            <v>MSES57224</v>
          </cell>
        </row>
        <row r="348">
          <cell r="C348" t="str">
            <v>MSES57223</v>
          </cell>
        </row>
        <row r="349">
          <cell r="C349" t="str">
            <v>MSES57222</v>
          </cell>
        </row>
        <row r="350">
          <cell r="C350" t="str">
            <v>MSES57221</v>
          </cell>
        </row>
        <row r="351">
          <cell r="C351" t="str">
            <v>MSES57220</v>
          </cell>
        </row>
        <row r="352">
          <cell r="C352" t="str">
            <v>MSES57219</v>
          </cell>
        </row>
        <row r="353">
          <cell r="C353" t="str">
            <v>MSES57217</v>
          </cell>
        </row>
        <row r="354">
          <cell r="C354" t="str">
            <v>MSES57215</v>
          </cell>
        </row>
        <row r="355">
          <cell r="C355" t="str">
            <v>MSES57214</v>
          </cell>
        </row>
        <row r="356">
          <cell r="C356" t="str">
            <v>MSES57213</v>
          </cell>
        </row>
        <row r="357">
          <cell r="C357" t="str">
            <v>MSES57211</v>
          </cell>
        </row>
        <row r="358">
          <cell r="C358" t="str">
            <v>MSES57210</v>
          </cell>
        </row>
        <row r="359">
          <cell r="C359" t="str">
            <v>MSES57209</v>
          </cell>
        </row>
        <row r="360">
          <cell r="C360" t="str">
            <v>MSES57207</v>
          </cell>
        </row>
        <row r="361">
          <cell r="C361" t="str">
            <v>MSES056968</v>
          </cell>
        </row>
        <row r="362">
          <cell r="C362" t="str">
            <v>MSES056967</v>
          </cell>
        </row>
        <row r="363">
          <cell r="C363" t="str">
            <v>MSES57212</v>
          </cell>
        </row>
        <row r="364">
          <cell r="C364" t="str">
            <v>MSES57208</v>
          </cell>
        </row>
        <row r="365">
          <cell r="C365" t="str">
            <v>MSES056966</v>
          </cell>
        </row>
        <row r="366">
          <cell r="C366" t="str">
            <v>MSES57216</v>
          </cell>
        </row>
        <row r="367">
          <cell r="C367" t="str">
            <v>MSES57218</v>
          </cell>
        </row>
        <row r="368">
          <cell r="C368" t="str">
            <v>NMNM129725</v>
          </cell>
        </row>
        <row r="369">
          <cell r="C369" t="str">
            <v>NMNM126964</v>
          </cell>
        </row>
        <row r="370">
          <cell r="C370" t="str">
            <v>NMNM125632</v>
          </cell>
        </row>
        <row r="371">
          <cell r="C371" t="str">
            <v>NMNM125145</v>
          </cell>
        </row>
        <row r="372">
          <cell r="C372" t="str">
            <v>NMNM125144</v>
          </cell>
        </row>
        <row r="373">
          <cell r="C373" t="str">
            <v>NMNM124665</v>
          </cell>
        </row>
        <row r="374">
          <cell r="C374" t="str">
            <v>NMNM125261</v>
          </cell>
        </row>
        <row r="375">
          <cell r="C375" t="str">
            <v>NMNM125264</v>
          </cell>
        </row>
        <row r="376">
          <cell r="C376" t="str">
            <v>NMNM126073</v>
          </cell>
        </row>
        <row r="377">
          <cell r="C377" t="str">
            <v>NMNM126074</v>
          </cell>
        </row>
        <row r="378">
          <cell r="C378" t="str">
            <v>NMNM129735</v>
          </cell>
        </row>
        <row r="379">
          <cell r="C379" t="str">
            <v>NMNM126072</v>
          </cell>
        </row>
        <row r="380">
          <cell r="C380" t="str">
            <v>NMNM126071</v>
          </cell>
        </row>
        <row r="381">
          <cell r="C381" t="str">
            <v>NMNM126070</v>
          </cell>
        </row>
        <row r="382">
          <cell r="C382" t="str">
            <v>NMNM125651</v>
          </cell>
        </row>
        <row r="383">
          <cell r="C383" t="str">
            <v>NMNM125650</v>
          </cell>
        </row>
        <row r="384">
          <cell r="C384" t="str">
            <v>NMNM125649</v>
          </cell>
        </row>
        <row r="385">
          <cell r="C385" t="str">
            <v>NMNM125648</v>
          </cell>
        </row>
        <row r="386">
          <cell r="C386" t="str">
            <v>NMNM125647</v>
          </cell>
        </row>
        <row r="387">
          <cell r="C387" t="str">
            <v>NMNM125645</v>
          </cell>
        </row>
        <row r="388">
          <cell r="C388" t="str">
            <v>NMNM125644</v>
          </cell>
        </row>
        <row r="389">
          <cell r="C389" t="str">
            <v>NMNM125643</v>
          </cell>
        </row>
        <row r="390">
          <cell r="C390" t="str">
            <v>NMNM125642</v>
          </cell>
        </row>
        <row r="391">
          <cell r="C391" t="str">
            <v>NMNM125641</v>
          </cell>
        </row>
        <row r="392">
          <cell r="C392" t="str">
            <v>NMNM125640</v>
          </cell>
        </row>
        <row r="393">
          <cell r="C393" t="str">
            <v>NMNM125639</v>
          </cell>
        </row>
        <row r="394">
          <cell r="C394" t="str">
            <v>NMNM125638</v>
          </cell>
        </row>
        <row r="395">
          <cell r="C395" t="str">
            <v>NMNM125637</v>
          </cell>
        </row>
        <row r="396">
          <cell r="C396" t="str">
            <v>NMNM125636</v>
          </cell>
        </row>
        <row r="397">
          <cell r="C397" t="str">
            <v>NMNM125266</v>
          </cell>
        </row>
        <row r="398">
          <cell r="C398" t="str">
            <v>NMNM125265</v>
          </cell>
        </row>
        <row r="399">
          <cell r="C399" t="str">
            <v>NMNM125254</v>
          </cell>
        </row>
        <row r="400">
          <cell r="C400" t="str">
            <v>NMNM125253</v>
          </cell>
        </row>
        <row r="401">
          <cell r="C401" t="str">
            <v>NMNM125251</v>
          </cell>
        </row>
        <row r="402">
          <cell r="C402" t="str">
            <v>NMNM125246</v>
          </cell>
        </row>
        <row r="403">
          <cell r="C403" t="str">
            <v>NMNM125245</v>
          </cell>
        </row>
        <row r="404">
          <cell r="C404" t="str">
            <v>NMNM125244</v>
          </cell>
        </row>
        <row r="405">
          <cell r="C405" t="str">
            <v>NMNM125242</v>
          </cell>
        </row>
        <row r="406">
          <cell r="C406" t="str">
            <v>NMNM125241</v>
          </cell>
        </row>
        <row r="407">
          <cell r="C407" t="str">
            <v>NMNM125240</v>
          </cell>
        </row>
        <row r="408">
          <cell r="C408" t="str">
            <v>NMNM125234</v>
          </cell>
        </row>
        <row r="409">
          <cell r="C409" t="str">
            <v>NMNM125221</v>
          </cell>
        </row>
        <row r="410">
          <cell r="C410" t="str">
            <v>NMNM125213</v>
          </cell>
        </row>
        <row r="411">
          <cell r="C411" t="str">
            <v>NMNM125212</v>
          </cell>
        </row>
        <row r="412">
          <cell r="C412" t="str">
            <v>NMNM125211</v>
          </cell>
        </row>
        <row r="413">
          <cell r="C413" t="str">
            <v>NMNM125210</v>
          </cell>
        </row>
        <row r="414">
          <cell r="C414" t="str">
            <v>NMNM125209</v>
          </cell>
        </row>
        <row r="415">
          <cell r="C415" t="str">
            <v>NMNM125208</v>
          </cell>
        </row>
        <row r="416">
          <cell r="C416" t="str">
            <v>NMNM125207</v>
          </cell>
        </row>
        <row r="417">
          <cell r="C417" t="str">
            <v>NMNM125206</v>
          </cell>
        </row>
        <row r="418">
          <cell r="C418" t="str">
            <v>NMNM125205</v>
          </cell>
        </row>
        <row r="419">
          <cell r="C419" t="str">
            <v>NMNM125204</v>
          </cell>
        </row>
        <row r="420">
          <cell r="C420" t="str">
            <v>NMNM125203</v>
          </cell>
        </row>
        <row r="421">
          <cell r="C421" t="str">
            <v>NMNM125202</v>
          </cell>
        </row>
        <row r="422">
          <cell r="C422" t="str">
            <v>NMNM125201</v>
          </cell>
        </row>
        <row r="423">
          <cell r="C423" t="str">
            <v>NMNM125200</v>
          </cell>
        </row>
        <row r="424">
          <cell r="C424" t="str">
            <v>NMNM125199</v>
          </cell>
        </row>
        <row r="425">
          <cell r="C425" t="str">
            <v>NMNM125198</v>
          </cell>
        </row>
        <row r="426">
          <cell r="C426" t="str">
            <v>NMNM125197</v>
          </cell>
        </row>
        <row r="427">
          <cell r="C427" t="str">
            <v>NMNM125196</v>
          </cell>
        </row>
        <row r="428">
          <cell r="C428" t="str">
            <v>NMNM125195</v>
          </cell>
        </row>
        <row r="429">
          <cell r="C429" t="str">
            <v>NMNM125194</v>
          </cell>
        </row>
        <row r="430">
          <cell r="C430" t="str">
            <v>NMNM125193</v>
          </cell>
        </row>
        <row r="431">
          <cell r="C431" t="str">
            <v>NMNM125192</v>
          </cell>
        </row>
        <row r="432">
          <cell r="C432" t="str">
            <v>NMNM125191</v>
          </cell>
        </row>
        <row r="433">
          <cell r="C433" t="str">
            <v>NMNM125190</v>
          </cell>
        </row>
        <row r="434">
          <cell r="C434" t="str">
            <v>NMNM125189</v>
          </cell>
        </row>
        <row r="435">
          <cell r="C435" t="str">
            <v>NMNM125188</v>
          </cell>
        </row>
        <row r="436">
          <cell r="C436" t="str">
            <v>NMNM125187</v>
          </cell>
        </row>
        <row r="437">
          <cell r="C437" t="str">
            <v>NMNM125186</v>
          </cell>
        </row>
        <row r="438">
          <cell r="C438" t="str">
            <v>NMNM125185</v>
          </cell>
        </row>
        <row r="439">
          <cell r="C439" t="str">
            <v>NMNM125184</v>
          </cell>
        </row>
        <row r="440">
          <cell r="C440" t="str">
            <v>NMNM125183</v>
          </cell>
        </row>
        <row r="441">
          <cell r="C441" t="str">
            <v>NMNM125182</v>
          </cell>
        </row>
        <row r="442">
          <cell r="C442" t="str">
            <v>NMNM125181</v>
          </cell>
        </row>
        <row r="443">
          <cell r="C443" t="str">
            <v>NMNM125180</v>
          </cell>
        </row>
        <row r="444">
          <cell r="C444" t="str">
            <v>NMNM125179</v>
          </cell>
        </row>
        <row r="445">
          <cell r="C445" t="str">
            <v>NMNM125178</v>
          </cell>
        </row>
        <row r="446">
          <cell r="C446" t="str">
            <v>NMNM125177</v>
          </cell>
        </row>
        <row r="447">
          <cell r="C447" t="str">
            <v>NMNM125176</v>
          </cell>
        </row>
        <row r="448">
          <cell r="C448" t="str">
            <v>NMNM125175</v>
          </cell>
        </row>
        <row r="449">
          <cell r="C449" t="str">
            <v>NMNM125165</v>
          </cell>
        </row>
        <row r="450">
          <cell r="C450" t="str">
            <v>NMNM125164</v>
          </cell>
        </row>
        <row r="451">
          <cell r="C451" t="str">
            <v>NMNM125151</v>
          </cell>
        </row>
        <row r="452">
          <cell r="C452" t="str">
            <v>NMNM125150</v>
          </cell>
        </row>
        <row r="453">
          <cell r="C453" t="str">
            <v>NMNM125149</v>
          </cell>
        </row>
        <row r="454">
          <cell r="C454" t="str">
            <v>NMNM125148</v>
          </cell>
        </row>
        <row r="455">
          <cell r="C455" t="str">
            <v>NMNM125147</v>
          </cell>
        </row>
        <row r="456">
          <cell r="C456" t="str">
            <v>NMNM125146</v>
          </cell>
        </row>
        <row r="457">
          <cell r="C457" t="str">
            <v>NMNM120911</v>
          </cell>
        </row>
        <row r="458">
          <cell r="C458" t="str">
            <v>NMNM128371</v>
          </cell>
        </row>
        <row r="459">
          <cell r="C459" t="str">
            <v>NMNM128376</v>
          </cell>
        </row>
        <row r="460">
          <cell r="C460" t="str">
            <v>NMNM126069</v>
          </cell>
        </row>
        <row r="461">
          <cell r="C461" t="str">
            <v>NMNM120920</v>
          </cell>
        </row>
        <row r="462">
          <cell r="C462" t="str">
            <v>NMNM127452</v>
          </cell>
        </row>
        <row r="463">
          <cell r="C463" t="str">
            <v>NMNM120921</v>
          </cell>
        </row>
        <row r="464">
          <cell r="C464" t="str">
            <v>NMNM129736</v>
          </cell>
        </row>
        <row r="465">
          <cell r="C465" t="str">
            <v>NMNM121920</v>
          </cell>
        </row>
        <row r="466">
          <cell r="C466" t="str">
            <v>NMNM121919</v>
          </cell>
        </row>
        <row r="467">
          <cell r="C467" t="str">
            <v>NMNM128844</v>
          </cell>
        </row>
        <row r="468">
          <cell r="C468" t="str">
            <v>NMNM128843</v>
          </cell>
        </row>
        <row r="469">
          <cell r="C469" t="str">
            <v>NMNM128842</v>
          </cell>
        </row>
        <row r="470">
          <cell r="C470" t="str">
            <v>NMNM128839</v>
          </cell>
        </row>
        <row r="471">
          <cell r="C471" t="str">
            <v>NMNM128841</v>
          </cell>
        </row>
        <row r="472">
          <cell r="C472" t="str">
            <v>NMNM128840</v>
          </cell>
        </row>
        <row r="473">
          <cell r="C473" t="str">
            <v>NMNM127451</v>
          </cell>
        </row>
        <row r="474">
          <cell r="C474" t="str">
            <v>NMNM126978</v>
          </cell>
        </row>
        <row r="475">
          <cell r="C475" t="str">
            <v>NMNM125217</v>
          </cell>
        </row>
        <row r="476">
          <cell r="C476" t="str">
            <v>NMNM125216</v>
          </cell>
        </row>
        <row r="477">
          <cell r="C477" t="str">
            <v>NMNM125215</v>
          </cell>
        </row>
        <row r="478">
          <cell r="C478" t="str">
            <v>NMNM125214</v>
          </cell>
        </row>
        <row r="479">
          <cell r="C479" t="str">
            <v>NMNM123536</v>
          </cell>
        </row>
        <row r="480">
          <cell r="C480" t="str">
            <v>NMNM121959</v>
          </cell>
        </row>
        <row r="481">
          <cell r="C481" t="str">
            <v>NMNM120915</v>
          </cell>
        </row>
        <row r="482">
          <cell r="C482" t="str">
            <v>NMNM120905</v>
          </cell>
        </row>
        <row r="483">
          <cell r="C483" t="str">
            <v>NMNM129272</v>
          </cell>
        </row>
        <row r="484">
          <cell r="C484" t="str">
            <v>NMNM124669</v>
          </cell>
        </row>
        <row r="485">
          <cell r="C485" t="str">
            <v>NMNM124668</v>
          </cell>
        </row>
        <row r="486">
          <cell r="C486" t="str">
            <v>NMNM120896</v>
          </cell>
        </row>
        <row r="487">
          <cell r="C487" t="str">
            <v>NMNM120889</v>
          </cell>
        </row>
        <row r="488">
          <cell r="C488" t="str">
            <v>OHES56278</v>
          </cell>
        </row>
        <row r="489">
          <cell r="C489" t="str">
            <v>OHES56257</v>
          </cell>
        </row>
        <row r="490">
          <cell r="C490" t="str">
            <v>OHES56256</v>
          </cell>
        </row>
        <row r="491">
          <cell r="C491" t="str">
            <v>OHES56255</v>
          </cell>
        </row>
        <row r="492">
          <cell r="C492" t="str">
            <v>OHES56271</v>
          </cell>
        </row>
        <row r="493">
          <cell r="C493" t="str">
            <v>OHES56265</v>
          </cell>
        </row>
        <row r="494">
          <cell r="C494" t="str">
            <v>OHES56264</v>
          </cell>
        </row>
        <row r="495">
          <cell r="C495" t="str">
            <v>OHES56263</v>
          </cell>
        </row>
        <row r="496">
          <cell r="C496" t="str">
            <v>OHES56262</v>
          </cell>
        </row>
        <row r="497">
          <cell r="C497" t="str">
            <v>OHES56261</v>
          </cell>
        </row>
        <row r="498">
          <cell r="C498" t="str">
            <v>OHES56270</v>
          </cell>
        </row>
        <row r="499">
          <cell r="C499" t="str">
            <v>OHES56269</v>
          </cell>
        </row>
        <row r="500">
          <cell r="C500" t="str">
            <v>OHES56268</v>
          </cell>
        </row>
        <row r="501">
          <cell r="C501" t="str">
            <v>OHES56267</v>
          </cell>
        </row>
        <row r="502">
          <cell r="C502" t="str">
            <v>OHES56266</v>
          </cell>
        </row>
        <row r="503">
          <cell r="C503" t="str">
            <v>OHES56260</v>
          </cell>
        </row>
        <row r="504">
          <cell r="C504" t="str">
            <v>OHES56259</v>
          </cell>
        </row>
        <row r="505">
          <cell r="C505" t="str">
            <v>OHES56258</v>
          </cell>
        </row>
        <row r="506">
          <cell r="C506" t="str">
            <v>OKNM128387</v>
          </cell>
        </row>
        <row r="507">
          <cell r="C507" t="str">
            <v>OKNM128850</v>
          </cell>
        </row>
        <row r="508">
          <cell r="C508" t="str">
            <v>OKNM128849</v>
          </cell>
        </row>
        <row r="509">
          <cell r="C509" t="str">
            <v>OKNM121970</v>
          </cell>
        </row>
        <row r="510">
          <cell r="C510" t="str">
            <v>OKNM120942</v>
          </cell>
        </row>
        <row r="511">
          <cell r="C511" t="str">
            <v>OKNM120941</v>
          </cell>
        </row>
        <row r="512">
          <cell r="C512" t="str">
            <v>OKNM120940</v>
          </cell>
        </row>
        <row r="513">
          <cell r="C513" t="str">
            <v>OKNM120939</v>
          </cell>
        </row>
        <row r="514">
          <cell r="C514" t="str">
            <v>OKNM124670</v>
          </cell>
        </row>
        <row r="515">
          <cell r="C515" t="str">
            <v>TXNM128858</v>
          </cell>
        </row>
        <row r="516">
          <cell r="C516" t="str">
            <v>TXNM128852</v>
          </cell>
        </row>
        <row r="517">
          <cell r="C517" t="str">
            <v>TXNM128851</v>
          </cell>
        </row>
        <row r="518">
          <cell r="C518" t="str">
            <v>TXNM128853</v>
          </cell>
        </row>
        <row r="519">
          <cell r="C519" t="str">
            <v>TXNM120951</v>
          </cell>
        </row>
        <row r="520">
          <cell r="C520" t="str">
            <v>TXNM120952</v>
          </cell>
        </row>
        <row r="521">
          <cell r="C521" t="str">
            <v>TXNM120953</v>
          </cell>
        </row>
        <row r="522">
          <cell r="C522" t="str">
            <v>TXNM129757</v>
          </cell>
        </row>
        <row r="523">
          <cell r="C523" t="str">
            <v>TXNM129758</v>
          </cell>
        </row>
        <row r="524">
          <cell r="C524" t="str">
            <v>TXNM129760</v>
          </cell>
        </row>
        <row r="525">
          <cell r="C525" t="str">
            <v>TXNM129782</v>
          </cell>
        </row>
        <row r="526">
          <cell r="C526" t="str">
            <v>TXNM129784</v>
          </cell>
        </row>
        <row r="527">
          <cell r="C527" t="str">
            <v>TXNM129759</v>
          </cell>
        </row>
        <row r="528">
          <cell r="C528" t="str">
            <v>TXNM129783</v>
          </cell>
        </row>
        <row r="529">
          <cell r="C529" t="str">
            <v>TXNM120954</v>
          </cell>
        </row>
        <row r="530">
          <cell r="C530" t="str">
            <v>TXNM121987</v>
          </cell>
        </row>
        <row r="531">
          <cell r="C531" t="str">
            <v>TXNM121988</v>
          </cell>
        </row>
        <row r="532">
          <cell r="C532" t="str">
            <v>TXNM121999</v>
          </cell>
        </row>
        <row r="533">
          <cell r="C533" t="str">
            <v>TXNM122000</v>
          </cell>
        </row>
        <row r="534">
          <cell r="C534" t="str">
            <v>TXNM122001</v>
          </cell>
        </row>
        <row r="535">
          <cell r="C535" t="str">
            <v>TXNM129750</v>
          </cell>
        </row>
        <row r="536">
          <cell r="C536" t="str">
            <v>TXNM126082</v>
          </cell>
        </row>
        <row r="537">
          <cell r="C537" t="str">
            <v>TXNM121976</v>
          </cell>
        </row>
        <row r="538">
          <cell r="C538" t="str">
            <v>TXNM125274</v>
          </cell>
        </row>
        <row r="539">
          <cell r="C539" t="str">
            <v>TXNM121983</v>
          </cell>
        </row>
        <row r="540">
          <cell r="C540" t="str">
            <v>TXNM121992</v>
          </cell>
        </row>
        <row r="541">
          <cell r="C541" t="str">
            <v>TXNM124676</v>
          </cell>
        </row>
        <row r="542">
          <cell r="C542" t="str">
            <v>TXNM125666</v>
          </cell>
        </row>
        <row r="543">
          <cell r="C543" t="str">
            <v>TXNM125667</v>
          </cell>
        </row>
        <row r="544">
          <cell r="C544" t="str">
            <v>TXNM126989</v>
          </cell>
        </row>
        <row r="545">
          <cell r="C545" t="str">
            <v>TXNM128857</v>
          </cell>
        </row>
        <row r="546">
          <cell r="C546" t="str">
            <v>TXNM120950</v>
          </cell>
        </row>
        <row r="547">
          <cell r="C547" t="str">
            <v>TXNM121974</v>
          </cell>
        </row>
        <row r="548">
          <cell r="C548" t="str">
            <v>MIES57857</v>
          </cell>
        </row>
        <row r="549">
          <cell r="C549" t="str">
            <v>MIES57860</v>
          </cell>
        </row>
        <row r="550">
          <cell r="C550" t="str">
            <v>MIES57858</v>
          </cell>
        </row>
        <row r="551">
          <cell r="C551" t="str">
            <v>MIES57859</v>
          </cell>
        </row>
        <row r="552">
          <cell r="C552" t="str">
            <v>MIES57856</v>
          </cell>
        </row>
        <row r="553">
          <cell r="C553" t="str">
            <v>MIES55474</v>
          </cell>
        </row>
        <row r="554">
          <cell r="C554" t="str">
            <v>MIES57855</v>
          </cell>
        </row>
        <row r="555">
          <cell r="C555" t="str">
            <v>MIES57854</v>
          </cell>
        </row>
        <row r="556">
          <cell r="C556" t="str">
            <v>MIES57853</v>
          </cell>
        </row>
        <row r="557">
          <cell r="C557" t="str">
            <v>MIES57852</v>
          </cell>
        </row>
        <row r="558">
          <cell r="C558" t="str">
            <v>MIES56552</v>
          </cell>
        </row>
        <row r="559">
          <cell r="C559" t="str">
            <v>MIES57852</v>
          </cell>
        </row>
        <row r="560">
          <cell r="C560" t="str">
            <v>MIES56707</v>
          </cell>
        </row>
        <row r="561">
          <cell r="C561" t="str">
            <v>MIES55508</v>
          </cell>
        </row>
        <row r="562">
          <cell r="C562" t="str">
            <v>MIES55507</v>
          </cell>
        </row>
        <row r="563">
          <cell r="C563" t="str">
            <v>MIES55506</v>
          </cell>
        </row>
        <row r="564">
          <cell r="C564" t="str">
            <v>MIES55505</v>
          </cell>
        </row>
        <row r="565">
          <cell r="C565" t="str">
            <v>MIES55504</v>
          </cell>
        </row>
        <row r="566">
          <cell r="C566" t="str">
            <v>MIES55497</v>
          </cell>
        </row>
        <row r="567">
          <cell r="C567" t="str">
            <v>MIES55496</v>
          </cell>
        </row>
        <row r="568">
          <cell r="C568" t="str">
            <v>MIES55495</v>
          </cell>
        </row>
        <row r="569">
          <cell r="C569" t="str">
            <v>MIES55494</v>
          </cell>
        </row>
        <row r="570">
          <cell r="C570" t="str">
            <v>MIES55476</v>
          </cell>
        </row>
        <row r="571">
          <cell r="C571" t="str">
            <v>MIES55695</v>
          </cell>
        </row>
        <row r="572">
          <cell r="C572" t="str">
            <v>MIES55503</v>
          </cell>
        </row>
        <row r="573">
          <cell r="C573" t="str">
            <v>MIES55502</v>
          </cell>
        </row>
        <row r="574">
          <cell r="C574" t="str">
            <v>MIES55501</v>
          </cell>
        </row>
        <row r="575">
          <cell r="C575" t="str">
            <v>MIES55500</v>
          </cell>
        </row>
        <row r="576">
          <cell r="C576" t="str">
            <v>MIES55499</v>
          </cell>
        </row>
        <row r="577">
          <cell r="C577" t="str">
            <v>MIES55498</v>
          </cell>
        </row>
        <row r="578">
          <cell r="C578" t="str">
            <v>MIES55493</v>
          </cell>
        </row>
        <row r="579">
          <cell r="C579" t="str">
            <v>MIES55492</v>
          </cell>
        </row>
        <row r="580">
          <cell r="C580" t="str">
            <v>MIES55491</v>
          </cell>
        </row>
        <row r="581">
          <cell r="C581" t="str">
            <v>MIES55490</v>
          </cell>
        </row>
        <row r="582">
          <cell r="C582" t="str">
            <v>MIES57728</v>
          </cell>
        </row>
        <row r="583">
          <cell r="C583" t="str">
            <v>LAES57720</v>
          </cell>
        </row>
        <row r="584">
          <cell r="C584" t="str">
            <v>LAES57719</v>
          </cell>
        </row>
        <row r="585">
          <cell r="C585" t="str">
            <v>LAES57718</v>
          </cell>
        </row>
        <row r="586">
          <cell r="C586" t="str">
            <v>LAES57717</v>
          </cell>
        </row>
        <row r="587">
          <cell r="C587" t="str">
            <v>LAES57716</v>
          </cell>
        </row>
        <row r="588">
          <cell r="C588" t="str">
            <v>LAES57715</v>
          </cell>
        </row>
        <row r="589">
          <cell r="C589" t="str">
            <v>LAES57714</v>
          </cell>
        </row>
        <row r="590">
          <cell r="C590" t="str">
            <v>LAES57713</v>
          </cell>
        </row>
        <row r="591">
          <cell r="C591" t="str">
            <v>LAES57712</v>
          </cell>
        </row>
        <row r="592">
          <cell r="C592" t="str">
            <v>LAES57711</v>
          </cell>
        </row>
        <row r="593">
          <cell r="C593" t="str">
            <v>LAES57701</v>
          </cell>
        </row>
        <row r="594">
          <cell r="C594" t="str">
            <v>LAES57700</v>
          </cell>
        </row>
        <row r="595">
          <cell r="C595" t="str">
            <v>LAES57575</v>
          </cell>
        </row>
        <row r="596">
          <cell r="C596" t="str">
            <v>LAES57574</v>
          </cell>
        </row>
        <row r="597">
          <cell r="C597" t="str">
            <v>LAES57573</v>
          </cell>
        </row>
        <row r="598">
          <cell r="C598" t="str">
            <v>LAES57572</v>
          </cell>
        </row>
        <row r="599">
          <cell r="C599" t="str">
            <v>LAES57571</v>
          </cell>
        </row>
        <row r="600">
          <cell r="C600" t="str">
            <v>LAES57570</v>
          </cell>
        </row>
        <row r="601">
          <cell r="C601" t="str">
            <v>LAES57569</v>
          </cell>
        </row>
        <row r="602">
          <cell r="C602" t="str">
            <v>LAES57568</v>
          </cell>
        </row>
        <row r="603">
          <cell r="C603" t="str">
            <v>LAES57567</v>
          </cell>
        </row>
        <row r="604">
          <cell r="C604" t="str">
            <v>LAES57566</v>
          </cell>
        </row>
        <row r="605">
          <cell r="C605" t="str">
            <v>LAES57565</v>
          </cell>
        </row>
        <row r="606">
          <cell r="C606" t="str">
            <v>LAES57564</v>
          </cell>
        </row>
        <row r="607">
          <cell r="C607" t="str">
            <v>LAES57563</v>
          </cell>
        </row>
        <row r="608">
          <cell r="C608" t="str">
            <v>LAES57523</v>
          </cell>
        </row>
        <row r="609">
          <cell r="C609" t="str">
            <v>LAES57532</v>
          </cell>
        </row>
        <row r="610">
          <cell r="C610" t="str">
            <v>LAES57535</v>
          </cell>
        </row>
        <row r="611">
          <cell r="C611" t="str">
            <v>LAES57531</v>
          </cell>
        </row>
        <row r="612">
          <cell r="C612" t="str">
            <v>LAES57533</v>
          </cell>
        </row>
        <row r="613">
          <cell r="C613" t="str">
            <v>LAES57529</v>
          </cell>
        </row>
        <row r="614">
          <cell r="C614" t="str">
            <v>LAES57530</v>
          </cell>
        </row>
        <row r="615">
          <cell r="C615" t="str">
            <v>LAES57527</v>
          </cell>
        </row>
        <row r="616">
          <cell r="C616" t="str">
            <v>LAES57528</v>
          </cell>
        </row>
        <row r="617">
          <cell r="C617" t="str">
            <v>LAES57524</v>
          </cell>
        </row>
        <row r="618">
          <cell r="C618" t="str">
            <v>LAES57525</v>
          </cell>
        </row>
        <row r="619">
          <cell r="C619" t="str">
            <v>LAES57522</v>
          </cell>
        </row>
        <row r="620">
          <cell r="C620" t="str">
            <v>LAES57541</v>
          </cell>
        </row>
        <row r="621">
          <cell r="C621" t="str">
            <v>LAES57540</v>
          </cell>
        </row>
        <row r="622">
          <cell r="C622" t="str">
            <v>LAES57539</v>
          </cell>
        </row>
        <row r="623">
          <cell r="C623" t="str">
            <v>LAES57538</v>
          </cell>
        </row>
        <row r="624">
          <cell r="C624" t="str">
            <v>LAES57558</v>
          </cell>
        </row>
        <row r="625">
          <cell r="C625" t="str">
            <v>LAES57559</v>
          </cell>
        </row>
        <row r="626">
          <cell r="C626" t="str">
            <v>LAES57560</v>
          </cell>
        </row>
        <row r="627">
          <cell r="C627" t="str">
            <v>LAES57554</v>
          </cell>
        </row>
        <row r="628">
          <cell r="C628" t="str">
            <v>LAES57555</v>
          </cell>
        </row>
        <row r="629">
          <cell r="C629" t="str">
            <v>LAES57557</v>
          </cell>
        </row>
        <row r="630">
          <cell r="C630" t="str">
            <v>LAES57548</v>
          </cell>
        </row>
        <row r="631">
          <cell r="C631" t="str">
            <v>LAES57553</v>
          </cell>
        </row>
        <row r="632">
          <cell r="C632" t="str">
            <v>LAES57556</v>
          </cell>
        </row>
        <row r="633">
          <cell r="C633" t="str">
            <v>LAES57549</v>
          </cell>
        </row>
        <row r="634">
          <cell r="C634" t="str">
            <v>LAES57562</v>
          </cell>
        </row>
        <row r="635">
          <cell r="C635" t="str">
            <v>LAES57552</v>
          </cell>
        </row>
        <row r="636">
          <cell r="C636" t="str">
            <v>LAES57551</v>
          </cell>
        </row>
        <row r="637">
          <cell r="C637" t="str">
            <v>LAES57550</v>
          </cell>
        </row>
        <row r="638">
          <cell r="C638" t="str">
            <v>LAES57547</v>
          </cell>
        </row>
        <row r="639">
          <cell r="C639" t="str">
            <v>LAES57546</v>
          </cell>
        </row>
        <row r="640">
          <cell r="C640" t="str">
            <v>LAES57544</v>
          </cell>
        </row>
        <row r="641">
          <cell r="C641" t="str">
            <v>LAES57545</v>
          </cell>
        </row>
        <row r="642">
          <cell r="C642" t="str">
            <v>LAES57543</v>
          </cell>
        </row>
        <row r="643">
          <cell r="C643" t="str">
            <v>LAES57536</v>
          </cell>
        </row>
        <row r="644">
          <cell r="C644" t="str">
            <v>LAES57534</v>
          </cell>
        </row>
        <row r="645">
          <cell r="C645" t="str">
            <v>LAES57537</v>
          </cell>
        </row>
        <row r="646">
          <cell r="C646" t="str">
            <v>NMNM133492</v>
          </cell>
        </row>
        <row r="647">
          <cell r="C647" t="str">
            <v>NMNM133499</v>
          </cell>
        </row>
        <row r="648">
          <cell r="C648" t="str">
            <v>NMNM133501</v>
          </cell>
        </row>
        <row r="649">
          <cell r="C649" t="str">
            <v>NMNM133502</v>
          </cell>
        </row>
        <row r="650">
          <cell r="C650" t="str">
            <v>NMNM133493</v>
          </cell>
        </row>
        <row r="651">
          <cell r="C651" t="str">
            <v>NMNM133494</v>
          </cell>
        </row>
        <row r="652">
          <cell r="C652" t="str">
            <v>MIES57818</v>
          </cell>
        </row>
        <row r="653">
          <cell r="C653" t="str">
            <v>MIES57817</v>
          </cell>
        </row>
        <row r="654">
          <cell r="C654" t="str">
            <v>MIES57816</v>
          </cell>
        </row>
        <row r="655">
          <cell r="C655" t="str">
            <v>MIES57813</v>
          </cell>
        </row>
        <row r="656">
          <cell r="C656" t="str">
            <v>MIES57812</v>
          </cell>
        </row>
        <row r="657">
          <cell r="C657" t="str">
            <v>MIES57811</v>
          </cell>
        </row>
        <row r="658">
          <cell r="C658" t="str">
            <v>MIES57808</v>
          </cell>
        </row>
        <row r="659">
          <cell r="C659" t="str">
            <v>MIES57805</v>
          </cell>
        </row>
        <row r="660">
          <cell r="C660" t="str">
            <v>MIES57804</v>
          </cell>
        </row>
        <row r="661">
          <cell r="C661" t="str">
            <v>MIES57802</v>
          </cell>
        </row>
        <row r="662">
          <cell r="C662" t="str">
            <v>MIES57800</v>
          </cell>
        </row>
        <row r="663">
          <cell r="C663" t="str">
            <v>MIES57799</v>
          </cell>
        </row>
        <row r="664">
          <cell r="C664" t="str">
            <v>MIES57798</v>
          </cell>
        </row>
        <row r="665">
          <cell r="C665" t="str">
            <v>MIES57803</v>
          </cell>
        </row>
        <row r="666">
          <cell r="C666" t="str">
            <v>OKNM124671</v>
          </cell>
        </row>
        <row r="667">
          <cell r="C667" t="str">
            <v>OKNM132418</v>
          </cell>
        </row>
        <row r="668">
          <cell r="C668" t="str">
            <v>LAES58037</v>
          </cell>
        </row>
        <row r="669">
          <cell r="C669" t="str">
            <v>LAES56534</v>
          </cell>
        </row>
        <row r="670">
          <cell r="C670" t="str">
            <v>LAES056361</v>
          </cell>
        </row>
        <row r="671">
          <cell r="C671" t="str">
            <v>LAES56677</v>
          </cell>
        </row>
        <row r="672">
          <cell r="C672" t="str">
            <v>LAES56473</v>
          </cell>
        </row>
        <row r="673">
          <cell r="C673" t="str">
            <v>LAES57459</v>
          </cell>
        </row>
        <row r="674">
          <cell r="C674" t="str">
            <v>LAES57561</v>
          </cell>
        </row>
        <row r="675">
          <cell r="C675" t="str">
            <v>LAES55332</v>
          </cell>
        </row>
        <row r="676">
          <cell r="C676" t="str">
            <v>LAES55447</v>
          </cell>
        </row>
        <row r="677">
          <cell r="C677" t="str">
            <v>LAES56548</v>
          </cell>
        </row>
        <row r="678">
          <cell r="C678" t="str">
            <v>LAES056362</v>
          </cell>
        </row>
        <row r="679">
          <cell r="C679" t="str">
            <v>LAES056364</v>
          </cell>
        </row>
        <row r="680">
          <cell r="C680" t="str">
            <v>OKNM134915</v>
          </cell>
        </row>
        <row r="681">
          <cell r="C681" t="str">
            <v>LAES56697</v>
          </cell>
        </row>
        <row r="682">
          <cell r="C682" t="str">
            <v>LAES57899</v>
          </cell>
        </row>
        <row r="683">
          <cell r="C683" t="str">
            <v>NMNM120917</v>
          </cell>
        </row>
        <row r="684">
          <cell r="C684" t="str">
            <v>NMNM121938</v>
          </cell>
        </row>
        <row r="685">
          <cell r="C685" t="str">
            <v>ALES56209</v>
          </cell>
        </row>
        <row r="686">
          <cell r="C686" t="str">
            <v>ALES56212</v>
          </cell>
        </row>
        <row r="687">
          <cell r="C687" t="str">
            <v>LAES056369</v>
          </cell>
        </row>
        <row r="688">
          <cell r="C688" t="str">
            <v>LAES056371</v>
          </cell>
        </row>
        <row r="689">
          <cell r="C689" t="str">
            <v>MSES056400</v>
          </cell>
        </row>
        <row r="690">
          <cell r="C690" t="str">
            <v>MSES056384</v>
          </cell>
        </row>
        <row r="691">
          <cell r="C691" t="str">
            <v>MSES056385</v>
          </cell>
        </row>
        <row r="692">
          <cell r="C692" t="str">
            <v>MSES056387</v>
          </cell>
        </row>
        <row r="693">
          <cell r="C693" t="str">
            <v>MSES056392</v>
          </cell>
        </row>
        <row r="694">
          <cell r="C694" t="str">
            <v>MSES056393</v>
          </cell>
        </row>
        <row r="695">
          <cell r="C695" t="str">
            <v>MSES056395</v>
          </cell>
        </row>
        <row r="696">
          <cell r="C696" t="str">
            <v>MSES056397</v>
          </cell>
        </row>
        <row r="697">
          <cell r="C697" t="str">
            <v>MSES056398</v>
          </cell>
        </row>
        <row r="698">
          <cell r="C698" t="str">
            <v>MSES056399</v>
          </cell>
        </row>
        <row r="699">
          <cell r="C699" t="str">
            <v>MSES056401</v>
          </cell>
        </row>
        <row r="700">
          <cell r="C700" t="str">
            <v>NMNM125263</v>
          </cell>
        </row>
        <row r="701">
          <cell r="C701" t="str">
            <v>LAES56464</v>
          </cell>
        </row>
        <row r="702">
          <cell r="C702" t="str">
            <v>LAES56547</v>
          </cell>
        </row>
        <row r="703">
          <cell r="C703" t="str">
            <v>LAES56546</v>
          </cell>
        </row>
        <row r="704">
          <cell r="C704" t="str">
            <v>LAES56537</v>
          </cell>
        </row>
        <row r="705">
          <cell r="C705" t="str">
            <v>LAES56538</v>
          </cell>
        </row>
        <row r="706">
          <cell r="C706" t="str">
            <v>LAES56681</v>
          </cell>
        </row>
        <row r="707">
          <cell r="C707" t="str">
            <v>LAES56682</v>
          </cell>
        </row>
        <row r="708">
          <cell r="C708" t="str">
            <v>LAES56683</v>
          </cell>
        </row>
        <row r="709">
          <cell r="C709" t="str">
            <v>LAES56684</v>
          </cell>
        </row>
        <row r="710">
          <cell r="C710" t="str">
            <v>LAES56685</v>
          </cell>
        </row>
        <row r="711">
          <cell r="C711" t="str">
            <v>LAES56686</v>
          </cell>
        </row>
        <row r="712">
          <cell r="C712" t="str">
            <v>LAES56687</v>
          </cell>
        </row>
        <row r="713">
          <cell r="C713" t="str">
            <v>LAES56688</v>
          </cell>
        </row>
        <row r="714">
          <cell r="C714" t="str">
            <v>LAES56689</v>
          </cell>
        </row>
        <row r="715">
          <cell r="C715" t="str">
            <v>LAES56690</v>
          </cell>
        </row>
        <row r="716">
          <cell r="C716" t="str">
            <v>LAES56691</v>
          </cell>
        </row>
        <row r="717">
          <cell r="C717" t="str">
            <v>LAES56692</v>
          </cell>
        </row>
        <row r="718">
          <cell r="C718" t="str">
            <v>LAES56693</v>
          </cell>
        </row>
        <row r="719">
          <cell r="C719" t="str">
            <v>LAES56694</v>
          </cell>
        </row>
        <row r="720">
          <cell r="C720" t="str">
            <v>LAES56695</v>
          </cell>
        </row>
        <row r="721">
          <cell r="C721" t="str">
            <v>LAES56696</v>
          </cell>
        </row>
        <row r="722">
          <cell r="C722" t="str">
            <v>LAES56698</v>
          </cell>
        </row>
        <row r="723">
          <cell r="C723" t="str">
            <v>LAES56699</v>
          </cell>
        </row>
        <row r="724">
          <cell r="C724" t="str">
            <v>LAES56700</v>
          </cell>
        </row>
        <row r="725">
          <cell r="C725" t="str">
            <v>LAES56701</v>
          </cell>
        </row>
        <row r="726">
          <cell r="C726" t="str">
            <v>LAES056818</v>
          </cell>
        </row>
        <row r="727">
          <cell r="C727" t="str">
            <v>LAES056819</v>
          </cell>
        </row>
        <row r="728">
          <cell r="C728" t="str">
            <v>LAES056820</v>
          </cell>
        </row>
        <row r="729">
          <cell r="C729" t="str">
            <v>LAES056821</v>
          </cell>
        </row>
        <row r="730">
          <cell r="C730" t="str">
            <v>LAES056822</v>
          </cell>
        </row>
        <row r="731">
          <cell r="C731" t="str">
            <v>LAES056823</v>
          </cell>
        </row>
        <row r="732">
          <cell r="C732" t="str">
            <v>LAES056828</v>
          </cell>
        </row>
        <row r="733">
          <cell r="C733" t="str">
            <v>LAES056829</v>
          </cell>
        </row>
        <row r="734">
          <cell r="C734" t="str">
            <v>LAES056831</v>
          </cell>
        </row>
        <row r="735">
          <cell r="C735" t="str">
            <v>LAES056832</v>
          </cell>
        </row>
        <row r="736">
          <cell r="C736" t="str">
            <v>LAES056833</v>
          </cell>
        </row>
        <row r="737">
          <cell r="C737" t="str">
            <v>MSES057017</v>
          </cell>
        </row>
        <row r="738">
          <cell r="C738" t="str">
            <v>MSES057018</v>
          </cell>
        </row>
        <row r="739">
          <cell r="C739" t="str">
            <v>MSES057019</v>
          </cell>
        </row>
        <row r="740">
          <cell r="C740" t="str">
            <v>MSES057020</v>
          </cell>
        </row>
        <row r="741">
          <cell r="C741" t="str">
            <v>MSES056963</v>
          </cell>
        </row>
        <row r="742">
          <cell r="C742" t="str">
            <v>MSES056964</v>
          </cell>
        </row>
        <row r="743">
          <cell r="C743" t="str">
            <v>MSES056969</v>
          </cell>
        </row>
        <row r="744">
          <cell r="C744" t="str">
            <v>MSES056970</v>
          </cell>
        </row>
        <row r="745">
          <cell r="C745" t="str">
            <v>MSES056971</v>
          </cell>
        </row>
        <row r="746">
          <cell r="C746" t="str">
            <v>MSES056972</v>
          </cell>
        </row>
        <row r="747">
          <cell r="C747" t="str">
            <v>MSES056973</v>
          </cell>
        </row>
        <row r="748">
          <cell r="C748" t="str">
            <v>MSES056974</v>
          </cell>
        </row>
        <row r="749">
          <cell r="C749" t="str">
            <v>MSES056976</v>
          </cell>
        </row>
        <row r="750">
          <cell r="C750" t="str">
            <v>MSES056977</v>
          </cell>
        </row>
        <row r="751">
          <cell r="C751" t="str">
            <v>MSES056980</v>
          </cell>
        </row>
        <row r="752">
          <cell r="C752" t="str">
            <v>MSES056981</v>
          </cell>
        </row>
        <row r="753">
          <cell r="C753" t="str">
            <v>MSES057047</v>
          </cell>
        </row>
        <row r="754">
          <cell r="C754" t="str">
            <v>MSES057015</v>
          </cell>
        </row>
        <row r="755">
          <cell r="C755" t="str">
            <v>MSES057112</v>
          </cell>
        </row>
        <row r="756">
          <cell r="C756" t="str">
            <v>MSES057113</v>
          </cell>
        </row>
        <row r="757">
          <cell r="C757" t="str">
            <v>MSES057114</v>
          </cell>
        </row>
        <row r="758">
          <cell r="C758" t="str">
            <v>MSES057120</v>
          </cell>
        </row>
        <row r="759">
          <cell r="C759" t="str">
            <v>MSES057128</v>
          </cell>
        </row>
        <row r="760">
          <cell r="C760" t="str">
            <v>MSES057137</v>
          </cell>
        </row>
        <row r="761">
          <cell r="C761" t="str">
            <v>MSES057267</v>
          </cell>
        </row>
        <row r="762">
          <cell r="C762" t="str">
            <v>LAES57205</v>
          </cell>
        </row>
        <row r="763">
          <cell r="C763" t="str">
            <v>TXNM125272</v>
          </cell>
        </row>
        <row r="764">
          <cell r="C764" t="str">
            <v>TXNM125273</v>
          </cell>
        </row>
        <row r="765">
          <cell r="C765" t="str">
            <v>TXNM126988</v>
          </cell>
        </row>
        <row r="766">
          <cell r="C766" t="str">
            <v>TXNM121523</v>
          </cell>
        </row>
        <row r="767">
          <cell r="C767" t="str">
            <v>TXNM121524</v>
          </cell>
        </row>
        <row r="768">
          <cell r="C768" t="str">
            <v>TXNM121526</v>
          </cell>
        </row>
        <row r="769">
          <cell r="C769" t="str">
            <v>TXNM121528</v>
          </cell>
        </row>
        <row r="770">
          <cell r="C770" t="str">
            <v>TXNM121529</v>
          </cell>
        </row>
        <row r="771">
          <cell r="C771" t="str">
            <v>TXNM121530</v>
          </cell>
        </row>
        <row r="772">
          <cell r="C772" t="str">
            <v>TXNM121531</v>
          </cell>
        </row>
        <row r="773">
          <cell r="C773" t="str">
            <v>TXNM121527</v>
          </cell>
        </row>
        <row r="774">
          <cell r="C774" t="str">
            <v>TXNM121532</v>
          </cell>
        </row>
        <row r="775">
          <cell r="C775" t="str">
            <v>TXNM121990</v>
          </cell>
        </row>
        <row r="776">
          <cell r="C776" t="str">
            <v>TXNM129772</v>
          </cell>
        </row>
        <row r="777">
          <cell r="C777" t="str">
            <v>TXNM129770</v>
          </cell>
        </row>
        <row r="778">
          <cell r="C778" t="str">
            <v>TXNM125276</v>
          </cell>
        </row>
        <row r="779">
          <cell r="C779" t="str">
            <v>LAES57204</v>
          </cell>
        </row>
        <row r="780">
          <cell r="C780" t="str">
            <v>LAES57206</v>
          </cell>
        </row>
        <row r="781">
          <cell r="C781" t="str">
            <v>MSES57230</v>
          </cell>
        </row>
        <row r="782">
          <cell r="C782" t="str">
            <v>MSES57232</v>
          </cell>
        </row>
        <row r="783">
          <cell r="C783" t="str">
            <v>MSES57233</v>
          </cell>
        </row>
        <row r="784">
          <cell r="C784" t="str">
            <v>MSES57234</v>
          </cell>
        </row>
        <row r="785">
          <cell r="C785" t="str">
            <v>MSES57235</v>
          </cell>
        </row>
        <row r="786">
          <cell r="C786" t="str">
            <v>MSES57231</v>
          </cell>
        </row>
        <row r="787">
          <cell r="C787" t="str">
            <v>LAES57339</v>
          </cell>
        </row>
        <row r="788">
          <cell r="C788" t="str">
            <v>MSES57368</v>
          </cell>
        </row>
        <row r="789">
          <cell r="C789" t="str">
            <v>MSES57369</v>
          </cell>
        </row>
        <row r="790">
          <cell r="C790" t="str">
            <v>MSES57370</v>
          </cell>
        </row>
        <row r="791">
          <cell r="C791" t="str">
            <v>MSES57371</v>
          </cell>
        </row>
        <row r="792">
          <cell r="C792" t="str">
            <v>MSES57373</v>
          </cell>
        </row>
        <row r="793">
          <cell r="C793" t="str">
            <v>MSES57385</v>
          </cell>
        </row>
        <row r="794">
          <cell r="C794" t="str">
            <v>MSES57386</v>
          </cell>
        </row>
        <row r="795">
          <cell r="C795" t="str">
            <v>LAES57472</v>
          </cell>
        </row>
        <row r="796">
          <cell r="C796" t="str">
            <v>LAES57473</v>
          </cell>
        </row>
        <row r="797">
          <cell r="C797" t="str">
            <v>LAES57474</v>
          </cell>
        </row>
        <row r="798">
          <cell r="C798" t="str">
            <v>MSES57583</v>
          </cell>
        </row>
        <row r="799">
          <cell r="C799" t="str">
            <v>MSES57584</v>
          </cell>
        </row>
        <row r="800">
          <cell r="C800" t="str">
            <v>MSES57748</v>
          </cell>
        </row>
        <row r="801">
          <cell r="C801" t="str">
            <v>MSES57745</v>
          </cell>
        </row>
        <row r="802">
          <cell r="C802" t="str">
            <v>MSES57746</v>
          </cell>
        </row>
        <row r="803">
          <cell r="C803" t="str">
            <v>MSES57747</v>
          </cell>
        </row>
        <row r="804">
          <cell r="C804" t="str">
            <v>MSES57753</v>
          </cell>
        </row>
        <row r="805">
          <cell r="C805" t="str">
            <v>MSES57754</v>
          </cell>
        </row>
        <row r="806">
          <cell r="C806" t="str">
            <v>MSES57734</v>
          </cell>
        </row>
        <row r="807">
          <cell r="C807" t="str">
            <v>MSES57735</v>
          </cell>
        </row>
        <row r="808">
          <cell r="C808" t="str">
            <v>MSES57739</v>
          </cell>
        </row>
        <row r="809">
          <cell r="C809" t="str">
            <v>MSES57742</v>
          </cell>
        </row>
        <row r="810">
          <cell r="C810" t="str">
            <v>MSES57750</v>
          </cell>
        </row>
        <row r="811">
          <cell r="C811" t="str">
            <v>MIES58072</v>
          </cell>
        </row>
        <row r="812">
          <cell r="C812" t="str">
            <v>MIES58071</v>
          </cell>
        </row>
        <row r="813">
          <cell r="C813" t="str">
            <v>MIES58070</v>
          </cell>
        </row>
        <row r="814">
          <cell r="C814" t="str">
            <v>MIES58069</v>
          </cell>
        </row>
        <row r="815">
          <cell r="C815" t="str">
            <v>MIES58068</v>
          </cell>
        </row>
        <row r="816">
          <cell r="C816" t="str">
            <v>MSES57822</v>
          </cell>
        </row>
        <row r="817">
          <cell r="C817" t="str">
            <v>ALES57967</v>
          </cell>
        </row>
        <row r="818">
          <cell r="C818" t="str">
            <v>ARES58000</v>
          </cell>
        </row>
        <row r="819">
          <cell r="C819" t="str">
            <v>MIES57801</v>
          </cell>
        </row>
        <row r="820">
          <cell r="C820" t="str">
            <v>MIES58042</v>
          </cell>
        </row>
        <row r="821">
          <cell r="C821" t="str">
            <v>MIES58039</v>
          </cell>
        </row>
        <row r="822">
          <cell r="C822" t="str">
            <v>MIES58040</v>
          </cell>
        </row>
        <row r="823">
          <cell r="C823" t="str">
            <v>MIES58041</v>
          </cell>
        </row>
        <row r="824">
          <cell r="C824" t="str">
            <v>MIES58043</v>
          </cell>
        </row>
        <row r="825">
          <cell r="C825" t="str">
            <v>MIES58044</v>
          </cell>
        </row>
        <row r="826">
          <cell r="C826" t="str">
            <v>MIES58045</v>
          </cell>
        </row>
        <row r="827">
          <cell r="C827" t="str">
            <v>MIES58047</v>
          </cell>
        </row>
        <row r="828">
          <cell r="C828" t="str">
            <v>MIES58048</v>
          </cell>
        </row>
        <row r="829">
          <cell r="C829" t="str">
            <v>MIES58049</v>
          </cell>
        </row>
        <row r="830">
          <cell r="C830" t="str">
            <v>MIES58050</v>
          </cell>
        </row>
        <row r="831">
          <cell r="C831" t="str">
            <v>MIES58066</v>
          </cell>
        </row>
        <row r="832">
          <cell r="C832" t="str">
            <v>MIES58060</v>
          </cell>
        </row>
        <row r="833">
          <cell r="C833" t="str">
            <v>MIES58046</v>
          </cell>
        </row>
        <row r="834">
          <cell r="C834" t="str">
            <v>MIES58051</v>
          </cell>
        </row>
        <row r="835">
          <cell r="C835" t="str">
            <v>MIES58052</v>
          </cell>
        </row>
        <row r="836">
          <cell r="C836" t="str">
            <v>MIES58067</v>
          </cell>
        </row>
        <row r="837">
          <cell r="C837" t="str">
            <v>MIES58064</v>
          </cell>
        </row>
        <row r="838">
          <cell r="C838" t="str">
            <v>MIES58063</v>
          </cell>
        </row>
        <row r="839">
          <cell r="C839" t="str">
            <v>MIES58062</v>
          </cell>
        </row>
        <row r="840">
          <cell r="C840" t="str">
            <v>MIES58061</v>
          </cell>
        </row>
        <row r="841">
          <cell r="C841" t="str">
            <v>MIES58059</v>
          </cell>
        </row>
        <row r="842">
          <cell r="C842" t="str">
            <v>MIES58058</v>
          </cell>
        </row>
        <row r="843">
          <cell r="C843" t="str">
            <v>MIES58057</v>
          </cell>
        </row>
        <row r="844">
          <cell r="C844" t="str">
            <v>MIES58065</v>
          </cell>
        </row>
        <row r="845">
          <cell r="C845" t="str">
            <v>MIES58056</v>
          </cell>
        </row>
        <row r="846">
          <cell r="C846" t="str">
            <v>MIES58055</v>
          </cell>
        </row>
        <row r="847">
          <cell r="C847" t="str">
            <v>MIES58054</v>
          </cell>
        </row>
        <row r="848">
          <cell r="C848" t="str">
            <v>MIES58053</v>
          </cell>
        </row>
        <row r="849">
          <cell r="C849" t="str">
            <v>LAES57304</v>
          </cell>
        </row>
        <row r="850">
          <cell r="C850" t="str">
            <v>MSES57372</v>
          </cell>
        </row>
        <row r="851">
          <cell r="C851" t="str">
            <v>MSES57585</v>
          </cell>
        </row>
        <row r="852">
          <cell r="C852" t="str">
            <v>MSES57586</v>
          </cell>
        </row>
        <row r="853">
          <cell r="C853" t="str">
            <v>MSES57587</v>
          </cell>
        </row>
        <row r="854">
          <cell r="C854" t="str">
            <v>LAES58038</v>
          </cell>
        </row>
        <row r="855">
          <cell r="C855" t="str">
            <v>NMNM134892</v>
          </cell>
        </row>
        <row r="856">
          <cell r="C856" t="str">
            <v>NMNM134889</v>
          </cell>
        </row>
        <row r="857">
          <cell r="C857" t="str">
            <v>LAES58004</v>
          </cell>
        </row>
        <row r="858">
          <cell r="C858" t="str">
            <v>LAES58002</v>
          </cell>
        </row>
        <row r="859">
          <cell r="C859" t="str">
            <v>LAES58003</v>
          </cell>
        </row>
        <row r="860">
          <cell r="C860" t="str">
            <v>LAES57896</v>
          </cell>
        </row>
        <row r="861">
          <cell r="C861" t="str">
            <v>LAES57696</v>
          </cell>
        </row>
        <row r="862">
          <cell r="C862" t="str">
            <v>LAES57721</v>
          </cell>
        </row>
        <row r="863">
          <cell r="C863" t="str">
            <v>MSES57736</v>
          </cell>
        </row>
        <row r="864">
          <cell r="C864" t="str">
            <v>MSES57738</v>
          </cell>
        </row>
        <row r="865">
          <cell r="C865" t="str">
            <v>MSES57740</v>
          </cell>
        </row>
        <row r="866">
          <cell r="C866" t="str">
            <v>MSES57741</v>
          </cell>
        </row>
        <row r="867">
          <cell r="C867" t="str">
            <v>MSES57744</v>
          </cell>
        </row>
        <row r="868">
          <cell r="C868" t="str">
            <v>MSES57749</v>
          </cell>
        </row>
        <row r="869">
          <cell r="C869" t="str">
            <v>MSES57751</v>
          </cell>
        </row>
        <row r="870">
          <cell r="C870" t="str">
            <v>MSES57752</v>
          </cell>
        </row>
        <row r="871">
          <cell r="C871" t="str">
            <v>ALES57888</v>
          </cell>
        </row>
        <row r="872">
          <cell r="C872" t="str">
            <v>LAES57846</v>
          </cell>
        </row>
        <row r="873">
          <cell r="C873" t="str">
            <v>LAES57847</v>
          </cell>
        </row>
        <row r="874">
          <cell r="C874" t="str">
            <v>LAES57848</v>
          </cell>
        </row>
        <row r="875">
          <cell r="C875" t="str">
            <v>LAES57849</v>
          </cell>
        </row>
        <row r="876">
          <cell r="C876" t="str">
            <v>LAES57850</v>
          </cell>
        </row>
        <row r="877">
          <cell r="C877" t="str">
            <v>LAES57898</v>
          </cell>
        </row>
        <row r="878">
          <cell r="C878" t="str">
            <v>LAES57906</v>
          </cell>
        </row>
        <row r="879">
          <cell r="C879" t="str">
            <v>LAES57542</v>
          </cell>
        </row>
        <row r="880">
          <cell r="C880" t="str">
            <v>PAES58008</v>
          </cell>
        </row>
        <row r="881">
          <cell r="C881" t="str">
            <v>PAES58007</v>
          </cell>
        </row>
        <row r="882">
          <cell r="C882" t="str">
            <v>PAES58009</v>
          </cell>
        </row>
        <row r="883">
          <cell r="C883" t="str">
            <v>PAES58006</v>
          </cell>
        </row>
        <row r="884">
          <cell r="C884" t="str">
            <v>PAES58010</v>
          </cell>
        </row>
        <row r="885">
          <cell r="C885" t="str">
            <v>ALES57845</v>
          </cell>
        </row>
        <row r="886">
          <cell r="C886" t="str">
            <v>ALES57966</v>
          </cell>
        </row>
        <row r="887">
          <cell r="C887" t="str">
            <v>WYW186292</v>
          </cell>
        </row>
        <row r="888">
          <cell r="C888" t="str">
            <v>WYW186293</v>
          </cell>
        </row>
        <row r="889">
          <cell r="C889" t="str">
            <v>TXNM137113</v>
          </cell>
        </row>
        <row r="890">
          <cell r="C890" t="str">
            <v>TXNM137114</v>
          </cell>
        </row>
        <row r="891">
          <cell r="C891" t="str">
            <v>TXNM137115</v>
          </cell>
        </row>
        <row r="892">
          <cell r="C892" t="str">
            <v>OKNM137105</v>
          </cell>
        </row>
        <row r="893">
          <cell r="C893" t="str">
            <v>NMNM 137436</v>
          </cell>
        </row>
        <row r="894">
          <cell r="C894" t="str">
            <v>NMNM 137450</v>
          </cell>
        </row>
        <row r="895">
          <cell r="C895" t="str">
            <v>NMNM 137451</v>
          </cell>
        </row>
        <row r="896">
          <cell r="C896" t="str">
            <v>NMNM 137452</v>
          </cell>
        </row>
        <row r="897">
          <cell r="C897" t="str">
            <v>NMNM 137456</v>
          </cell>
        </row>
        <row r="898">
          <cell r="C898" t="str">
            <v>NMNM 137478</v>
          </cell>
        </row>
        <row r="899">
          <cell r="C899" t="str">
            <v>NMNM 137479</v>
          </cell>
        </row>
        <row r="900">
          <cell r="C900" t="str">
            <v>NMNM 137480</v>
          </cell>
        </row>
        <row r="901">
          <cell r="C901" t="str">
            <v>NMNM 137482</v>
          </cell>
        </row>
        <row r="902">
          <cell r="C902" t="str">
            <v>NMNM 137483</v>
          </cell>
        </row>
        <row r="903">
          <cell r="C903" t="str">
            <v>NMNM 137484</v>
          </cell>
        </row>
        <row r="904">
          <cell r="C904" t="str">
            <v>OKNM137206</v>
          </cell>
        </row>
        <row r="905">
          <cell r="C905" t="str">
            <v>NDM110663</v>
          </cell>
        </row>
        <row r="906">
          <cell r="C906" t="str">
            <v>NDM110665</v>
          </cell>
        </row>
        <row r="907">
          <cell r="C907" t="str">
            <v>NDM110666</v>
          </cell>
        </row>
        <row r="908">
          <cell r="C908" t="str">
            <v>NDM110667</v>
          </cell>
        </row>
        <row r="909">
          <cell r="C909" t="str">
            <v>NDM110668</v>
          </cell>
        </row>
        <row r="910">
          <cell r="C910" t="str">
            <v>NDM110669</v>
          </cell>
        </row>
        <row r="911">
          <cell r="C911" t="str">
            <v>NDM110670</v>
          </cell>
        </row>
        <row r="912">
          <cell r="C912" t="str">
            <v>NDM110671</v>
          </cell>
        </row>
        <row r="913">
          <cell r="C913" t="str">
            <v>NDM110672</v>
          </cell>
        </row>
        <row r="914">
          <cell r="C914" t="str">
            <v>NDM110673</v>
          </cell>
        </row>
        <row r="915">
          <cell r="C915" t="str">
            <v>NDM110675</v>
          </cell>
        </row>
        <row r="916">
          <cell r="C916" t="str">
            <v>NDM110676</v>
          </cell>
        </row>
        <row r="917">
          <cell r="C917" t="str">
            <v>NDM110677</v>
          </cell>
        </row>
        <row r="918">
          <cell r="C918" t="str">
            <v>NDM110679</v>
          </cell>
        </row>
        <row r="919">
          <cell r="C919" t="str">
            <v>NDM110683</v>
          </cell>
        </row>
        <row r="920">
          <cell r="C920" t="str">
            <v>SDM110685</v>
          </cell>
        </row>
        <row r="921">
          <cell r="C921" t="str">
            <v>SDM110686</v>
          </cell>
        </row>
        <row r="922">
          <cell r="C922" t="str">
            <v>SDM110687</v>
          </cell>
        </row>
        <row r="923">
          <cell r="C923" t="str">
            <v>ARES059333</v>
          </cell>
        </row>
        <row r="924">
          <cell r="C924" t="str">
            <v>ARES059334</v>
          </cell>
        </row>
        <row r="925">
          <cell r="C925" t="str">
            <v>ARES059335</v>
          </cell>
        </row>
        <row r="926">
          <cell r="C926" t="str">
            <v>ARES059336</v>
          </cell>
        </row>
        <row r="927">
          <cell r="C927" t="str">
            <v>ARES059337</v>
          </cell>
        </row>
        <row r="928">
          <cell r="C928" t="str">
            <v>ARES059346</v>
          </cell>
        </row>
        <row r="929">
          <cell r="C929" t="str">
            <v>ARES059347</v>
          </cell>
        </row>
        <row r="930">
          <cell r="C930" t="str">
            <v>ARES059348</v>
          </cell>
        </row>
        <row r="931">
          <cell r="C931" t="str">
            <v>MIES059338</v>
          </cell>
        </row>
        <row r="932">
          <cell r="C932" t="str">
            <v>MIES059339</v>
          </cell>
        </row>
        <row r="933">
          <cell r="C933" t="str">
            <v>MIES059340</v>
          </cell>
        </row>
        <row r="934">
          <cell r="C934" t="str">
            <v>MIES059341</v>
          </cell>
        </row>
        <row r="935">
          <cell r="C935" t="str">
            <v>MIES059349</v>
          </cell>
        </row>
        <row r="936">
          <cell r="C936" t="str">
            <v>MIES059351</v>
          </cell>
        </row>
        <row r="937">
          <cell r="C937" t="str">
            <v>MIES059352</v>
          </cell>
        </row>
        <row r="938">
          <cell r="C938" t="str">
            <v>MIES059353</v>
          </cell>
        </row>
        <row r="939">
          <cell r="C939" t="str">
            <v>ARES58035</v>
          </cell>
        </row>
        <row r="940">
          <cell r="C940" t="str">
            <v>NMNM138869</v>
          </cell>
        </row>
        <row r="941">
          <cell r="C941" t="str">
            <v>NMNM138870</v>
          </cell>
        </row>
        <row r="942">
          <cell r="C942" t="str">
            <v>NMNM138882</v>
          </cell>
        </row>
        <row r="943">
          <cell r="C943" t="str">
            <v>NMNM138883</v>
          </cell>
        </row>
        <row r="944">
          <cell r="C944" t="str">
            <v>NMNM138906</v>
          </cell>
        </row>
        <row r="945">
          <cell r="C945" t="str">
            <v>NMNM138907</v>
          </cell>
        </row>
        <row r="946">
          <cell r="C946" t="str">
            <v>NMNM138921</v>
          </cell>
        </row>
        <row r="947">
          <cell r="C947" t="str">
            <v>NMNM138928</v>
          </cell>
        </row>
        <row r="948">
          <cell r="C948" t="str">
            <v>UTU93534</v>
          </cell>
        </row>
        <row r="949">
          <cell r="C949" t="str">
            <v>NDM101156</v>
          </cell>
        </row>
        <row r="950">
          <cell r="C950" t="str">
            <v>NDM101159</v>
          </cell>
        </row>
        <row r="951">
          <cell r="C951" t="str">
            <v>NDM101160</v>
          </cell>
        </row>
        <row r="952">
          <cell r="C952" t="str">
            <v>NDM101164</v>
          </cell>
        </row>
        <row r="953">
          <cell r="C953" t="str">
            <v>NDM101166</v>
          </cell>
        </row>
        <row r="954">
          <cell r="C954" t="str">
            <v>NDM101169</v>
          </cell>
        </row>
        <row r="955">
          <cell r="C955" t="str">
            <v>NDM101172</v>
          </cell>
        </row>
        <row r="956">
          <cell r="C956" t="str">
            <v>NDM101173</v>
          </cell>
        </row>
        <row r="957">
          <cell r="C957" t="str">
            <v>NDM101180</v>
          </cell>
        </row>
        <row r="958">
          <cell r="C958" t="str">
            <v>MTM101455</v>
          </cell>
        </row>
        <row r="959">
          <cell r="C959" t="str">
            <v>MTM101456</v>
          </cell>
        </row>
        <row r="960">
          <cell r="C960" t="str">
            <v>MTM101458</v>
          </cell>
        </row>
        <row r="961">
          <cell r="C961" t="str">
            <v>MTM101464</v>
          </cell>
        </row>
        <row r="962">
          <cell r="C962" t="str">
            <v>MTM101465</v>
          </cell>
        </row>
        <row r="963">
          <cell r="C963" t="str">
            <v>MTM101475</v>
          </cell>
        </row>
        <row r="964">
          <cell r="C964" t="str">
            <v>MTM101477</v>
          </cell>
        </row>
        <row r="965">
          <cell r="C965" t="str">
            <v>NDM101479</v>
          </cell>
        </row>
        <row r="966">
          <cell r="C966" t="str">
            <v>NDM102132</v>
          </cell>
        </row>
        <row r="967">
          <cell r="C967" t="str">
            <v>NDM102136</v>
          </cell>
        </row>
        <row r="968">
          <cell r="C968" t="str">
            <v>NDM102130</v>
          </cell>
        </row>
        <row r="969">
          <cell r="C969" t="str">
            <v>SDM102222</v>
          </cell>
        </row>
        <row r="970">
          <cell r="C970" t="str">
            <v>SDM102219</v>
          </cell>
        </row>
        <row r="971">
          <cell r="C971" t="str">
            <v>SDM102226</v>
          </cell>
        </row>
        <row r="972">
          <cell r="C972" t="str">
            <v>SDM102664</v>
          </cell>
        </row>
        <row r="973">
          <cell r="C973" t="str">
            <v>SDM103746</v>
          </cell>
        </row>
        <row r="974">
          <cell r="C974" t="str">
            <v>SDM103748</v>
          </cell>
        </row>
        <row r="975">
          <cell r="C975" t="str">
            <v>SDM103750</v>
          </cell>
        </row>
        <row r="976">
          <cell r="C976" t="str">
            <v>SDM103751</v>
          </cell>
        </row>
        <row r="977">
          <cell r="C977" t="str">
            <v>SDM103758</v>
          </cell>
        </row>
        <row r="978">
          <cell r="C978" t="str">
            <v>SDM103761</v>
          </cell>
        </row>
        <row r="979">
          <cell r="C979" t="str">
            <v>SDM103770</v>
          </cell>
        </row>
        <row r="980">
          <cell r="C980" t="str">
            <v>SDM103773</v>
          </cell>
        </row>
        <row r="981">
          <cell r="C981" t="str">
            <v>NDM102137</v>
          </cell>
        </row>
        <row r="982">
          <cell r="C982" t="str">
            <v>NDM102126</v>
          </cell>
        </row>
        <row r="983">
          <cell r="C983" t="str">
            <v>NDM102144</v>
          </cell>
        </row>
        <row r="984">
          <cell r="C984" t="str">
            <v>NDM102947</v>
          </cell>
        </row>
        <row r="985">
          <cell r="C985" t="str">
            <v>NDM103694</v>
          </cell>
        </row>
        <row r="986">
          <cell r="C986" t="str">
            <v>NDM103695</v>
          </cell>
        </row>
        <row r="987">
          <cell r="C987" t="str">
            <v>NDM103703</v>
          </cell>
        </row>
        <row r="988">
          <cell r="C988" t="str">
            <v>MTM103416</v>
          </cell>
        </row>
        <row r="989">
          <cell r="C989" t="str">
            <v>MTM103417</v>
          </cell>
        </row>
        <row r="990">
          <cell r="C990" t="str">
            <v>MTM103418</v>
          </cell>
        </row>
        <row r="991">
          <cell r="C991" t="str">
            <v>MTM103419</v>
          </cell>
        </row>
        <row r="992">
          <cell r="C992" t="str">
            <v>MTM103420</v>
          </cell>
        </row>
        <row r="993">
          <cell r="C993" t="str">
            <v>MTM103421</v>
          </cell>
        </row>
        <row r="994">
          <cell r="C994" t="str">
            <v>MTM103422</v>
          </cell>
        </row>
        <row r="995">
          <cell r="C995" t="str">
            <v>MTM102588</v>
          </cell>
        </row>
        <row r="996">
          <cell r="C996" t="str">
            <v>MTM102594</v>
          </cell>
        </row>
        <row r="997">
          <cell r="C997" t="str">
            <v>MTM102595</v>
          </cell>
        </row>
        <row r="998">
          <cell r="C998" t="str">
            <v>MTM102603</v>
          </cell>
        </row>
        <row r="999">
          <cell r="C999" t="str">
            <v>MTM102596</v>
          </cell>
        </row>
        <row r="1000">
          <cell r="C1000" t="str">
            <v>MTM102600</v>
          </cell>
        </row>
        <row r="1001">
          <cell r="C1001" t="str">
            <v>MTM102599</v>
          </cell>
        </row>
        <row r="1002">
          <cell r="C1002" t="str">
            <v>MTM102598</v>
          </cell>
        </row>
        <row r="1003">
          <cell r="C1003" t="str">
            <v>MTM102601</v>
          </cell>
        </row>
        <row r="1004">
          <cell r="C1004" t="str">
            <v>MTM102590</v>
          </cell>
        </row>
        <row r="1005">
          <cell r="C1005" t="str">
            <v>MTM102592</v>
          </cell>
        </row>
        <row r="1006">
          <cell r="C1006" t="str">
            <v>MTM102593</v>
          </cell>
        </row>
        <row r="1007">
          <cell r="C1007" t="str">
            <v>MTM102597</v>
          </cell>
        </row>
        <row r="1008">
          <cell r="C1008" t="str">
            <v>MTM101457</v>
          </cell>
        </row>
        <row r="1009">
          <cell r="C1009" t="str">
            <v>MTM101466</v>
          </cell>
        </row>
        <row r="1010">
          <cell r="C1010" t="str">
            <v>MTM101460</v>
          </cell>
        </row>
        <row r="1011">
          <cell r="C1011" t="str">
            <v>MTM101461</v>
          </cell>
        </row>
        <row r="1012">
          <cell r="C1012" t="str">
            <v>MTM101463</v>
          </cell>
        </row>
        <row r="1013">
          <cell r="C1013" t="str">
            <v>MTM101462</v>
          </cell>
        </row>
        <row r="1014">
          <cell r="C1014" t="str">
            <v>MTM101471</v>
          </cell>
        </row>
        <row r="1015">
          <cell r="C1015" t="str">
            <v>NDM101161</v>
          </cell>
        </row>
        <row r="1016">
          <cell r="C1016" t="str">
            <v>NDM101162</v>
          </cell>
        </row>
        <row r="1017">
          <cell r="C1017" t="str">
            <v>NDM101165</v>
          </cell>
        </row>
        <row r="1018">
          <cell r="C1018" t="str">
            <v>NDM101174</v>
          </cell>
        </row>
        <row r="1019">
          <cell r="C1019" t="str">
            <v>NDM101167</v>
          </cell>
        </row>
        <row r="1020">
          <cell r="C1020" t="str">
            <v>NDM102136</v>
          </cell>
        </row>
        <row r="1021">
          <cell r="C1021" t="str">
            <v>SDM102228</v>
          </cell>
        </row>
        <row r="1022">
          <cell r="C1022" t="str">
            <v>SDM102231</v>
          </cell>
        </row>
        <row r="1023">
          <cell r="C1023" t="str">
            <v>NDM102131</v>
          </cell>
        </row>
        <row r="1024">
          <cell r="C1024" t="str">
            <v>ALES55549</v>
          </cell>
        </row>
        <row r="1025">
          <cell r="C1025" t="str">
            <v>ALES55550</v>
          </cell>
        </row>
        <row r="1026">
          <cell r="C1026" t="str">
            <v>ALES55552</v>
          </cell>
        </row>
        <row r="1027">
          <cell r="C1027" t="str">
            <v>ALES55553</v>
          </cell>
        </row>
        <row r="1028">
          <cell r="C1028" t="str">
            <v>ALES55554</v>
          </cell>
        </row>
        <row r="1029">
          <cell r="C1029" t="str">
            <v>ALES55555</v>
          </cell>
        </row>
        <row r="1030">
          <cell r="C1030" t="str">
            <v>LAES53363</v>
          </cell>
        </row>
        <row r="1031">
          <cell r="C1031" t="str">
            <v>LAES56545</v>
          </cell>
        </row>
        <row r="1032">
          <cell r="C1032" t="str">
            <v>MIES56553</v>
          </cell>
        </row>
        <row r="1033">
          <cell r="C1033" t="str">
            <v>LAES57692</v>
          </cell>
        </row>
        <row r="1034">
          <cell r="C1034" t="str">
            <v>LAES57773</v>
          </cell>
        </row>
        <row r="1035">
          <cell r="C1035" t="str">
            <v>ARES57930</v>
          </cell>
        </row>
        <row r="1036">
          <cell r="C1036" t="str">
            <v>ARES57931</v>
          </cell>
        </row>
        <row r="1037">
          <cell r="C1037" t="str">
            <v>ARES57932</v>
          </cell>
        </row>
        <row r="1038">
          <cell r="C1038" t="str">
            <v>ARES57933</v>
          </cell>
        </row>
        <row r="1039">
          <cell r="C1039" t="str">
            <v>ARES57934</v>
          </cell>
        </row>
        <row r="1040">
          <cell r="C1040" t="str">
            <v>LAES57935</v>
          </cell>
        </row>
        <row r="1041">
          <cell r="C1041" t="str">
            <v>MSES58149</v>
          </cell>
        </row>
        <row r="1042">
          <cell r="C1042" t="str">
            <v>MSES58150</v>
          </cell>
        </row>
        <row r="1043">
          <cell r="C1043" t="str">
            <v>MSES58151</v>
          </cell>
        </row>
        <row r="1044">
          <cell r="C1044" t="str">
            <v>MSES58152</v>
          </cell>
        </row>
        <row r="1045">
          <cell r="C1045" t="str">
            <v>MSES58153</v>
          </cell>
        </row>
        <row r="1046">
          <cell r="C1046" t="str">
            <v>MSES58154</v>
          </cell>
        </row>
        <row r="1047">
          <cell r="C1047" t="str">
            <v>MSES58155</v>
          </cell>
        </row>
        <row r="1048">
          <cell r="C1048" t="str">
            <v>MSES58156</v>
          </cell>
        </row>
        <row r="1049">
          <cell r="C1049" t="str">
            <v>MSES58157</v>
          </cell>
        </row>
        <row r="1050">
          <cell r="C1050" t="str">
            <v>MSES58158</v>
          </cell>
        </row>
        <row r="1051">
          <cell r="C1051" t="str">
            <v>MSES58159</v>
          </cell>
        </row>
        <row r="1052">
          <cell r="C1052" t="str">
            <v>MSES58160</v>
          </cell>
        </row>
        <row r="1053">
          <cell r="C1053" t="str">
            <v>MSES58161</v>
          </cell>
        </row>
        <row r="1054">
          <cell r="C1054" t="str">
            <v>MSES58184</v>
          </cell>
        </row>
        <row r="1055">
          <cell r="C1055" t="str">
            <v>NVN95160</v>
          </cell>
        </row>
        <row r="1056">
          <cell r="C1056" t="str">
            <v>NVN95161</v>
          </cell>
        </row>
        <row r="1057">
          <cell r="C1057" t="str">
            <v>MTM109204</v>
          </cell>
        </row>
        <row r="1058">
          <cell r="C1058" t="str">
            <v>MTM109205</v>
          </cell>
        </row>
        <row r="1059">
          <cell r="C1059" t="str">
            <v>MTM109206</v>
          </cell>
        </row>
        <row r="1060">
          <cell r="C1060" t="str">
            <v>MTM109207</v>
          </cell>
        </row>
        <row r="1061">
          <cell r="C1061" t="str">
            <v>MTM109323</v>
          </cell>
        </row>
        <row r="1062">
          <cell r="C1062" t="str">
            <v>MTM109324</v>
          </cell>
        </row>
        <row r="1063">
          <cell r="C1063" t="str">
            <v>MTM109325</v>
          </cell>
        </row>
        <row r="1064">
          <cell r="C1064" t="str">
            <v>MTM109326</v>
          </cell>
        </row>
        <row r="1065">
          <cell r="C1065" t="str">
            <v>MTM109327</v>
          </cell>
        </row>
        <row r="1066">
          <cell r="C1066" t="str">
            <v>MTM109328</v>
          </cell>
        </row>
        <row r="1067">
          <cell r="C1067" t="str">
            <v>MTM109357</v>
          </cell>
        </row>
        <row r="1068">
          <cell r="C1068" t="str">
            <v>MTM109359</v>
          </cell>
        </row>
        <row r="1069">
          <cell r="C1069" t="str">
            <v>KYES58148</v>
          </cell>
        </row>
        <row r="1070">
          <cell r="C1070" t="str">
            <v>COC78348</v>
          </cell>
        </row>
        <row r="1071">
          <cell r="C1071" t="str">
            <v>COC78351</v>
          </cell>
        </row>
        <row r="1072">
          <cell r="C1072" t="str">
            <v>COC78355</v>
          </cell>
        </row>
        <row r="1073">
          <cell r="C1073" t="str">
            <v>COC78356</v>
          </cell>
        </row>
        <row r="1074">
          <cell r="C1074" t="str">
            <v>COC78363</v>
          </cell>
        </row>
        <row r="1075">
          <cell r="C1075" t="str">
            <v>COC78366</v>
          </cell>
        </row>
        <row r="1076">
          <cell r="C1076" t="str">
            <v>COC78368</v>
          </cell>
        </row>
        <row r="1077">
          <cell r="C1077" t="str">
            <v>COC78369</v>
          </cell>
        </row>
        <row r="1078">
          <cell r="C1078" t="str">
            <v>COC78370</v>
          </cell>
        </row>
        <row r="1079">
          <cell r="C1079" t="str">
            <v>COC78371</v>
          </cell>
        </row>
        <row r="1080">
          <cell r="C1080" t="str">
            <v>COC78372</v>
          </cell>
        </row>
        <row r="1081">
          <cell r="C1081" t="str">
            <v>COC78800</v>
          </cell>
        </row>
        <row r="1082">
          <cell r="C1082" t="str">
            <v>COC78801</v>
          </cell>
        </row>
        <row r="1083">
          <cell r="C1083" t="str">
            <v>COC78362</v>
          </cell>
        </row>
        <row r="1084">
          <cell r="C1084" t="str">
            <v>COC78365</v>
          </cell>
        </row>
        <row r="1085">
          <cell r="C1085" t="str">
            <v>COC78349</v>
          </cell>
        </row>
        <row r="1086">
          <cell r="C1086" t="str">
            <v>COC78350</v>
          </cell>
        </row>
        <row r="1087">
          <cell r="C1087" t="str">
            <v>COC78352</v>
          </cell>
        </row>
        <row r="1088">
          <cell r="C1088" t="str">
            <v>COC78353</v>
          </cell>
        </row>
        <row r="1089">
          <cell r="C1089" t="str">
            <v>COC78357</v>
          </cell>
        </row>
        <row r="1090">
          <cell r="C1090" t="str">
            <v>COC78358</v>
          </cell>
        </row>
        <row r="1091">
          <cell r="C1091" t="str">
            <v>COC78359</v>
          </cell>
        </row>
        <row r="1092">
          <cell r="C1092" t="str">
            <v>COC78360</v>
          </cell>
        </row>
        <row r="1093">
          <cell r="C1093" t="str">
            <v>COC78361</v>
          </cell>
        </row>
        <row r="1094">
          <cell r="C1094" t="str">
            <v>COC78367</v>
          </cell>
        </row>
        <row r="1095">
          <cell r="C1095" t="str">
            <v>COC78374</v>
          </cell>
        </row>
        <row r="1096">
          <cell r="C1096" t="str">
            <v>OKNM137105</v>
          </cell>
        </row>
        <row r="1097">
          <cell r="C1097" t="str">
            <v>OKNM137106</v>
          </cell>
        </row>
        <row r="1098">
          <cell r="C1098" t="str">
            <v>TXNM137112</v>
          </cell>
        </row>
        <row r="1099">
          <cell r="C1099" t="str">
            <v>TXNM137113</v>
          </cell>
        </row>
        <row r="1100">
          <cell r="C1100" t="str">
            <v>TXNM137114</v>
          </cell>
        </row>
        <row r="1101">
          <cell r="C1101" t="str">
            <v>TXNM137115</v>
          </cell>
        </row>
        <row r="1102">
          <cell r="C1102" t="str">
            <v>WYW186292</v>
          </cell>
        </row>
        <row r="1103">
          <cell r="C1103" t="str">
            <v>WYW186293</v>
          </cell>
        </row>
        <row r="1104">
          <cell r="C1104" t="str">
            <v>WYW186296</v>
          </cell>
        </row>
        <row r="1105">
          <cell r="C1105" t="str">
            <v>WYW186297</v>
          </cell>
        </row>
        <row r="1106">
          <cell r="C1106" t="str">
            <v>WYW186298</v>
          </cell>
        </row>
        <row r="1107">
          <cell r="C1107" t="str">
            <v>WYW186307</v>
          </cell>
        </row>
        <row r="1108">
          <cell r="C1108" t="str">
            <v>SDM109688</v>
          </cell>
        </row>
        <row r="1109">
          <cell r="C1109" t="str">
            <v>SDM109690</v>
          </cell>
        </row>
        <row r="1110">
          <cell r="C1110" t="str">
            <v>SDM109689</v>
          </cell>
        </row>
        <row r="1111">
          <cell r="C1111" t="str">
            <v>SDM109691</v>
          </cell>
        </row>
        <row r="1112">
          <cell r="C1112" t="str">
            <v>SDM109692</v>
          </cell>
        </row>
        <row r="1113">
          <cell r="C1113" t="str">
            <v>SDM109693</v>
          </cell>
        </row>
        <row r="1114">
          <cell r="C1114" t="str">
            <v>SDM109694</v>
          </cell>
        </row>
        <row r="1115">
          <cell r="C1115" t="str">
            <v>SDM109695</v>
          </cell>
        </row>
        <row r="1116">
          <cell r="C1116" t="str">
            <v>SDM109696</v>
          </cell>
        </row>
        <row r="1117">
          <cell r="C1117" t="str">
            <v>WYW186309</v>
          </cell>
        </row>
        <row r="1118">
          <cell r="C1118" t="str">
            <v>SDM109697</v>
          </cell>
        </row>
        <row r="1119">
          <cell r="C1119" t="str">
            <v>SDM109698</v>
          </cell>
        </row>
        <row r="1120">
          <cell r="C1120" t="str">
            <v>SDM109699</v>
          </cell>
        </row>
        <row r="1121">
          <cell r="C1121" t="str">
            <v>UTU92311</v>
          </cell>
        </row>
        <row r="1122">
          <cell r="C1122" t="str">
            <v>UTU92312</v>
          </cell>
        </row>
        <row r="1123">
          <cell r="C1123" t="str">
            <v>UTU92313</v>
          </cell>
        </row>
        <row r="1124">
          <cell r="C1124" t="str">
            <v>UTU92314</v>
          </cell>
        </row>
        <row r="1125">
          <cell r="C1125" t="str">
            <v>UTU92315</v>
          </cell>
        </row>
        <row r="1126">
          <cell r="C1126" t="str">
            <v>UTU92316</v>
          </cell>
        </row>
        <row r="1127">
          <cell r="C1127" t="str">
            <v>UTU92328</v>
          </cell>
        </row>
        <row r="1128">
          <cell r="C1128" t="str">
            <v>UTU92330</v>
          </cell>
        </row>
        <row r="1129">
          <cell r="C1129" t="str">
            <v>LAES058292</v>
          </cell>
        </row>
        <row r="1130">
          <cell r="C1130" t="str">
            <v>LAES058293</v>
          </cell>
        </row>
        <row r="1131">
          <cell r="C1131" t="str">
            <v>LAES058318</v>
          </cell>
        </row>
        <row r="1132">
          <cell r="C1132" t="str">
            <v>COC78802</v>
          </cell>
        </row>
        <row r="1133">
          <cell r="C1133" t="str">
            <v>COC78806</v>
          </cell>
        </row>
        <row r="1134">
          <cell r="C1134" t="str">
            <v>OHES059251</v>
          </cell>
        </row>
        <row r="1135">
          <cell r="C1135" t="str">
            <v>OHES059252</v>
          </cell>
        </row>
        <row r="1136">
          <cell r="C1136" t="str">
            <v>WYW186741</v>
          </cell>
        </row>
        <row r="1137">
          <cell r="C1137" t="str">
            <v>WYW186750</v>
          </cell>
        </row>
        <row r="1138">
          <cell r="C1138" t="str">
            <v>WYW186751</v>
          </cell>
        </row>
        <row r="1139">
          <cell r="C1139" t="str">
            <v>WYW186754</v>
          </cell>
        </row>
        <row r="1140">
          <cell r="C1140" t="str">
            <v>WYW186755</v>
          </cell>
        </row>
        <row r="1141">
          <cell r="C1141" t="str">
            <v>WYW186756</v>
          </cell>
        </row>
        <row r="1142">
          <cell r="C1142" t="str">
            <v>WYW186757</v>
          </cell>
        </row>
        <row r="1143">
          <cell r="C1143" t="str">
            <v>WYW186758</v>
          </cell>
        </row>
        <row r="1144">
          <cell r="C1144" t="str">
            <v>WYW186765</v>
          </cell>
        </row>
        <row r="1145">
          <cell r="C1145" t="str">
            <v>WYW186768</v>
          </cell>
        </row>
        <row r="1146">
          <cell r="C1146" t="str">
            <v>NMNM137436</v>
          </cell>
        </row>
        <row r="1147">
          <cell r="C1147" t="str">
            <v>NMNM137450</v>
          </cell>
        </row>
        <row r="1148">
          <cell r="C1148" t="str">
            <v>NMNM137451</v>
          </cell>
        </row>
        <row r="1149">
          <cell r="C1149" t="str">
            <v>NMNM137452</v>
          </cell>
        </row>
        <row r="1150">
          <cell r="C1150" t="str">
            <v>NMNM137456</v>
          </cell>
        </row>
        <row r="1151">
          <cell r="C1151" t="str">
            <v>NMNM137478</v>
          </cell>
        </row>
        <row r="1152">
          <cell r="C1152" t="str">
            <v>NMNM137479</v>
          </cell>
        </row>
        <row r="1153">
          <cell r="C1153" t="str">
            <v>NMNM137480</v>
          </cell>
        </row>
        <row r="1154">
          <cell r="C1154" t="str">
            <v>NMNM137482</v>
          </cell>
        </row>
        <row r="1155">
          <cell r="C1155" t="str">
            <v>NMNM137483</v>
          </cell>
        </row>
        <row r="1156">
          <cell r="C1156" t="str">
            <v>NMNM137484</v>
          </cell>
        </row>
        <row r="1157">
          <cell r="C1157" t="str">
            <v>MTM110399</v>
          </cell>
        </row>
        <row r="1158">
          <cell r="C1158" t="str">
            <v>MTM110400</v>
          </cell>
        </row>
        <row r="1159">
          <cell r="C1159" t="str">
            <v>MTM110401</v>
          </cell>
        </row>
        <row r="1160">
          <cell r="C1160" t="str">
            <v>MTM110402</v>
          </cell>
        </row>
        <row r="1161">
          <cell r="C1161" t="str">
            <v>MTM110403</v>
          </cell>
        </row>
        <row r="1162">
          <cell r="C1162" t="str">
            <v>MTM110404</v>
          </cell>
        </row>
        <row r="1163">
          <cell r="C1163" t="str">
            <v>MTM110405</v>
          </cell>
        </row>
        <row r="1164">
          <cell r="C1164" t="str">
            <v>MTM110406</v>
          </cell>
        </row>
        <row r="1165">
          <cell r="C1165" t="str">
            <v>MTM110407</v>
          </cell>
        </row>
        <row r="1166">
          <cell r="C1166" t="str">
            <v>MTM110408</v>
          </cell>
        </row>
        <row r="1167">
          <cell r="C1167" t="str">
            <v>MTM110409</v>
          </cell>
        </row>
        <row r="1168">
          <cell r="C1168" t="str">
            <v>MTM110410</v>
          </cell>
        </row>
        <row r="1169">
          <cell r="C1169" t="str">
            <v>MTM110412</v>
          </cell>
        </row>
        <row r="1170">
          <cell r="C1170" t="str">
            <v>MTM110413</v>
          </cell>
        </row>
        <row r="1171">
          <cell r="C1171" t="str">
            <v>MTM110414</v>
          </cell>
        </row>
        <row r="1172">
          <cell r="C1172" t="str">
            <v>MTM110415</v>
          </cell>
        </row>
        <row r="1173">
          <cell r="C1173" t="str">
            <v>MTM110416</v>
          </cell>
        </row>
        <row r="1174">
          <cell r="C1174" t="str">
            <v>MTM110411</v>
          </cell>
        </row>
        <row r="1175">
          <cell r="C1175" t="str">
            <v>MTM110418</v>
          </cell>
        </row>
        <row r="1176">
          <cell r="C1176" t="str">
            <v>MTM110420</v>
          </cell>
        </row>
        <row r="1177">
          <cell r="C1177" t="str">
            <v>MTM110432</v>
          </cell>
        </row>
        <row r="1178">
          <cell r="C1178" t="str">
            <v>ARES059276</v>
          </cell>
        </row>
        <row r="1179">
          <cell r="C1179" t="str">
            <v>ARES059277</v>
          </cell>
        </row>
        <row r="1180">
          <cell r="C1180" t="str">
            <v>ARES059278</v>
          </cell>
        </row>
        <row r="1181">
          <cell r="C1181" t="str">
            <v>ARES059279</v>
          </cell>
        </row>
        <row r="1182">
          <cell r="C1182" t="str">
            <v>ARES059280</v>
          </cell>
        </row>
        <row r="1183">
          <cell r="C1183" t="str">
            <v>ARES059281</v>
          </cell>
        </row>
        <row r="1184">
          <cell r="C1184" t="str">
            <v>ARES059282</v>
          </cell>
        </row>
        <row r="1185">
          <cell r="C1185" t="str">
            <v>ARES059283</v>
          </cell>
        </row>
        <row r="1186">
          <cell r="C1186" t="str">
            <v>ARES059285</v>
          </cell>
        </row>
        <row r="1187">
          <cell r="C1187" t="str">
            <v>ARES059286</v>
          </cell>
        </row>
        <row r="1188">
          <cell r="C1188" t="str">
            <v>ARES059287</v>
          </cell>
        </row>
        <row r="1189">
          <cell r="C1189" t="str">
            <v>ARES059288</v>
          </cell>
        </row>
        <row r="1190">
          <cell r="C1190" t="str">
            <v>ARES059289</v>
          </cell>
        </row>
        <row r="1191">
          <cell r="C1191" t="str">
            <v>ARES059290</v>
          </cell>
        </row>
        <row r="1192">
          <cell r="C1192" t="str">
            <v>ARES059291</v>
          </cell>
        </row>
        <row r="1193">
          <cell r="C1193" t="str">
            <v>ARES059292</v>
          </cell>
        </row>
        <row r="1194">
          <cell r="C1194" t="str">
            <v>ARES059293</v>
          </cell>
        </row>
        <row r="1195">
          <cell r="C1195" t="str">
            <v>ARES059299</v>
          </cell>
        </row>
        <row r="1196">
          <cell r="C1196" t="str">
            <v>NMNM138795</v>
          </cell>
        </row>
        <row r="1197">
          <cell r="C1197" t="str">
            <v>NMNM138803</v>
          </cell>
        </row>
        <row r="1198">
          <cell r="C1198" t="str">
            <v>NMNM138853</v>
          </cell>
        </row>
        <row r="1199">
          <cell r="C1199" t="str">
            <v>NMNM138854</v>
          </cell>
        </row>
        <row r="1200">
          <cell r="C1200" t="str">
            <v>NMNM138857</v>
          </cell>
        </row>
        <row r="1201">
          <cell r="C1201" t="str">
            <v>NMNM138858</v>
          </cell>
        </row>
        <row r="1202">
          <cell r="C1202" t="str">
            <v>NMNM138863</v>
          </cell>
        </row>
        <row r="1203">
          <cell r="C1203" t="str">
            <v>WYW187269</v>
          </cell>
        </row>
        <row r="1204">
          <cell r="C1204" t="str">
            <v>WYW187272</v>
          </cell>
        </row>
        <row r="1205">
          <cell r="C1205" t="str">
            <v>WYW187295</v>
          </cell>
        </row>
        <row r="1206">
          <cell r="C1206" t="str">
            <v>WYW187296</v>
          </cell>
        </row>
        <row r="1207">
          <cell r="C1207" t="str">
            <v>WYW187313</v>
          </cell>
        </row>
        <row r="1208">
          <cell r="C1208" t="str">
            <v>MTM110881</v>
          </cell>
        </row>
        <row r="1209">
          <cell r="C1209" t="str">
            <v>MTM110888</v>
          </cell>
        </row>
        <row r="1210">
          <cell r="C1210" t="str">
            <v>MTM110889</v>
          </cell>
        </row>
        <row r="1211">
          <cell r="C1211" t="str">
            <v>MTM110890</v>
          </cell>
        </row>
        <row r="1212">
          <cell r="C1212" t="str">
            <v>MTM110893</v>
          </cell>
        </row>
        <row r="1213">
          <cell r="C1213" t="str">
            <v>MSES059369</v>
          </cell>
        </row>
        <row r="1214">
          <cell r="C1214" t="str">
            <v>MSES059370</v>
          </cell>
        </row>
        <row r="1215">
          <cell r="C1215" t="str">
            <v>MSES059372</v>
          </cell>
        </row>
        <row r="1216">
          <cell r="C1216" t="str">
            <v>MSES059377</v>
          </cell>
        </row>
        <row r="1217">
          <cell r="C1217" t="str">
            <v>MSES059379</v>
          </cell>
        </row>
        <row r="1218">
          <cell r="C1218" t="str">
            <v>MSES059381</v>
          </cell>
        </row>
        <row r="1219">
          <cell r="C1219" t="str">
            <v>MSES059382</v>
          </cell>
        </row>
        <row r="1220">
          <cell r="C1220" t="str">
            <v>MSES059366</v>
          </cell>
        </row>
        <row r="1221">
          <cell r="C1221" t="str">
            <v>MSES059367</v>
          </cell>
        </row>
        <row r="1222">
          <cell r="C1222" t="str">
            <v>MSES059368</v>
          </cell>
        </row>
        <row r="1223">
          <cell r="C1223" t="str">
            <v>MSES059371</v>
          </cell>
        </row>
        <row r="1224">
          <cell r="C1224" t="str">
            <v>MSES059373</v>
          </cell>
        </row>
        <row r="1225">
          <cell r="C1225" t="str">
            <v>MSES059374</v>
          </cell>
        </row>
        <row r="1226">
          <cell r="C1226" t="str">
            <v>MSES059375</v>
          </cell>
        </row>
        <row r="1227">
          <cell r="C1227" t="str">
            <v>MSES059376</v>
          </cell>
        </row>
        <row r="1228">
          <cell r="C1228" t="str">
            <v>MSES059378</v>
          </cell>
        </row>
        <row r="1229">
          <cell r="C1229" t="str">
            <v>MSES059380</v>
          </cell>
        </row>
        <row r="1230">
          <cell r="C1230" t="str">
            <v>MIES059383</v>
          </cell>
        </row>
        <row r="1231">
          <cell r="C1231" t="str">
            <v>OHES059388</v>
          </cell>
        </row>
        <row r="1232">
          <cell r="C1232" t="str">
            <v>OHES059389</v>
          </cell>
        </row>
      </sheetData>
      <sheetData sheetId="3"/>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haun Bhakta" refreshedDate="43983.533368402779" createdVersion="4" refreshedVersion="4" minRefreshableVersion="3" recordCount="135" xr:uid="{00000000-000A-0000-FFFF-FFFF03000000}">
  <cacheSource type="worksheet">
    <worksheetSource name="Table2"/>
  </cacheSource>
  <cacheFields count="20">
    <cacheField name="Serial numbers" numFmtId="0">
      <sharedItems/>
    </cacheField>
    <cacheField name="Parcel ID" numFmtId="0">
      <sharedItems containsNonDate="0" containsString="0" containsBlank="1"/>
    </cacheField>
    <cacheField name="GIS Tract #" numFmtId="1">
      <sharedItems containsSemiMixedTypes="0" containsString="0" containsNumber="1" containsInteger="1" minValue="1" maxValue="135"/>
    </cacheField>
    <cacheField name="Lease Number" numFmtId="0">
      <sharedItems containsNonDate="0" containsString="0" containsBlank="1"/>
    </cacheField>
    <cacheField name="Acres" numFmtId="2">
      <sharedItems containsSemiMixedTypes="0" containsString="0" containsNumber="1" minValue="26.52" maxValue="2560"/>
    </cacheField>
    <cacheField name="County" numFmtId="0">
      <sharedItems containsBlank="1" count="17">
        <s v="Weston County, WY"/>
        <s v="Niobrara County, WY"/>
        <s v="Crook County, WY"/>
        <s v="Converse County, WY"/>
        <s v="Campbell County, WY"/>
        <s v="Sheridan County, WY"/>
        <s v="Natrona County, WY"/>
        <s v="Carbon County, WY"/>
        <s v="Sweetwater County, WY"/>
        <s v="Washakie County, WY"/>
        <s v="Big Horn County, WY"/>
        <s v="Park and Big Horn, WY"/>
        <s v="Park County, WY"/>
        <s v="Sublette County, WY"/>
        <s v="Uinta County, WY"/>
        <s v="Lincoln County, WY"/>
        <m u="1"/>
      </sharedItems>
    </cacheField>
    <cacheField name="Description" numFmtId="0">
      <sharedItems longText="1"/>
    </cacheField>
    <cacheField name="BLM Comments" numFmtId="0">
      <sharedItems containsNonDate="0" containsString="0" containsBlank="1"/>
    </cacheField>
    <cacheField name="Avinash Notes &amp; Target $/acre Price" numFmtId="0">
      <sharedItems containsNonDate="0" containsString="0" containsBlank="1"/>
    </cacheField>
    <cacheField name="Cold/Warm/Hot" numFmtId="0">
      <sharedItems containsBlank="1"/>
    </cacheField>
    <cacheField name="Permitting Activity" numFmtId="0">
      <sharedItems containsBlank="1" longText="1"/>
    </cacheField>
    <cacheField name="Leasing Activity" numFmtId="0">
      <sharedItems longText="1"/>
    </cacheField>
    <cacheField name="Old Production" numFmtId="0">
      <sharedItems containsNonDate="0" containsString="0" containsBlank="1"/>
    </cacheField>
    <cacheField name="Last 4 Years Production" numFmtId="0">
      <sharedItems longText="1"/>
    </cacheField>
    <cacheField name="Magnum Won (Y/N)" numFmtId="0">
      <sharedItems containsNonDate="0" containsString="0" containsBlank="1"/>
    </cacheField>
    <cacheField name="Winning Bid" numFmtId="165">
      <sharedItems containsNonDate="0" containsString="0" containsBlank="1"/>
    </cacheField>
    <cacheField name="Total Bid (Number on BLM Bid Sheet)" numFmtId="165">
      <sharedItems containsSemiMixedTypes="0" containsString="0" containsNumber="1" containsInteger="1" minValue="0" maxValue="0"/>
    </cacheField>
    <cacheField name="Min Due" numFmtId="165">
      <sharedItems containsSemiMixedTypes="0" containsString="0" containsNumber="1" minValue="264.5" maxValue="9130"/>
    </cacheField>
    <cacheField name="Total Due" numFmtId="165">
      <sharedItems containsSemiMixedTypes="0" containsString="0" containsNumber="1" minValue="210.5" maxValue="4010"/>
    </cacheField>
    <cacheField name="Rough Econ Not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5">
  <r>
    <s v="WY-2020-06-0390"/>
    <m/>
    <n v="2"/>
    <m/>
    <n v="38.950000000000003"/>
    <x v="0"/>
    <s v="WY T0410N, R0600W, 6TH PMSection: 007 LOT 9 (EXCL 1.00 AC RSVR ROW IN WYN07031)"/>
    <m/>
    <m/>
    <s v="Cold"/>
    <s v="There are no permits within a 3 mile radius"/>
    <s v="In a 3 mile radius, the latest leases with bonus information were taken in 2018._x000d_Providence Oil Development paid $2/acre.  "/>
    <m/>
    <s v="There are 3 wells within 3 mile radius that have started producing within last 4 years_x000d__x000d_2.00 mi NW, Double Eagle Petroleum Corporation has a D well at 1100 that has made 0 mbbl and nan mmcf after 18 months of producing.  _x000d_2.16 mi NW, Double Eagle Petroleum Corporation has a V well at 2612 that has made 3 mbbl and nan mmcf after 44 months of producing_x000d_1.13 mi NW, Rbj Oil Llc has a V well at 2680 that has made 0 mbbl and 0 mmcf after 1 months of producing_x000d_"/>
    <m/>
    <m/>
    <n v="0"/>
    <n v="306.5"/>
    <n v="228.5"/>
    <m/>
  </r>
  <r>
    <s v="WY-2020-06-0391"/>
    <m/>
    <n v="3"/>
    <m/>
    <n v="160"/>
    <x v="0"/>
    <s v="WY T0420N, R0610W, 6TH PMSection: 025 E2E2"/>
    <m/>
    <m/>
    <s v="Cold"/>
    <s v="There are no permits within a 3 mile radius"/>
    <s v="In a 3 mile radius, the latest leases with bonus information were taken in 2018._x000d_Providence Oil Development paid $2/acre.  "/>
    <m/>
    <s v="There are 3 wells within 3 mile radius that have started producing within last 4 years_x000d__x000d_1.12 mi SW, Double Eagle Petroleum Corporation has a D well at 1100 that has made 0 mbbl and 0 mmcf after 18 months of producing_x000d_2.42 mi SW, Rbj Oil Llc has a V well at 2680 that has made 0 mbbl and 0 mmcf after 1 months of producing_x000d_0.5 mi SW, Double Eagle Petroleum Corporation has a V well at 2612 that has made 3 mbbl and nan mmcf after 44 months of producing"/>
    <m/>
    <m/>
    <n v="0"/>
    <n v="730"/>
    <n v="410"/>
    <m/>
  </r>
  <r>
    <s v="WY-2020-06-0392"/>
    <m/>
    <n v="4"/>
    <m/>
    <n v="2399.5300000000002"/>
    <x v="1"/>
    <s v="WY T0370N, R0660W, 6TH PMSection: 019 LOT 4;Section: 019 SENE, SESW, S2SE;Section: 020 SWNE, SWNW, S2S2, NESE;Section: 021 NE, E2NW, S2;Section: 028 N2, SW, W2SE;Section: 029 ALL SUBDIVISIONS;Section: 030 SENW;Section: 033 N2NW, SWNW"/>
    <m/>
    <m/>
    <s v="Cold"/>
    <s v="There are no permits within a 3 mile radius"/>
    <s v="In a 3 mile radius, the latest leases with bonus information were taken in 2020._x000d_Blue Devil Expl paid between $12/acre and $21/acre.  Robert L Bayless paid $35/acre.  The weighted average price in 2020 overall within the 3 radius was $17/acre.  The highest price paid in 2020 was $35/acre"/>
    <m/>
    <s v="There are no new wells in the last 4 years within a 3 mile radius"/>
    <m/>
    <m/>
    <n v="0"/>
    <n v="8570"/>
    <n v="3770"/>
    <m/>
  </r>
  <r>
    <s v="WY-2020-06-0388"/>
    <m/>
    <n v="1"/>
    <m/>
    <n v="1837.52"/>
    <x v="1"/>
    <s v="WY T0380N, R0660W, 6TH PMSection: 001 SENE, SW;Section: 002 LOTS 3,4;Section: 002 S2NW,S2;Section: 003 LOTS 1-4;Section: 003 S2N2;Section: 010 NE,N2NW, SESW, NESE;Section: 011 NW, N2SW, SESW, SE"/>
    <m/>
    <m/>
    <s v="Cold"/>
    <s v="There are no permits within a 3 mile radius"/>
    <s v="In a 3 mile radius, the latest leases with bonus information were taken in 2019._x000d_Century Oil paid $207/acre.  Western American Resources paid $7040/acre.  "/>
    <m/>
    <s v="There are no new wells in the last 4 years within a 3 mile radius"/>
    <m/>
    <m/>
    <n v="0"/>
    <n v="6603"/>
    <n v="2927"/>
    <m/>
  </r>
  <r>
    <s v="WY-2020-06-0410"/>
    <m/>
    <n v="6"/>
    <m/>
    <n v="1717.51"/>
    <x v="1"/>
    <s v="WY T0380N, R0660W, 6TH PMSection: 001 LOT 3;Section: 001 SENW;Section: 006 LOT 1;Section: 006 SENE,NESE;Section: 012 E2NE;Section: 019 LOT 4;Section: 019 SESW,SWSE;Section: 032 E2;Section: 033 NE, SENW, SW;Section: 035 ALL SUBDIVISIONS"/>
    <m/>
    <m/>
    <s v="Cold"/>
    <s v="There are no permits within a 3 mile radius"/>
    <s v="In a 3 mile radius, the latest leases with bonus information were taken in 2019._x000d_Western American Resources paid $7040/acre.  "/>
    <m/>
    <s v="There are no new wells in the last 4 years within a 3 mile radius"/>
    <m/>
    <m/>
    <n v="0"/>
    <n v="6183"/>
    <n v="2747"/>
    <m/>
  </r>
  <r>
    <s v="WY-2020-06-0420"/>
    <m/>
    <n v="14"/>
    <m/>
    <n v="1033.3800000000001"/>
    <x v="1"/>
    <s v="WY T0380N, R0660W, 6TH PMSection: 004 LOTS 1,3,4;Section: 004 SENE,S2NW;Section: 005 LOTS 1-4;Section: 005 S2N2,SESE;Section: 008 NENE;Section: 009 N2N2,SENW;Section: 018 SENE, E2SE;Section: 019 E2NE"/>
    <m/>
    <m/>
    <s v="Cold"/>
    <s v="There are no permits within a 3 mile radius"/>
    <s v="In a 3 mile radius, the latest leases with bonus information were taken in 2019._x000d_Century Oil paid $207/acre.  Western American Resources paid $7040/acre.  "/>
    <m/>
    <s v="There are no new wells in the last 4 years within a 3 mile radius"/>
    <m/>
    <m/>
    <n v="0"/>
    <n v="3789"/>
    <n v="1721"/>
    <m/>
  </r>
  <r>
    <s v="WY-2020-06-0434"/>
    <m/>
    <n v="28"/>
    <m/>
    <n v="671.68"/>
    <x v="1"/>
    <s v="WY T0380N, R0660W, 6TH PMSection: 006 LOTS 2-6;Section: 006 SWNE,SENW,NESW,NWSE;Section: 032 W2"/>
    <m/>
    <m/>
    <s v="Cold"/>
    <s v="There are no permits within a 3 mile radius"/>
    <s v="In a 3 mile radius, the latest leases with bonus information were taken in 2019._x000d_Western American Resources paid $7040/acre.  "/>
    <m/>
    <s v="There are no new wells in the last 4 years within a 3 mile radius"/>
    <m/>
    <m/>
    <n v="0"/>
    <n v="2522"/>
    <n v="1178"/>
    <m/>
  </r>
  <r>
    <s v="WY-2020-06-0404"/>
    <m/>
    <n v="5"/>
    <m/>
    <n v="880"/>
    <x v="1"/>
    <s v="WY T0380N, R0660W, 6TH PMSection: 013 N2NE, SENE, NENW, SW, S2SE;Section: 014 NWNE;Section: 015 E2;Section: 026 N2NE, SWNE"/>
    <m/>
    <m/>
    <s v="Cold"/>
    <s v="There are no permits within a 3 mile radius"/>
    <s v="In a 3 mile radius, the latest leases with bonus information were taken in 2019._x000d_Western American Resources paid $7040/acre.  "/>
    <m/>
    <s v="There are no new wells in the last 4 years within a 3 mile radius"/>
    <m/>
    <m/>
    <n v="0"/>
    <n v="3250"/>
    <n v="1490"/>
    <m/>
  </r>
  <r>
    <s v="WY-2020-06-0441"/>
    <m/>
    <n v="34"/>
    <m/>
    <n v="709.21"/>
    <x v="1"/>
    <s v="WY T0380N, R0660W, 6TH PMSection: 018 LOTS 2-4;Section: 018 E2SW,W2SE;Section: 019 LOTS 1-3;Section: 019 W2NE,E2NW,NESW,NWSE,SESE;Section: 020 SWSW"/>
    <m/>
    <m/>
    <s v="Cold"/>
    <s v="There are no permits within a 3 mile radius"/>
    <s v="In a 3 mile radius, the latest leases with bonus information were taken in 2019._x000d_Western American Resources paid $7040/acre.  "/>
    <m/>
    <s v="There are no new wells in the last 4 years within a 3 mile radius"/>
    <m/>
    <m/>
    <n v="0"/>
    <n v="2655"/>
    <n v="1235"/>
    <m/>
  </r>
  <r>
    <s v="WY-2020-06-0451"/>
    <m/>
    <n v="41"/>
    <m/>
    <n v="120"/>
    <x v="1"/>
    <s v="WY T0380N, R0660W, 6TH PMSection: 021 SENE, E2SE"/>
    <m/>
    <m/>
    <s v="Cold"/>
    <s v="There are no permits within a 3 mile radius"/>
    <s v="In a 3 mile radius, the latest leases with bonus information were taken in 2019._x000d_Western American Resources paid $7040/acre.  "/>
    <m/>
    <s v="There are no new wells in the last 4 years within a 3 mile radius"/>
    <m/>
    <m/>
    <n v="0"/>
    <n v="590"/>
    <n v="350"/>
    <m/>
  </r>
  <r>
    <s v="WY-2020-06-0455"/>
    <m/>
    <n v="45"/>
    <m/>
    <n v="520"/>
    <x v="0"/>
    <s v="WY T0440N, R0680W, 6TH PMSection: 010 E2,NENW,S2NW,N2SW"/>
    <m/>
    <m/>
    <s v="Cold"/>
    <s v="There are no permits within a 3 mile radius"/>
    <s v="In a 3 mile radius, the latest leases with bonus information were taken in 2020._x000d_Century O&amp;G paid $11/acre.  "/>
    <m/>
    <s v="There are no new wells in the last 4 years within a 3 mile radius"/>
    <m/>
    <m/>
    <n v="0"/>
    <n v="1990"/>
    <n v="950"/>
    <m/>
  </r>
  <r>
    <s v="WY-2020-06-0458"/>
    <m/>
    <n v="48"/>
    <m/>
    <n v="76.95"/>
    <x v="2"/>
    <s v="WY T0520N, R0680W, 6TH PMSection: 007 LOTS 5,10"/>
    <m/>
    <m/>
    <s v="Cold"/>
    <s v="There are no permits within a 3 mile radius"/>
    <s v="In a 3 mile radius, the latest leases with bonus information were taken in 2019._x000d_Bradley Williams paid $28/acre.  "/>
    <m/>
    <s v="There are no new wells in the last 4 years within a 3 mile radius"/>
    <m/>
    <m/>
    <n v="0"/>
    <n v="439.5"/>
    <n v="285.5"/>
    <m/>
  </r>
  <r>
    <s v="WY-2020-06-0423"/>
    <m/>
    <n v="17"/>
    <m/>
    <n v="714.37"/>
    <x v="3"/>
    <s v="WY T0380N, R0700W, 6TH PMSection: 017 N2;Section: 018 LOTS 1,2;Section: 018 NE,E2NW;Section: 032 S2SE;"/>
    <m/>
    <m/>
    <m/>
    <s v="In a 3 mile radius there are 18 active permits_x000d_1 permits are D wells ; 17 permits are H wells _x000d_The average lateral length among these permits is 10000 ft. _x000d_- The TVD for these well(s) are ~10100ft_x000d_Devon has 14 permits, Grayson Mill Operating Llc has 4 permits"/>
    <s v="There are no recorded leases within a 3 mile radius"/>
    <m/>
    <s v="There are 1 wells within 3 mile radius that have started producing within last 4 years_x000d__x000d_1.20 mi NE, Devon Energy Corporation has a H well at 9728 that has made 246 mbbl and 264 mmcf after 23 months of producing"/>
    <m/>
    <m/>
    <n v="0"/>
    <n v="2672.5"/>
    <n v="1242.5"/>
    <m/>
  </r>
  <r>
    <s v="WY-2020-06-6764"/>
    <m/>
    <n v="119"/>
    <m/>
    <n v="640"/>
    <x v="3"/>
    <s v="WY T0380N, R0700W, 6TH PMSection: 020 ALL SUBDIVISIONS"/>
    <m/>
    <m/>
    <m/>
    <s v="In a 3 mile radius there are 7 active permits_x000d_1 permits are D wells ; 6 permits are H wells _x000d_The average lateral length among these permits is 10000 ft. _x000d_- The TVD for these well(s) are ~10000ft_x000d_Devon has 7 permits"/>
    <s v="There are no recorded leases within a 3 mile radius"/>
    <m/>
    <s v="There are 1 wells within 3 mile radius that have started producing within last 4 years_x000d__x000d_1.56 mi NE, Devon Energy Corporation has a H well at 9728 that has made 246 mbbl and 264 mmcf after 23 months of producing"/>
    <m/>
    <m/>
    <n v="0"/>
    <n v="2410"/>
    <n v="1130"/>
    <m/>
  </r>
  <r>
    <s v="WY-2020-06-0432"/>
    <m/>
    <n v="26"/>
    <m/>
    <n v="307.8"/>
    <x v="3"/>
    <s v="WY T0380N, R0700W, 6TH PMSection: 030 LOTS 1-4;Section: 030 E2W2"/>
    <m/>
    <m/>
    <m/>
    <s v="In a 3 mile radius there are 9 active permits_x000d_8 permits are H wells ; 1 permits are V wells _x000d_The average lateral length among these permits is 10000 ft. _x000d_- The TVD for these well(s) are ~10200ft_x000d_Anadarko has 3 permits, Devon has 6 permits"/>
    <s v="There are no recorded leases within a 3 mile radius"/>
    <m/>
    <s v="There are no new wells in the last 4 years within a 3 mile radius"/>
    <m/>
    <m/>
    <n v="0"/>
    <n v="1248"/>
    <n v="632"/>
    <m/>
  </r>
  <r>
    <s v="WY-2020-06-0435"/>
    <m/>
    <n v="29"/>
    <m/>
    <n v="881.45"/>
    <x v="3"/>
    <s v="WY T0390N, R0700W, 6TH PMSection: 001 LOTS 3,4;Section: 001 S2N2,S2;Section: 002 LOTS 1,2;Section: 002 S2NE,SE"/>
    <m/>
    <m/>
    <m/>
    <s v="In a 3 mile radius there are 7 active permits_x000d_7 permits are H wells _x000d_The average lateral length among these permits is 11000 ft. _x000d_- The TVD for these well(s) are ~9200ft_x000d_Grayson Mill Operating Llc has 7 permits"/>
    <s v="In a 3 mile radius, the latest leases with bonus information were taken in 2017._x000d_Baseline Minerals paid $302/acre.  "/>
    <m/>
    <s v="There are no new wells in the last 4 years within a 3 mile radius"/>
    <m/>
    <m/>
    <n v="0"/>
    <n v="3257"/>
    <n v="1493"/>
    <m/>
  </r>
  <r>
    <s v="WY-2020-06-0442"/>
    <m/>
    <n v="35"/>
    <m/>
    <n v="815.93"/>
    <x v="3"/>
    <s v="WY T0390N, R0700W, 6TH PMSection: 017 SE;Section: 018 LOTS 3,4;Section: 018 NENW,SESW;Section: 019 LOTS 2-4;Section: 019 E2,E2SW"/>
    <m/>
    <m/>
    <m/>
    <s v="In a 3 mile radius there are 49 active permits_x000d_49 permits are H wells _x000d_The average lateral length among these permits is 10000 ft. _x000d_- The TVD for these well(s) are ~9800ft_x000d_Devon has 29 permits, Grayson Mill Operating Llc has 12 permits, Peak Permian, Llc has 8 permits"/>
    <s v="In a 3 mile radius, the latest leases with bonus information were taken in 2020._x000d_R&amp;R Royalty paid between $203/acre and $526/acre.  "/>
    <m/>
    <s v="There are no new wells in the last 4 years within a 3 mile radius"/>
    <m/>
    <m/>
    <n v="0"/>
    <n v="3026"/>
    <n v="1394"/>
    <m/>
  </r>
  <r>
    <s v="WY-2020-06-6765"/>
    <m/>
    <n v="120"/>
    <m/>
    <n v="108.76"/>
    <x v="3"/>
    <s v="WY T0390N, R0700W, 6TH PMSection: 018 LOTS 1,2;Section: 018 SENW"/>
    <m/>
    <m/>
    <m/>
    <s v="In a 3 mile radius there are 26 active permits_x000d_26 permits are H wells _x000d_The average lateral length among these permits is 9000 ft. _x000d_- The TVD for these well(s) are ~9900ft_x000d_Devon has 25 permits, Grayson Mill Operating Llc has 1 permits"/>
    <s v="In a 3 mile radius, the latest leases with bonus information were taken in 2020._x000d_R&amp;R Royalty paid between $203/acre and $526/acre.  The weighted average price in 2020 overall within the 3 radius was $384/acre.  The highest price paid in 2020 was $526/acre"/>
    <m/>
    <s v="There are no new wells in the last 4 years within a 3 mile radius"/>
    <m/>
    <m/>
    <n v="0"/>
    <n v="551.5"/>
    <n v="333.5"/>
    <m/>
  </r>
  <r>
    <s v="WY-2020-06-6766"/>
    <m/>
    <n v="121"/>
    <m/>
    <n v="40"/>
    <x v="3"/>
    <s v="WY T0390N, R0700W, 6TH PMSection: 018 NESW"/>
    <m/>
    <m/>
    <m/>
    <s v="In a 3 mile radius there are 30 active permits_x000d_30 permits are H wells _x000d_The average lateral length among these permits is 10000 ft. _x000d_- The TVD for these well(s) are ~9700ft_x000d_Devon has 22 permits, Grayson Mill Operating Llc has 8 permits"/>
    <s v="In a 3 mile radius, the latest leases with bonus information were taken in 2020._x000d_R&amp;R Royalty paid between $203/acre and $526/acre.  The weighted average price in 2020 overall within the 3 radius was $376/acre.  The highest price paid in 2020 was $526/acre"/>
    <m/>
    <s v="There are no new wells in the last 4 years within a 3 mile radius"/>
    <m/>
    <m/>
    <n v="0"/>
    <n v="310"/>
    <n v="230"/>
    <m/>
  </r>
  <r>
    <s v="WY-2020-06-0452"/>
    <m/>
    <n v="42"/>
    <m/>
    <n v="160"/>
    <x v="3"/>
    <s v="WY T0390N, R0700W, 6TH PMSection: 021 NW"/>
    <m/>
    <m/>
    <m/>
    <s v="In a 3 mile radius there are 37 active permits_x000d_37 permits are H wells _x000d_The average lateral length among these permits is 10000 ft. _x000d_- The TVD for these well(s) are ~9700ft_x000d_Devon has 22 permits, Grayson Mill Operating Llc has 15 permits"/>
    <s v="In a 3 mile radius, the latest leases with bonus information were taken in 2013._x000d_New Century Prod paid $145/acre.  "/>
    <m/>
    <s v="There are no new wells in the last 4 years within a 3 mile radius"/>
    <m/>
    <m/>
    <n v="0"/>
    <n v="730"/>
    <n v="410"/>
    <m/>
  </r>
  <r>
    <s v="WY-2020-06-6767"/>
    <m/>
    <n v="122"/>
    <m/>
    <n v="320"/>
    <x v="3"/>
    <s v="WY T0390N, R0700W, 6TH PMSection: 033 E2W2,W2E2"/>
    <m/>
    <m/>
    <m/>
    <s v="In a 3 mile radius there are 48 active permits_x000d_1 permits are D wells ; 47 permits are H wells _x000d_The average lateral length among these permits is 10000 ft. _x000d_- The TVD for these well(s) are ~9800ft_x000d_Devon has 22 permits, Grayson Mill Operating Llc has 18 permits, Peak Permian, Llc has 8 permits"/>
    <s v="In a 3 mile radius, the latest leases with bonus information were taken in 2013._x000d_New Century Prod paid $145/acre.  "/>
    <m/>
    <s v="There are 1 wells within 3 mile radius that have started producing within last 4 years_x000d__x000d_2.63 mi S, Devon Energy Corporation has a H well at 9728 that has made 246 mbbl and 264 mmcf after 23 months of producing"/>
    <m/>
    <m/>
    <n v="0"/>
    <n v="1290"/>
    <n v="650"/>
    <m/>
  </r>
  <r>
    <s v="WY-2020-06-0453"/>
    <m/>
    <n v="43"/>
    <m/>
    <n v="403.34"/>
    <x v="4"/>
    <s v="WY T0440N, R0700W, 6TH PMSection: 001 LOTS 6,8,9,12-15;Section: 002 LOTS 12,13,19"/>
    <m/>
    <m/>
    <s v="Warm"/>
    <s v="In a 3 mile radius there are 4 active permits_x000d_4 permits are H wells _x000d_The average lateral length among these permits is 10000 ft. _x000d_- The TVD for these well(s) are ~8200ft_x000d_Rockies Resources Holdings Llc has these 4 permits to the West"/>
    <s v="In a 3 mile radius, the latest leases with bonus information were taken in 2019._x000d_Rockies Resources Holdings paid 250/acre  for state leases in 11/19.  rockies paid 750-907 for blm acreage in 3/2018"/>
    <m/>
    <s v="There are 1 wells within 3 mile radius that have started producing within last 4 years_x000d__x000d_2.48 mi SW, Rockies Resources Holdings Llc has a H well at 7997 that has made 166 mbbl and 229 mmcf after 7 months of producing"/>
    <m/>
    <m/>
    <n v="0"/>
    <n v="1584"/>
    <n v="776"/>
    <m/>
  </r>
  <r>
    <s v="WY-2020-06-0456"/>
    <m/>
    <n v="46"/>
    <m/>
    <n v="40.26"/>
    <x v="4"/>
    <s v="WY T0440N, R0700W, 6TH PMSection: 001 LOT 16"/>
    <m/>
    <m/>
    <s v="Warm"/>
    <s v="In a 3 mile radius there are 4 active permits_x000d_4 permits are H wells _x000d_The average lateral length among these permits is 10000 ft. _x000d_- The TVD for these well(s) are ~8200ft_x000d_Rockies Resources Holdings Llc has these 4 permits to the West"/>
    <s v="In a 3 mile radius, the latest leases with bonus information were taken in 2019._x000d_Rockies Resources Holdings paid 250/acre  for state leases in 11/19.  rockies paid 750-907 for blm acreage in 3/2019"/>
    <m/>
    <s v="There are 1 wells within 3 mile radius that have started producing within last 4 years_x000d__x000d_2.95 mi SW, Rockies Resources Holdings Llc has a H well at 7997 that has made 166 mbbl and 229 mmcf after 7 months of producing"/>
    <m/>
    <m/>
    <n v="0"/>
    <n v="313.5"/>
    <n v="231.5"/>
    <m/>
  </r>
  <r>
    <s v="WY-2020-06-0457"/>
    <m/>
    <n v="47"/>
    <m/>
    <n v="120.17"/>
    <x v="4"/>
    <s v="WY T0440N, R0700W, 6TH PMSection: 003 LOTS 6,11,13"/>
    <m/>
    <m/>
    <s v="Warm"/>
    <s v="In a 3 mile radius there are 5 active permits_x000d_4 permits are H wells ; 1 permits are V wells _x000d_The average lateral length among these permits is 10000 ft. _x000d_- The TVD for these well(s) are ~8200ft_x000d_Massif Operating Llc has 1 permits which is the vertical permit to the west, Rockies Resources Holdings Llc has 4 permits"/>
    <s v="In a 3 mile radius, the latest leases with bonus information were taken in 2019._x000d_Rockies Resources Holdings paid 250/acre  for state leases in 11/19.  rockies paid 750-907 for blm acreage in 3/2020"/>
    <m/>
    <s v="There are 1 wells within 3 mile radius that have started producing within last 4 years_x000d__x000d_1.70 mi SW, Rockies Resources Holdings Llc has a H well at 7997 that has made 166 mbbl and 229 mmcf after 7 months of producing"/>
    <m/>
    <m/>
    <n v="0"/>
    <n v="593.5"/>
    <n v="351.5"/>
    <m/>
  </r>
  <r>
    <s v="WY-2020-06-0459"/>
    <m/>
    <n v="49"/>
    <m/>
    <n v="40.229999999999997"/>
    <x v="4"/>
    <s v="WY T0440N, R0700W, 6TH PMSection: 012 LOT 1"/>
    <m/>
    <m/>
    <s v="Warm"/>
    <s v="In a 3 mile radius there are 2 active permits_x000d_2 permits are H wells _x000d_The average lateral length among these permits is 10000 ft. _x000d_- The TVD for these well(s) are ~8100ft_x000d_Rockies Resources Holdings Llc has 2 permits"/>
    <s v="In a 3 mile radius, the latest leases with bonus information were taken in 2020._x000d_Rockies Resources Holdings paid $352/acre. 2 mi S  "/>
    <m/>
    <s v="There are 1 wells within 3 mile radius that have started producing within last 4 years_x000d__x000d_2.63 mi SW, Rockies Resources Holdings Llc has a H well at 7997 that has made 166 mbbl and 229 mmcf after 7 months of producing"/>
    <m/>
    <m/>
    <n v="0"/>
    <n v="313.5"/>
    <n v="231.5"/>
    <m/>
  </r>
  <r>
    <s v="WY-2020-06-0460"/>
    <m/>
    <n v="50"/>
    <m/>
    <n v="401.6"/>
    <x v="4"/>
    <s v="WY T0440N, R0700W, 6TH PMSection: 013 LOTS 1,2,4-10;Section: 013 NENW"/>
    <m/>
    <m/>
    <s v="Warm"/>
    <s v="In a 3 mile radius there are 4 active permits_x000d_4 permits are H wells _x000d_The average lateral length among these permits is 10000 ft. _x000d_- The TVD for these well(s) are ~8200ft_x000d_Rockies Resources Holdings Llc has 4 permits"/>
    <s v="In a 3 mile radius, the latest leases with bonus information were taken in 2020._x000d_Rockies Resources Holdings paid $352/acre. 2 mi S  "/>
    <m/>
    <s v="There are 1 wells within 3 mile radius that have started producing within last 4 years_x000d__x000d_2.46 mi W, Rockies Resources Holdings Llc has a H well at 7997 that has made 166 mbbl and 229 mmcf after 7 months of producing"/>
    <m/>
    <m/>
    <n v="0"/>
    <n v="1577"/>
    <n v="773"/>
    <m/>
  </r>
  <r>
    <s v="WY-2020-06-0462"/>
    <m/>
    <n v="52"/>
    <m/>
    <n v="308.57"/>
    <x v="4"/>
    <s v="WY T0500N, R0700W, 6TH PMSection: 017 LOTS 1, 2, 7, 8, 11, 13, 14"/>
    <m/>
    <m/>
    <s v="Cold"/>
    <s v="There are no permits within a 3 mile radius"/>
    <s v="In a 3 mile radius, the latest leases with bonus information were taken in 2019._x000d_Western American Resources paid between $18/acre and $56/acre.  Kirkwood O&amp;G paid $22/acre.  The weighted average price in 2019 overall within the 3 radius was $40/acre.  The highest price paid in 2019 was $122/acre"/>
    <m/>
    <s v="There are no new wells in the last 4 years within a 3 mile radius"/>
    <m/>
    <m/>
    <n v="0"/>
    <n v="1251.5"/>
    <n v="633.5"/>
    <m/>
  </r>
  <r>
    <s v="WY-2020-06-0413"/>
    <m/>
    <n v="7"/>
    <m/>
    <n v="160"/>
    <x v="3"/>
    <s v="WY T0380N, R0710W, 6TH PMSection: 014 NW"/>
    <m/>
    <m/>
    <m/>
    <s v="In a 3 mile radius there are 23 active permits_x000d_23 permits are H wells _x000d_The average lateral length among these permits is 10000 ft. _x000d_- The TVD for these well(s) are ~9500ft_x000d_Devon has 4 permits, Grayson Mill Operating Llc has 11 permits, Peak Permian, Llc has 8 permits"/>
    <s v="In a 3 mile radius, the latest leases with bonus information were taken in 2014._x000d_Mbi O&amp;G paid between $3100/acre and $3600/acre.  "/>
    <m/>
    <s v="There are no new wells in the last 4 years within a 3 mile radius"/>
    <m/>
    <m/>
    <n v="0"/>
    <n v="730"/>
    <n v="410"/>
    <m/>
  </r>
  <r>
    <s v="WY-2020-06-0414"/>
    <m/>
    <n v="8"/>
    <m/>
    <n v="520"/>
    <x v="3"/>
    <s v="WY T0380N, R0710W, 6TH PMSection: 014 SW;Section: 024 E2NE;Section: 025 N2N2;Section: 034 N2NW,SWNW"/>
    <m/>
    <m/>
    <m/>
    <m/>
    <s v="In a 3 mile radius, the latest leases with bonus information were taken in 2020._x000d_K2T2 Resources paid $634/acre.  R&amp;R Royalty paid $516/acre.  The weighted average price in 2020 overall within the 3 radius was $451/acre.  The highest price paid in 2020 was $634/acre"/>
    <m/>
    <s v="There are no new wells in the last 4 years within a 3 mile radius"/>
    <m/>
    <m/>
    <n v="0"/>
    <n v="1990"/>
    <n v="950"/>
    <m/>
  </r>
  <r>
    <s v="WY-2020-06-6768"/>
    <m/>
    <n v="123"/>
    <m/>
    <n v="640"/>
    <x v="3"/>
    <s v="WY T0380N, R0710W, 6TH PMSection: 014 E2;Section: 023 N2"/>
    <m/>
    <m/>
    <m/>
    <s v="In a 3 mile radius there are 8 active permits_x000d_8 permits are H wells _x000d_The average lateral length among these permits is 10000 ft. _x000d_- The TVD for these well(s) are ~10000ft_x000d_Grayson Mill Operating Llc has 8 permits"/>
    <s v="In a 3 mile radius, the latest leases with bonus information were taken in 2014._x000d_Mbi O&amp;G paid $3100/acre.  "/>
    <m/>
    <s v="There are no new wells in the last 4 years within a 3 mile radius"/>
    <m/>
    <m/>
    <n v="0"/>
    <n v="2410"/>
    <n v="1130"/>
    <m/>
  </r>
  <r>
    <s v="WY-2020-06-0415"/>
    <m/>
    <n v="9"/>
    <m/>
    <n v="240"/>
    <x v="3"/>
    <s v="WY T0380N, R0710W, 6TH PMSection: 023 N2S2,S2SE"/>
    <m/>
    <m/>
    <m/>
    <m/>
    <s v="In a 3 mile radius, the latest leases with bonus information were taken in 2014._x000d_Mbi O&amp;G paid $3100/acre.  "/>
    <m/>
    <s v="There are no new wells in the last 4 years within a 3 mile radius"/>
    <m/>
    <m/>
    <n v="0"/>
    <n v="1010"/>
    <n v="530"/>
    <m/>
  </r>
  <r>
    <s v="WY-2020-06-0416"/>
    <m/>
    <n v="10"/>
    <m/>
    <n v="80"/>
    <x v="3"/>
    <s v="WY T0380N, R0710W, 6TH PMSection: 023 S2SW"/>
    <m/>
    <m/>
    <m/>
    <m/>
    <s v="In a 3 mile radius, the latest leases with bonus information were taken in 2020._x000d_K2T2 Resources paid $634/acre.  R&amp;R Royalty paid $516/acre.  The weighted average price in 2020 overall within the 3 radius was $451/acre.  The highest price paid in 2020 was $634/acre"/>
    <m/>
    <s v="There are no new wells in the last 4 years within a 3 mile radius"/>
    <m/>
    <m/>
    <n v="0"/>
    <n v="450"/>
    <n v="290"/>
    <m/>
  </r>
  <r>
    <s v="WY-2020-06-0417"/>
    <m/>
    <n v="11"/>
    <m/>
    <n v="240"/>
    <x v="3"/>
    <s v="WY T0380N, R0710W, 6TH PMSection: 024 W2NE,NW"/>
    <m/>
    <m/>
    <m/>
    <s v="In a 3 mile radius there are 6 active permits_x000d_5 permits are H wells ; 1 permits are V wells _x000d_The average lateral length among these permits is 10000 ft. _x000d_- The TVD for these well(s) are ~10100ft_x000d_Devon has 6 permits"/>
    <s v="There are no recorded leases within a 3 mile radius"/>
    <m/>
    <s v="There are no new wells in the last 4 years within a 3 mile radius"/>
    <m/>
    <m/>
    <n v="0"/>
    <n v="1010"/>
    <n v="530"/>
    <m/>
  </r>
  <r>
    <s v="WY-2020-06-6769"/>
    <m/>
    <n v="124"/>
    <m/>
    <n v="320"/>
    <x v="3"/>
    <s v="WY T0380N, R0710W, 6TH PMSection: 024 S2"/>
    <m/>
    <m/>
    <m/>
    <s v="In a 3 mile radius there are 6 active permits_x000d_5 permits are H wells ; 1 permits are V wells _x000d_The average lateral length among these permits is 10000 ft. _x000d_- The TVD for these well(s) are ~10100ft_x000d_Devon has 6 permits"/>
    <s v="There are no recorded leases within a 3 mile radius"/>
    <m/>
    <s v="There are no new wells in the last 4 years within a 3 mile radius"/>
    <m/>
    <m/>
    <n v="0"/>
    <n v="1290"/>
    <n v="650"/>
    <m/>
  </r>
  <r>
    <s v="WY-2020-06-0418"/>
    <m/>
    <n v="12"/>
    <m/>
    <n v="160"/>
    <x v="3"/>
    <s v="WY T0380N, R0710W, 6TH PMSection: 026 NE"/>
    <m/>
    <m/>
    <m/>
    <m/>
    <s v="In a 3 mile radius, the latest leases with bonus information were taken in 2020._x000d_K2T2 Resources paid $634/acre.  R&amp;R Royalty paid $516/acre.  The weighted average price in 2020 overall within the 3 radius was $451/acre.  The highest price paid in 2020 was $634/acre"/>
    <m/>
    <s v="There are no new wells in the last 4 years within a 3 mile radius"/>
    <m/>
    <m/>
    <n v="0"/>
    <n v="730"/>
    <n v="410"/>
    <m/>
  </r>
  <r>
    <s v="WY-2020-06-6770"/>
    <m/>
    <n v="125"/>
    <m/>
    <n v="320"/>
    <x v="3"/>
    <s v="WY T0380N, R0710W, 6TH PMSection: 026 W2"/>
    <m/>
    <m/>
    <m/>
    <m/>
    <s v="In a 3 mile radius, the latest leases with bonus information were taken in 2020._x000d_K2T2 Resources paid $634/acre.  R&amp;R Royalty paid $516/acre.  The weighted average price in 2020 overall within the 3 radius was $451/acre.  The highest price paid in 2020 was $634/acre"/>
    <m/>
    <s v="There are no new wells in the last 4 years within a 3 mile radius"/>
    <m/>
    <m/>
    <n v="0"/>
    <n v="1290"/>
    <n v="650"/>
    <m/>
  </r>
  <r>
    <s v="WY-2020-06-0419"/>
    <m/>
    <n v="13"/>
    <m/>
    <n v="320"/>
    <x v="3"/>
    <s v="WY T0380N, R0710W, 6TH PMSection: 027 W2"/>
    <m/>
    <m/>
    <m/>
    <s v="In a 3 mile radius there are 5 active permits_x000d_4 permits are H wells ; 1 permits are V wells _x000d_The average lateral length among these permits is 12000 ft. _x000d_- The TVD for these well(s) are ~7900ft_x000d_Devon has 5 permits"/>
    <s v="In a 3 mile radius, the latest leases with bonus information were taken in 2020._x000d_Texas Independent Expl paid $346/acre.  K2T2 Resources paid $634/acre.  The weighted average price in 2020 overall within the 3 radius was $451/acre.  The highest price paid in 2020 was $634/acre"/>
    <m/>
    <s v="There are 4 wells within 3 mile radius that have started producing within last 4 years_x000d_4 are H wells_x000d_2 wells have produced for 2 to 3 months and have made between 88 to 89 mbbls with 31 to 35 mmcf of gas.  These wells are currently averaging 754 bpd and 313 mcfd.  1 well has made 146 mbbl and 52 mmcfd in 5 months and is currently making 908 bpd and 428 mcfd.  1 well has made 315 mbbl and 165 mmcfd in 15 months and is currently making 355 bpd and 215 mcfd.  "/>
    <m/>
    <m/>
    <n v="0"/>
    <n v="1290"/>
    <n v="650"/>
    <m/>
  </r>
  <r>
    <s v="WY-2020-06-6771"/>
    <m/>
    <n v="126"/>
    <m/>
    <n v="320"/>
    <x v="3"/>
    <s v="WY T0380N, R0710W, 6TH PMSection: 027 E2"/>
    <m/>
    <m/>
    <m/>
    <s v="In a 3 mile radius there are 5 active permits_x000d_4 permits are H wells ; 1 permits are V wells _x000d_The average lateral length among these permits is 12000 ft. _x000d_- The TVD for these well(s) are ~7900ft_x000d_Devon has 5 permits"/>
    <s v="In a 3 mile radius, the latest leases with bonus information were taken in 2020._x000d_K2T2 Resources paid $634/acre.  R&amp;R Royalty paid $516/acre.  The weighted average price in 2020 overall within the 3 radius was $451/acre.  The highest price paid in 2020 was $634/acre"/>
    <m/>
    <s v="There are 4 wells within 3 mile radius that have started producing within last 4 years_x000d_4 are H wells_x000d_2 wells have produced for 2 to 3 months and have made between 88 to 89 mbbls with 31 to 35 mmcf of gas.  These wells are currently averaging 754 bpd and 313 mcfd.  1 well has made 146 mbbl and 52 mmcfd in 5 months and is currently making 908 bpd and 428 mcfd.  1 well has made 315 mbbl and 165 mmcfd in 15 months and is currently making 355 bpd and 215 mcfd.  "/>
    <m/>
    <m/>
    <n v="0"/>
    <n v="1290"/>
    <n v="650"/>
    <m/>
  </r>
  <r>
    <s v="WY-2020-06-6729"/>
    <m/>
    <n v="91"/>
    <m/>
    <n v="520"/>
    <x v="3"/>
    <s v="WY T0380N, R0710W, 6TH PMSection: 034 NE,SENW;Section: 035 S2"/>
    <m/>
    <m/>
    <m/>
    <m/>
    <s v="In a 3 mile radius, the latest leases with bonus information were taken in 2020._x000d_Texas Independent Expl paid $346/acre.  K2T2 Resources paid $634/acre.  The weighted average price in 2020 overall within the 3 radius was $451/acre.  The highest price paid in 2020 was $634/acre"/>
    <m/>
    <s v="There are no new wells in the last 4 years within a 3 mile radius"/>
    <m/>
    <m/>
    <n v="0"/>
    <n v="1990"/>
    <n v="950"/>
    <m/>
  </r>
  <r>
    <s v="WY-2020-06-6772"/>
    <m/>
    <n v="127"/>
    <m/>
    <n v="320"/>
    <x v="3"/>
    <s v="WY T0380N, R0710W, 6TH PMSection: 034 S2"/>
    <m/>
    <m/>
    <m/>
    <s v="In a 3 mile radius there are 10 active permits_x000d_6 permits are H wells ; 4 permits are V wells _x000d_The average lateral length among these permits is 11000 ft. _x000d_- The TVD for these well(s) are ~10200ft_x000d_Devon has 10 permits"/>
    <s v="In a 3 mile radius, the latest leases with bonus information were taken in 2020._x000d_Texas Independent Expl paid $346/acre.  K2T2 Resources paid $634/acre.  The weighted average price in 2020 overall within the 3 radius was $451/acre.  The highest price paid in 2020 was $634/acre"/>
    <m/>
    <s v="There are 4 wells within 3 mile radius that have started producing within last 4 years_x000d_4 are H wells_x000d_1 well has made 146 mbbl and 52 mmcfd in 5 months and is currently making 908 bpd and 428 mcfd.  1 well has made 315 mbbl and 165 mmcfd in 15 months and is currently making 355 bpd and 215 mcfd.  1 well has made 226 mbbl and 129 mmcfd in 29 months and is currently making 127 bpd and 66 mcfd.  "/>
    <m/>
    <m/>
    <n v="0"/>
    <n v="1290"/>
    <n v="650"/>
    <m/>
  </r>
  <r>
    <s v="WY-2020-06-6773"/>
    <m/>
    <n v="128"/>
    <m/>
    <n v="320"/>
    <x v="3"/>
    <s v="WY T0380N, R0710W, 6TH PMSection: 035 N2"/>
    <m/>
    <m/>
    <m/>
    <m/>
    <s v="In a 3 mile radius, the latest leases with bonus information were taken in 2020._x000d_K2T2 Resources paid $634/acre.  R&amp;R Royalty paid $516/acre.  The weighted average price in 2020 overall within the 3 radius was $451/acre.  The highest price paid in 2020 was $634/acre"/>
    <m/>
    <s v="There are no new wells in the last 4 years within a 3 mile radius"/>
    <m/>
    <m/>
    <n v="0"/>
    <n v="1290"/>
    <n v="650"/>
    <m/>
  </r>
  <r>
    <s v="WY-2020-06-0421"/>
    <m/>
    <n v="15"/>
    <m/>
    <n v="80"/>
    <x v="3"/>
    <s v="WY T0380N, R0720W, 6TH PMSection: 030 SESE:WY T0380N, R0730W, 6TH PMSection: 025 SWNW"/>
    <m/>
    <m/>
    <m/>
    <s v="In a 3 mile radius there are 39 active permits_x000d_38 permits are H wells ; 1 permits are V wells _x000d_The average lateral length among these permits is 10000 ft. _x000d_- The TVD for these well(s) are ~11700ft_x000d_Elephant Operating Llc has 26 permits, Samson Resources has 13 permits"/>
    <s v="In a 3 mile radius, the latest leases with bonus information were taken in 2017._x000d_Samson Resources paid $3501/acre.  Stout Street paid $2001/acre.  "/>
    <m/>
    <s v="There are 2 wells within 3 mile radius that have started producing within last 4 years_x000d__x000d_2.43 mi S, Samson Investment Company has a H well at 11782 that has made 151 mbbl and 168 mmcf after 7 months of producing_x000d_0.73 mi SE, Samson Investment Company has a H well at 11827 that has made 164 mbbl and 166 mmcf after 7 months of producing"/>
    <m/>
    <m/>
    <n v="0"/>
    <n v="450"/>
    <n v="290"/>
    <m/>
  </r>
  <r>
    <s v="WY-2020-06-0422"/>
    <m/>
    <n v="16"/>
    <m/>
    <n v="880"/>
    <x v="3"/>
    <s v="WY T0330N, R0730W, 6TH PMSection: 013 SENW,NESW,S2SW,SE;Section: 024 N2,N2SW,SE"/>
    <m/>
    <m/>
    <m/>
    <s v="In a 3 mile radius there are 10 active permits_x000d_10 permits are H wells _x000d_The average lateral length among these permits is 11000 ft. _x000d_- The TVD for these well(s) are ~11300ft_x000d_Lincoln Energy Holdings Llc has 10 permits"/>
    <s v="In a 3 mile radius, the latest leases with bonus information were taken in 2020._x000d_Dayfield Properties paid $13/acre.  "/>
    <m/>
    <s v="There are no new wells in the last 4 years within a 3 mile radius"/>
    <m/>
    <m/>
    <n v="0"/>
    <n v="3250"/>
    <n v="1490"/>
    <m/>
  </r>
  <r>
    <s v="WY-2020-06-0424"/>
    <m/>
    <n v="18"/>
    <m/>
    <n v="596"/>
    <x v="3"/>
    <s v="WY T0340N, R0730W, 6TH PMSection: 032 NENE, N2NW, SENW, W2SW, E2SW (EXCL 3.00 AC IN RSVR ROW WYC041610);Section: 033 W2E2,SENE,E2SE (EXCL 1.00 AC IN RSVR ROW WYD05730)"/>
    <m/>
    <m/>
    <m/>
    <s v="In a 3 mile radius there are 2 active permits_x000d_2 permits are H wells _x000d_The average lateral length among these permits is 9000 ft. _x000d_- The TVD for these well(s) are ~12500ft_x000d_Panther Energy Company Iii, Llc has 2 permits"/>
    <s v="In a 3 mile radius, the latest leases with bonus information were taken in 2019._x000d_Knprb Leases paid $252/acre.  Colorado Energy Minerals paid between $13/acre and $302/acre.  The weighted average price in 2019 overall within the 3 radius was $247/acre.  The highest price paid in 2019 was $302/acre"/>
    <m/>
    <s v="There are 1 wells within 3 mile radius that have started producing within last 4 years_x000d__x000d_2.38 mi NE, Panther Energy Company Iii Llc has a H well at 12288 that has made 62 mbbl and 42 mmcf after 5 months of producing"/>
    <m/>
    <m/>
    <n v="0"/>
    <n v="2256"/>
    <n v="1064"/>
    <m/>
  </r>
  <r>
    <s v="WY-2020-06-0425"/>
    <m/>
    <n v="19"/>
    <m/>
    <n v="520"/>
    <x v="3"/>
    <s v="WY T0350N, R0730W, 6TH PMSection: 023 SENE,S2;Section: 024 SW"/>
    <m/>
    <m/>
    <m/>
    <s v="In a 3 mile radius there are 5 active permits_x000d_5 permits are H wells _x000d_The average lateral length among these permits is 10000 ft. _x000d_- The TVD for these well(s) are ~12300ft_x000d_Panther Energy Company Iii, Llc has 5 permits"/>
    <s v="In a 3 mile radius, the latest leases with bonus information were taken in 2019._x000d_Panther Energy paid between $501/acre and $1548/acre.  "/>
    <m/>
    <s v="There are 1 wells within 3 mile radius that have started producing within last 4 years_x000d__x000d_2.96 mi SW, Panther Energy Company Iii Llc has a H well at 12529 that has made 94 mbbl and 74 mmcf after 6 months of producing"/>
    <m/>
    <m/>
    <n v="0"/>
    <n v="1990"/>
    <n v="950"/>
    <m/>
  </r>
  <r>
    <s v="WY-2020-06-0426"/>
    <m/>
    <n v="20"/>
    <m/>
    <n v="1327.09"/>
    <x v="4"/>
    <s v="WY T0520N, R0740W, 6TH PMSection: 011 LOTS 3-6, 9-16;Section: 012 LOTS 11-14;Section: 013 LOTS 10-13;Section: 014 LOTS 3-6, 9-16;Section: 015 LOT 16"/>
    <m/>
    <m/>
    <s v="Cold"/>
    <s v="There are no permits within a 3 mile radius"/>
    <s v="In a 3 mile radius, the latest leases with bonus information were taken in 2020._x000d_Baseline Minerals paid $1/acre.  3 years ago viking oil paid 15=25/acre within 1 mi of tract"/>
    <m/>
    <s v="There are no new wells in the last 4 years within a 3 mile radius"/>
    <m/>
    <m/>
    <n v="0"/>
    <n v="4818"/>
    <n v="2162"/>
    <m/>
  </r>
  <r>
    <s v="WY-2020-06-0427"/>
    <m/>
    <n v="21"/>
    <m/>
    <n v="360"/>
    <x v="3"/>
    <s v="WY T0380N, R0750W, 6TH PMSection: 008 SWSE;Section: 009 E2"/>
    <m/>
    <m/>
    <m/>
    <s v="In a 3 mile radius there are 3 active permits_x000d_3 permits are H wells _x000d_The average lateral length among these permits is 10000 ft. _x000d_- The TVD for these well(s) are ~13200ft_x000d_Northwoods Operating Llc has 1 permits, Wold Energy Partners Llc has 2 permits"/>
    <s v="In a 3 mile radius, the latest leases with bonus information were taken in 2019._x000d_Samson Resources paid $1501/acre.  "/>
    <m/>
    <s v="There are 3 wells within 3 mile radius that have started producing within last 4 years_x000d__x000d_2.75 mi SE, Northwoods Operating Llc has a H well at 10162 that has made 29 mbbl and 155 mmcf after 11 months of producing_x000d_2.41 mi S, Northwoods Operating Llc has a H well at 13012 that has made 43 mbbl and 140 mmcf after 32 months of producing_x000d_2.41 mi S, Northwoods Operating Llc has a H well at 13182 that has made 32 mbbl and 196 mmcf after 37 months of producing"/>
    <m/>
    <m/>
    <n v="0"/>
    <n v="1430"/>
    <n v="710"/>
    <m/>
  </r>
  <r>
    <s v="WY-2020-06-6730"/>
    <m/>
    <n v="92"/>
    <m/>
    <n v="40"/>
    <x v="3"/>
    <s v="WY T0380N, R0750W, 6TH PMSection: 008 SESW"/>
    <m/>
    <m/>
    <m/>
    <s v="In a 3 mile radius there are 7 active permits_x000d_7 permits are H wells _x000d_The average lateral length among these permits is 10000 ft. _x000d_- The TVD for these well(s) are ~12300ft_x000d_Northwoods Operating Llc has 3 permits, Sm Energy has 2 permits, Wold Energy Partners Llc has 2 permits"/>
    <s v="In a 3 mile radius, the latest leases with bonus information were taken in 2019._x000d_Samson Resources paid $1501/acre.  "/>
    <m/>
    <s v="There are 8 wells within 3 mile radius that have started producing within last 4 years_x000d_8 are H wells_x000d_2 wells have produced for 4 to 5 months and have made between 57 to 141 mbbls with 73 to 177 mmcf of gas.  These wells are currently averaging 514 bpd and 666 mcfd.  2 wells have produced for 6 to 8 months and have made between 41 to 141 mbbls with 92 to 234 mmcf of gas.  These wells are currently averaging 233 bpd and 488 mcfd.  1 well has made 43 mbbl and 140 mmcfd in 32 months and is currently making 0 bpd and 0 mcfd.  1 well has made 249 mbbl and 426 mmcfd in 38 months and is currently making 29 bpd and 12 mcfd.  "/>
    <m/>
    <m/>
    <n v="0"/>
    <n v="310"/>
    <n v="230"/>
    <m/>
  </r>
  <r>
    <s v="WY-2020-06-0428"/>
    <m/>
    <n v="22"/>
    <m/>
    <n v="110.69"/>
    <x v="3"/>
    <s v="WY T0400N, R0750W, 6TH PMSection: 004 LOTS 1,2;Section: 004 SWSW"/>
    <m/>
    <m/>
    <m/>
    <s v="In a 3 mile radius there are 16 active permits_x000d_14 permits are H wells ; 2 permits are V wells _x000d_The average lateral length among these permits is 10000 ft. _x000d_- The TVD for these well(s) are ~11800ft_x000d_Samson Resources has 2 permits, Titan Energy has 9 permits, Titan Expl has 5 permits"/>
    <s v="In a 3 mile radius, the latest leases with bonus information were taken in 2019._x000d_Kimmeridge Energy paid $1258/acre.  Titan Expl paid $6001/acre.  "/>
    <m/>
    <s v="There are 1 wells within 3 mile radius that have started producing within last 4 years_x000d__x000d_1.35 mi NW, Northwoods Operating Llc has a H well at 10813 that has made 44 mbbl and 32 mmcf after 14 months of producing"/>
    <m/>
    <m/>
    <n v="0"/>
    <n v="558.5"/>
    <n v="336.5"/>
    <m/>
  </r>
  <r>
    <s v="WY-2020-06-0429"/>
    <m/>
    <n v="23"/>
    <m/>
    <n v="2065.96"/>
    <x v="4"/>
    <s v="WY T0540N, R0750W, 6TH PMSection: 005 LOTS 5-12,15-18;Section: 006 LOTS 8-10,13-15;Section: 007 LOTS 5-7,10-12,15,18;Section: 008 LOTS 1-7,9-11;Section: 008 SENE, SWSW;Section: 009 LOTS 13-16;Section: 017 LOTS 3-5;Section: 017 NENW;Section: 018 7,10,15,18;Section: 019 NENW;Section: 028 LOT 1"/>
    <m/>
    <m/>
    <s v="Cold"/>
    <s v="There are no permits within a 3 mile radius"/>
    <s v="In a 3 mile radius, the latest leases with bonus information were taken in 2019._x000d_Baseline Minerals paid $640/acre.  "/>
    <m/>
    <s v="There are no new wells in the last 4 years within a 3 mile radius"/>
    <m/>
    <m/>
    <n v="0"/>
    <n v="7401"/>
    <n v="3269"/>
    <m/>
  </r>
  <r>
    <s v="WY-2020-06-0430"/>
    <m/>
    <n v="24"/>
    <m/>
    <n v="1948.65"/>
    <x v="5"/>
    <s v="WY T0530N, R0760W, 6TH PMSection: 005 LOTS 15, 18;Section: 028 LOTS 1-16;Section: 029 LOTS 1-16;Section: 032 LOTS 1-10, 15, 16;Section: 034 LOTS 11-14"/>
    <m/>
    <m/>
    <s v="Cold"/>
    <s v="There are no permits within a 3 mile radius"/>
    <s v="In a 3 mile radius, the latest leases with bonus information were taken in 2019._x000d_Baseline Minerals paid $40/acre.  4 mi east baseline paid 2/accre in 2020"/>
    <m/>
    <s v="There are no new wells in the last 4 years within a 3 mile radius"/>
    <m/>
    <m/>
    <n v="0"/>
    <n v="6991.5"/>
    <n v="3093.5"/>
    <m/>
  </r>
  <r>
    <s v="WY-2020-06-0431"/>
    <m/>
    <n v="25"/>
    <m/>
    <n v="960"/>
    <x v="6"/>
    <s v="WY T0380N, R0810W, 6TH PMSection: 015 SW;Section: 022 W2;Section: 027 NW;Section: 028 N2"/>
    <m/>
    <m/>
    <s v="Cold"/>
    <s v="There are no permits within a 3 mile radius"/>
    <s v="2 mi radius Timberline paid 1-2/acre for state and blm leases in 2019"/>
    <m/>
    <s v="There are no new wells in the last 4 years within a 3 mile radius"/>
    <m/>
    <m/>
    <n v="0"/>
    <n v="3530"/>
    <n v="1610"/>
    <m/>
  </r>
  <r>
    <s v="WY-2020-06-6731"/>
    <m/>
    <n v="93"/>
    <m/>
    <n v="1423.9"/>
    <x v="6"/>
    <s v="WY T0390N, R0810W, 6TH PMSection: 029 SW;Section: 030 LOTS 3,4;Section: 030 E2SW,SE;Section: 031 LOTS 1-4;Section: 031 E2,E2W2;Section: 032 W2"/>
    <m/>
    <m/>
    <s v="Cold"/>
    <s v="There are no permits within a 3 mile radius"/>
    <s v="There are no recorded leases within a 3 mile radius"/>
    <m/>
    <s v="There are no new wells in the last 4 years within a 3 mile radius"/>
    <m/>
    <m/>
    <n v="0"/>
    <n v="5154"/>
    <n v="2306"/>
    <m/>
  </r>
  <r>
    <s v="WY-2020-06-0433"/>
    <m/>
    <n v="27"/>
    <m/>
    <n v="2211.44"/>
    <x v="7"/>
    <s v="WY T0210N, R0850W, 6TH PMSection: 002 LOTS 1,8,13-22;Section: 002 S2;Section: 012 ALL SUBDIVISIONS:WY T0220N, R0850W, 6TH PMSection: 022 S2;Section: 026 ALL SUBDIVISIONS"/>
    <m/>
    <m/>
    <s v="Cold"/>
    <s v="There are no permits within a 3 mile radius"/>
    <s v="In a 3 mile radius, the latest leases with bonus information were taken in 2017._x000d_Bissell Oil paid $2/acre.  "/>
    <m/>
    <s v="There are no new wells in the last 4 years within a 3 mile radius"/>
    <m/>
    <m/>
    <n v="0"/>
    <n v="7912"/>
    <n v="3488"/>
    <m/>
  </r>
  <r>
    <s v="WY-2020-06-6733"/>
    <m/>
    <n v="94"/>
    <m/>
    <n v="746.01"/>
    <x v="7"/>
    <s v="WY T0130N, R0910W, 6TH PMSection: 024 LOTS 3,4;Section: 024 NW,W2SE;Section: 025 LOTS 4,5;Section: 025 NW,N2SW;Section: 026 LOT 1;Section: 026 SENE,NESE"/>
    <m/>
    <m/>
    <s v="Cold"/>
    <s v="There are no permits within a 3 mile radius"/>
    <s v="In a 3 mile radius, the latest leases with bonus information were taken in 2020._x000d_Diamond Resources paid $1/acre.   Riptide energy and kirkwood paid 10/acre for blm in 2/19"/>
    <m/>
    <s v="There are no new wells in the last 4 years within a 3 mile radius"/>
    <m/>
    <m/>
    <n v="0"/>
    <n v="2784.5"/>
    <n v="1290.5"/>
    <m/>
  </r>
  <r>
    <s v="WY-2020-06-0436"/>
    <m/>
    <n v="30"/>
    <m/>
    <n v="557.12"/>
    <x v="7"/>
    <s v="WY T0130N, R0910W, 6TH PMSection: 034 LOTS 1-3;Section: 034 S2NE,N2SE;Section: 035 LOTS 1-3,6,7;Section: 035 W2NE,NWSE"/>
    <m/>
    <m/>
    <s v="Cold"/>
    <s v="There are no permits within a 3 mile radius"/>
    <s v="In a 3 mile radius, the latest leases with bonus information were taken in 2020._x000d_Diamond Resources paid $1/acre.   Riptide energy and kirkwood paid 10/acre for blm in 2/19"/>
    <m/>
    <s v="There are no new wells in the last 4 years within a 3 mile radius"/>
    <m/>
    <m/>
    <n v="0"/>
    <n v="2123"/>
    <n v="1007"/>
    <m/>
  </r>
  <r>
    <s v="WY-2020-06-0437"/>
    <m/>
    <n v="31"/>
    <m/>
    <n v="640"/>
    <x v="8"/>
    <s v="WY T0200N, R0910W, 6TH PMSection: 020 ALL"/>
    <m/>
    <m/>
    <s v="Cold"/>
    <s v="There are no permits within a 3 mile radius"/>
    <s v="In a 3 mile radius, the latest leases with bonus information were taken in 2019._x000d_Mason Resources paid $788/acre.  Rockies Resources Holdings paid $206/acre.  "/>
    <m/>
    <s v="There are no new wells in the last 4 years within a 3 mile radius"/>
    <m/>
    <m/>
    <n v="0"/>
    <n v="2410"/>
    <n v="1130"/>
    <m/>
  </r>
  <r>
    <s v="WY-2020-06-0438"/>
    <m/>
    <n v="32"/>
    <m/>
    <n v="802.64"/>
    <x v="8"/>
    <s v="WY T0230N, R0930W, 6TH PMSection: 001 LOTS 1-4;Section: 012 ALL"/>
    <m/>
    <m/>
    <s v="Warm"/>
    <s v="In a 3 mile radius there are 6 active permits_x000d_1 permits are D wells ; 5 permits are H wells _x000d_The average lateral length among these permits is 5000 ft. _x000d_- The TVD for these well(s) are ~12500ft_x000d_Southland Royalty Company has 6 permits"/>
    <s v="In a 3 mile radius, the latest leases with bonus information were taken in 2020._x000d_Liberty Petr paid $17/acre.  The weighted average price in 2020 overall within the 3 radius was $17/acre.  "/>
    <m/>
    <s v="3 mi southwest conoco drilled 2 wells in 2019 - best well has made 750 mmcdf and 30 mbbl In 6 months"/>
    <m/>
    <m/>
    <n v="0"/>
    <n v="2980.5"/>
    <n v="1374.5"/>
    <m/>
  </r>
  <r>
    <s v="WY-2020-06-0440"/>
    <m/>
    <n v="33"/>
    <m/>
    <n v="600"/>
    <x v="8"/>
    <s v="WY T0240N, R0930W, 6TH PMSection: 025 N2, W2SW, SESW, SE"/>
    <m/>
    <m/>
    <s v="Cold"/>
    <s v="There are no permits within a 3 mile radius"/>
    <s v="In a 3 mile radius, the latest leases with bonus information were taken in 2020._x000d_Liberty Petr paid $17/acre.  "/>
    <m/>
    <s v="There are no new wells in the last 4 years within a 3 mile radius"/>
    <m/>
    <m/>
    <n v="0"/>
    <n v="2270"/>
    <n v="1070"/>
    <m/>
  </r>
  <r>
    <s v="WY-2020-06-6734"/>
    <m/>
    <n v="95"/>
    <m/>
    <n v="2044.11"/>
    <x v="9"/>
    <s v="WY T0470N, R0940W, 6TH PMSection: 008 LOTS 1-8;Section: 009 LOTS 1-16;Section: 013 LOTS 1-4;Section: 014 S2NE, NW;Section: 018 LOTS 5-20"/>
    <m/>
    <m/>
    <s v="Cold"/>
    <s v="There are no permits within a 3 mile radius"/>
    <s v="In a 3 mile radius, the latest leases with bonus information were taken in 2019._x000d_Nerd Gas paid $640/acre.    Baseline paid 42/acre in 12/19 for glm leases "/>
    <m/>
    <s v="There are no new wells in the last 4 years within a 3 mile radius"/>
    <m/>
    <m/>
    <n v="0"/>
    <n v="7327.5"/>
    <n v="3237.5"/>
    <m/>
  </r>
  <r>
    <s v="WY-2020-06-0443"/>
    <m/>
    <n v="36"/>
    <m/>
    <n v="2438.4899999999998"/>
    <x v="9"/>
    <s v="WY T0480N, R0940W, 6TH PMSection: 006 LOTS 9-14;;Section: 006 SWNE,SENW,E2SW,W2SE,SESE;Section: 007 LOTS 5-8;Section: 007 E2,E2W2:WY T0480N, R0950W, 6TH PMSection: 001 LOTS 5-8;Section: 001 S2N2,S2;Section: 012 ALL SUBDIVISIONS"/>
    <m/>
    <m/>
    <s v="Cold"/>
    <s v="There are no permits within a 3 mile radius"/>
    <s v="In a 3 mile radius, the latest leases with bonus information were taken in 2019._x000d_Baseline Minerals paid $1280/acre.  Groce'S Landing paid $2/acre.  The weighted average price in 2019 overall within the 3 radius was $158/acre.  The highest price paid in 2019 was $1280/acre"/>
    <m/>
    <s v="There are no new wells in the last 4 years within a 3 mile radius"/>
    <m/>
    <m/>
    <n v="0"/>
    <n v="8706.5"/>
    <n v="3828.5"/>
    <m/>
  </r>
  <r>
    <s v="WY-2020-06-6735"/>
    <m/>
    <n v="96"/>
    <m/>
    <n v="1195.25"/>
    <x v="9"/>
    <s v="WY T0480N, R0940W, 6TH PMSection: 011 ALL SUBDIVISIONS;Section: 031 LOTS 6-11,13-20"/>
    <m/>
    <m/>
    <s v="Cold"/>
    <s v="There are no permits within a 3 mile radius"/>
    <s v="area to the east is mainly leased by bseline minerals for 10-42/acre"/>
    <m/>
    <s v="There are no new wells in the last 4 years within a 3 mile radius"/>
    <m/>
    <m/>
    <n v="0"/>
    <n v="4356"/>
    <n v="1964"/>
    <m/>
  </r>
  <r>
    <s v="WY-2020-06-6736"/>
    <m/>
    <n v="97"/>
    <m/>
    <n v="1920.45"/>
    <x v="9"/>
    <s v="WY T0480N, R0940W, 6TH PMSection: 018 LOTS 5-8;Section: 018 E2,E2W2;Section: 019 LOTS 5-8;Section: 019 E2,E2W2:WY T0480N, R0950W, 6TH PMSection: 013 ALL SUBDIVISIONS"/>
    <m/>
    <m/>
    <s v="Cold"/>
    <s v="There are no permits within a 3 mile radius"/>
    <s v="28/acre paid by baseline minerals for blm leases in 2018 in 3 mi radius"/>
    <m/>
    <s v="There are no new wells in the last 4 years within a 3 mile radius"/>
    <m/>
    <m/>
    <n v="0"/>
    <n v="6893.5"/>
    <n v="3051.5"/>
    <m/>
  </r>
  <r>
    <s v="WY-2020-06-6862"/>
    <m/>
    <n v="131"/>
    <m/>
    <n v="1640"/>
    <x v="10"/>
    <s v="WY T0490N, R0940W, 6TH PMSection: 019 SESE;Section: 020 SW,W2SE,SESE;Section: 021 S2SW,SWSE;Section: 027 NWNW,S2NW,SW,W2SE,SESE;Section: 029 ALL SUBDIVISIONS;Section: 030 E2E2"/>
    <m/>
    <m/>
    <s v="Cold"/>
    <s v="There are no permits within a 3 mile radius"/>
    <s v="In a 3 mile radius, the latest leases with bonus information were taken in 2019._x000d_Diamond Resources paid between 7-$22/acre Liberty Petr paid $2/acre.  _x000d_In 2018, Baseline Minerals paid $27/acre. _x000d_Discovery Petr paid $19/acre. _x000d_In 2016, Robert L Bayless paid $2/acre. _x000d_"/>
    <m/>
    <s v="There are no new wells in the last 4 years within a 3 mile radius"/>
    <m/>
    <m/>
    <n v="0"/>
    <n v="5910"/>
    <n v="2630"/>
    <m/>
  </r>
  <r>
    <s v="WY-2020-06-6864"/>
    <m/>
    <n v="132"/>
    <m/>
    <n v="2200"/>
    <x v="10"/>
    <s v="WY T0490N, R0940W, 6TH PMSection: 019 SENE, NESE;Section: 020 N2, NESE;Section: 021 N2, N2S2,SESE;Section: 022 NWNW, S2NW, SW, W2SE, SESE;Section: 026 SW, W2SE, SESE;Section: 027 NESE;Section: 027 NE, NENW;Section: 030 SESW,W2SE;Section: 035 NE,NENW"/>
    <m/>
    <m/>
    <s v="Cold"/>
    <s v="There are no permits within a 3 mile radius"/>
    <s v="In a 3 mile radius, the latest leases with bonus information were taken in 2019._x000d_Diamond Resources paid between 7-$22/acre Liberty Petr paid $2/acre.  _x000d_In 2018, Baseline Minerals paid $27/acre. _x000d_Discovery Petr paid $19/acre. _x000d_In 2016, Robert L Bayless paid $2/acre. _x000d_"/>
    <m/>
    <s v="There are no new wells in the last 4 years within a 3 mile radius"/>
    <m/>
    <m/>
    <n v="0"/>
    <n v="7870"/>
    <n v="3470"/>
    <m/>
  </r>
  <r>
    <s v="WY-2020-06-0668"/>
    <m/>
    <n v="89"/>
    <m/>
    <n v="1559.92"/>
    <x v="10"/>
    <s v="WY T0490N, R0940W, 6TH PMSection: 031 LOTS 1-4;Section: 031 E2,E2W2;Section: 032 N2, SW;Section: 035 NWNW,S2NW,S2"/>
    <m/>
    <m/>
    <s v="Cold"/>
    <s v="There are no permits within a 3 mile radius"/>
    <s v="In a 3 mile radius, the latest leases with bonus information were taken in 2019._x000d_Liberty Petr paid $2/acre.  _x000d_In 2018, Baseline Minerals paid between $11/acre and $27/acre. _x000d_Discovery Petr paid $19/acre. _x000d_In 2016, Robert L Bayless paid $2/acre. _x000d_"/>
    <m/>
    <s v="There are no new wells in the last 4 years within a 3 mile radius"/>
    <m/>
    <m/>
    <n v="0"/>
    <n v="5630"/>
    <n v="2510"/>
    <m/>
  </r>
  <r>
    <s v="WY-2020-06-6740"/>
    <m/>
    <n v="98"/>
    <m/>
    <n v="1946.96"/>
    <x v="9"/>
    <s v="WY T0470N, R0950W, 6TH PMSection: 001 LOTS 5-20;Section: 002 LOTS 5-20;Section: 011 LOTS 1-16"/>
    <m/>
    <m/>
    <s v="Cold"/>
    <s v="There are no permits within a 3 mile radius"/>
    <s v="In a 3 mile radius, the latest leases with bonus information were taken in 2020._x000d_Baseline Minerals paid $3/acre.    1 mi sw context energy paid 22/acre in 2012"/>
    <m/>
    <s v="There are no new wells in the last 4 years within a 3 mile radius"/>
    <m/>
    <m/>
    <n v="0"/>
    <n v="6984.5"/>
    <n v="3090.5"/>
    <m/>
  </r>
  <r>
    <s v="WY-2020-06-6741"/>
    <m/>
    <n v="99"/>
    <m/>
    <n v="1947.55"/>
    <x v="9"/>
    <s v="WY T0470N, R0950W, 6TH PMSection: 003 LOTS 5-20;Section: 004 LOTS 5-20;Section: 010 LOTS 1-16"/>
    <m/>
    <m/>
    <s v="Cold"/>
    <s v="There are no permits within a 3 mile radius"/>
    <s v="In a 3 mile radius, the latest leases with bonus information were taken in 2020._x000d_Baseline Minerals paid $3/acre.    1 mi sw context energy paid 22/acre in 2012"/>
    <m/>
    <s v="There are no new wells in the last 4 years within a 3 mile radius"/>
    <m/>
    <m/>
    <n v="0"/>
    <n v="6988"/>
    <n v="3092"/>
    <m/>
  </r>
  <r>
    <s v="WY-2020-06-6742"/>
    <m/>
    <n v="100"/>
    <m/>
    <n v="1946.06"/>
    <x v="9"/>
    <s v="WY T0470N, R0950W, 6TH PMSection: 005 LOTS 5-20;Section: 006 LOTS 8-23;Section: 007 LOTS 5-20"/>
    <m/>
    <m/>
    <s v="Cold"/>
    <s v="There are no permits within a 3 mile radius"/>
    <s v="In a 3 mile radius, the latest leases with bonus information were taken in 2020._x000d_Baseline Minerals paid $3/acre.  "/>
    <m/>
    <s v="There are no new wells in the last 4 years within a 3 mile radius"/>
    <m/>
    <m/>
    <n v="0"/>
    <n v="6984.5"/>
    <n v="3090.5"/>
    <m/>
  </r>
  <r>
    <s v="WY-2020-06-6743"/>
    <m/>
    <n v="101"/>
    <m/>
    <n v="1992.2"/>
    <x v="9"/>
    <s v="WY T0470N, R0950W, 6TH PMSection: 015 LOTS 1-16;Section: 017 LOTS 1-16;Section: 021 LOTS 3-6;Section: 029 LOTS 2-6;Section: 030 LOTS 5-12"/>
    <m/>
    <m/>
    <s v="Cold"/>
    <s v="There are no permits within a 3 mile radius"/>
    <s v="In a 3 mile radius, the latest leases with bonus information were taken in 2020._x000d_Baseline Minerals paid $3/acre.  "/>
    <m/>
    <s v="There are no new wells in the last 4 years within a 3 mile radius"/>
    <m/>
    <m/>
    <n v="0"/>
    <n v="7145.5"/>
    <n v="3159.5"/>
    <m/>
  </r>
  <r>
    <s v="WY-2020-06-6744"/>
    <m/>
    <n v="102"/>
    <m/>
    <n v="1949.71"/>
    <x v="9"/>
    <s v="WY T0470N, R0950W, 6TH PMSection: 018 LOTS 5-20;Section: 019 LOTS 5-20;Section: 020 LOTS 1-16"/>
    <m/>
    <m/>
    <s v="Cold"/>
    <s v="There are no permits within a 3 mile radius"/>
    <s v="In a 3 mile radius, the latest leases with bonus information were taken in 2020._x000d_Baseline Minerals paid $3/acre.  "/>
    <m/>
    <s v="There are no new wells in the last 4 years within a 3 mile radius"/>
    <m/>
    <m/>
    <n v="0"/>
    <n v="6995"/>
    <n v="3095"/>
    <m/>
  </r>
  <r>
    <s v="WY-2020-06-0445"/>
    <m/>
    <n v="37"/>
    <m/>
    <n v="2554.6"/>
    <x v="9"/>
    <s v="WY T0480N, R0950W, 6TH PMSection: 002 LOTS 5-8;Section: 002 S2N2,S2Section: 003 LOTS 5-20;Section: 010 LOTS 1-16;Section: 011 ALL SUBDIVISIONS"/>
    <m/>
    <m/>
    <s v="Cold"/>
    <s v="There are no permits within a 3 mile radius"/>
    <s v="In a 3 mile radius, the latest leases with bonus information were taken in 2019._x000d_Groce'S Landing paid $2/acre.  Liberty Petr paid $2/acre.  "/>
    <m/>
    <s v="There are no new wells in the last 4 years within a 3 mile radius"/>
    <m/>
    <m/>
    <n v="0"/>
    <n v="9112.5"/>
    <n v="4002.5"/>
    <m/>
  </r>
  <r>
    <s v="WY-2020-06-0446"/>
    <m/>
    <n v="38"/>
    <m/>
    <n v="2559.27"/>
    <x v="9"/>
    <s v="WY T0480N, R0950W, 6TH PMSection: 004 LOTS 5-20;Section: 005 LOTS 5-20;Section: 008 LOTS 1-16;Section: 009 LOTS 1-16"/>
    <m/>
    <m/>
    <s v="Cold"/>
    <s v="There are no permits within a 3 mile radius"/>
    <s v="In a 3 mile radius, the latest leases with bonus information were taken in 2019._x000d_Groce'S Landing paid $2/acre.  Liberty Petr paid $2/acre.  "/>
    <m/>
    <s v="There are no new wells in the last 4 years within a 3 mile radius"/>
    <m/>
    <m/>
    <n v="0"/>
    <n v="9130"/>
    <n v="4010"/>
    <m/>
  </r>
  <r>
    <s v="WY-2020-06-0448"/>
    <m/>
    <n v="39"/>
    <m/>
    <n v="1277.01"/>
    <x v="9"/>
    <s v="WY T0480N, R0950W, 6TH PMSection: 006 LOTS 8-23;Section: 007 LOTS 5-20"/>
    <m/>
    <m/>
    <s v="Cold"/>
    <s v="There are no permits within a 3 mile radius"/>
    <s v="In a 3 mile radius, the latest leases with bonus information were taken in 2019._x000d_Groce'S Landing paid $2/acre.  Liberty Petr paid $2/acre.  "/>
    <m/>
    <s v="There are no new wells in the last 4 years within a 3 mile radius"/>
    <m/>
    <m/>
    <n v="0"/>
    <n v="4643"/>
    <n v="2087"/>
    <m/>
  </r>
  <r>
    <s v="WY-2020-06-6746"/>
    <m/>
    <n v="103"/>
    <m/>
    <n v="1922.24"/>
    <x v="9"/>
    <s v="WY T0480N, R0950W, 6TH PMSection: 014 ALL SUBDIVISIONS;Section: 015 LOTS 1-16;Section: 023 ALL SUBDIVISIONS"/>
    <m/>
    <m/>
    <s v="Cold"/>
    <s v="There are no permits within a 3 mile radius"/>
    <s v="In a 3 mile radius, the latest leases with bonus information were taken in 2019._x000d_Diamond Resources paid 1/acre (says 640 on di - most likely total bonus)  "/>
    <m/>
    <s v="There are no new wells in the last 4 years within a 3 mile radius"/>
    <m/>
    <m/>
    <n v="0"/>
    <n v="6900.5"/>
    <n v="3054.5"/>
    <m/>
  </r>
  <r>
    <s v="WY-2020-06-6747"/>
    <m/>
    <n v="104"/>
    <m/>
    <n v="1946.64"/>
    <x v="9"/>
    <s v="WY T0480N, R0950W, 6TH PMSection: 017 LOTS 1-16;Section: 018 LOTS 5-20;Section: 019 LOTS 5-20"/>
    <m/>
    <m/>
    <s v="Cold"/>
    <s v="There are no permits within a 3 mile radius"/>
    <s v="In a 3 mile radius, the latest leases with bonus information were taken in 2019._x000d_Diamond Resources paid 1/acre (says 640 on di - most likely total bonus)  "/>
    <m/>
    <s v="There are no new wells in the last 4 years within a 3 mile radius"/>
    <m/>
    <m/>
    <n v="0"/>
    <n v="6984.5"/>
    <n v="3090.5"/>
    <m/>
  </r>
  <r>
    <s v="WY-2020-06-6748"/>
    <m/>
    <n v="105"/>
    <m/>
    <n v="1937.84"/>
    <x v="9"/>
    <s v="WY T0480N, R0950W, 6TH PMSection: 020 LOTS 1-16;Section: 021 LOTS 1-16;Section: 022 LOTS 1-16"/>
    <m/>
    <m/>
    <s v="Cold"/>
    <s v="There are no permits within a 3 mile radius"/>
    <s v="In a 3 mile radius, the latest leases with bonus information were taken in 2019._x000d_Diamond Resources paid 1/acre (says 640 on di - most likely total bonus)  "/>
    <m/>
    <s v="There are no new wells in the last 4 years within a 3 mile radius"/>
    <m/>
    <m/>
    <n v="0"/>
    <n v="6953"/>
    <n v="3077"/>
    <m/>
  </r>
  <r>
    <s v="WY-2020-06-6749"/>
    <m/>
    <n v="106"/>
    <m/>
    <n v="1925.68"/>
    <x v="9"/>
    <s v="WY T0480N, R0950W, 6TH PMSection: 026 ALL SUBDIVISIONS;Section: 027 LOTS 1-16;Section: 035 ALL SUBDIVISIONS"/>
    <m/>
    <m/>
    <s v="Cold"/>
    <s v="There are no permits within a 3 mile radius"/>
    <s v="In a 3 mile radius, the latest leases with bonus information were taken in 2019._x000d_Diamond Resources paid 1/acre (says 640 on di - most likely total bonus)  "/>
    <m/>
    <s v="There are no new wells in the last 4 years within a 3 mile radius"/>
    <m/>
    <m/>
    <n v="0"/>
    <n v="6911"/>
    <n v="3059"/>
    <m/>
  </r>
  <r>
    <s v="WY-2020-06-0454"/>
    <m/>
    <n v="44"/>
    <m/>
    <n v="1938.92"/>
    <x v="9"/>
    <s v="WY T0480N, R0950W, 6TH PMSection: 028 LOTS 1-16;Section: 033 LOTS 1-16;Section: 034 LOTS 1-16"/>
    <m/>
    <m/>
    <s v="Cold"/>
    <s v="There are no permits within a 3 mile radius"/>
    <s v="In a 3 mile radius, the latest leases with bonus information were taken in 2019._x000d_Diamond Resources paid 1/acre (says 640 on di - most likely total bonus)  "/>
    <m/>
    <s v="There are no new wells in the last 4 years within a 3 mile radius"/>
    <m/>
    <m/>
    <n v="0"/>
    <n v="6956.5"/>
    <n v="3078.5"/>
    <m/>
  </r>
  <r>
    <s v="WY-2020-06-6750"/>
    <m/>
    <n v="107"/>
    <m/>
    <n v="1947.04"/>
    <x v="9"/>
    <s v="WY T0480N, R0950W, 6TH PMSection: 029 LOTS 1-16;Section: 030 LOTS 5-20;Section: 032 LOTS 1-16"/>
    <m/>
    <m/>
    <s v="Cold"/>
    <s v="There are no permits within a 3 mile radius"/>
    <s v="In a 3 mile radius, the latest leases with bonus information were taken in 2019._x000d_Diamond Resources paid 1/acre (says 640 on di - most likely total bonus)  "/>
    <m/>
    <s v="There are no new wells in the last 4 years within a 3 mile radius"/>
    <m/>
    <m/>
    <n v="0"/>
    <n v="6988"/>
    <n v="3092"/>
    <m/>
  </r>
  <r>
    <s v="WY-2020-06-6751"/>
    <m/>
    <n v="108"/>
    <m/>
    <n v="1955.75"/>
    <x v="9"/>
    <s v="WY T0470N, R0960W, 6TH PMSection: 001 LOTS 5-20;Section: 002 LOTS 5-20;Section: 012 LOTS 1-16"/>
    <m/>
    <m/>
    <s v="Cold"/>
    <s v="There are no permits within a 3 mile radius"/>
    <s v="1/acre 3.5 mi SE by baseline in 3/20 state sale"/>
    <m/>
    <s v="There are no new wells in the last 4 years within a 3 mile radius"/>
    <m/>
    <m/>
    <n v="0"/>
    <n v="7016"/>
    <n v="3104"/>
    <m/>
  </r>
  <r>
    <s v="WY-2020-06-6776"/>
    <m/>
    <n v="130"/>
    <m/>
    <n v="1997.46"/>
    <x v="9"/>
    <s v="WY T0470N, R0960W, 6TH PMSection: 003 LOTS 5-20;Section: 004 LOTS 5,12,13,20;Section: 009 LOTS 1-3, 6-11, 13-16;Section: 010 LOTS 1-16"/>
    <m/>
    <m/>
    <s v="Cold"/>
    <s v="There are no permits within a 3 mile radius"/>
    <s v="In a 3 mile radius, the latest leases with bonus information were taken in 2019._x000d_Baseline Minerals paid $42/acre.  "/>
    <m/>
    <s v="There are no new wells in the last 4 years within a 3 mile radius"/>
    <m/>
    <m/>
    <n v="0"/>
    <n v="7163"/>
    <n v="3167"/>
    <m/>
  </r>
  <r>
    <s v="WY-2020-06-6866"/>
    <m/>
    <n v="133"/>
    <m/>
    <n v="1948.43"/>
    <x v="9"/>
    <s v="WY T0470N, R0960W, 6TH PMSection: 004 LOTS 6-11, 14-19;Section: 005 LOTS 13, 14, 19, 20;Section: 009 LOTS 4,5,12;Section: 020 LOT 5;Section: 021 LOTS 5,16;Section: 021 LOTS 10-15;Section: 027 LOTS 1-3, 7, 8;Section: 027 LOT 4Section: 028 LOTS 1, 2;Section: 029 LOTS 1-4;Section: 031 LOTS 5-12"/>
    <m/>
    <m/>
    <s v="Cold"/>
    <s v="There are no permits within a 3 mile radius"/>
    <s v="In a 3 mile radius, the latest leases with bonus information were taken in 2019._x000d_Baseline Minerals paid $42/acre.  "/>
    <m/>
    <s v="There are no new wells in the last 4 years within a 3 mile radius"/>
    <m/>
    <m/>
    <n v="0"/>
    <n v="6991.5"/>
    <n v="3093.5"/>
    <m/>
  </r>
  <r>
    <s v="WY-2020-06-6754"/>
    <m/>
    <n v="109"/>
    <m/>
    <n v="1956.08"/>
    <x v="9"/>
    <s v="WY T0470N, R0960W, 6TH PMSection: 011 LOTS 1-16;Section: 013 LOTS 1-16;Section: 014 LOTS 1-16"/>
    <m/>
    <m/>
    <s v="Cold"/>
    <s v="There are no permits within a 3 mile radius"/>
    <s v="In a 3 mile radius, the latest leases with bonus information were taken in 2013._x000d_Wes State Lands paid $2/acre.  "/>
    <m/>
    <s v="There are no new wells in the last 4 years within a 3 mile radius"/>
    <m/>
    <m/>
    <n v="0"/>
    <n v="7019.5"/>
    <n v="3105.5"/>
    <m/>
  </r>
  <r>
    <s v="WY-2020-06-6755"/>
    <m/>
    <n v="110"/>
    <m/>
    <n v="1625.06"/>
    <x v="9"/>
    <s v="WY T0470N, R0960W, 6TH PMSection: 015 LOTS 1-16;Section: 021 LOTS 1-4,6-9;Section: 022 LOTS 1-16"/>
    <m/>
    <m/>
    <s v="Cold"/>
    <s v="There are no permits within a 3 mile radius"/>
    <s v="In a 3 mile radius, the latest leases with bonus information were taken in 2019._x000d_Baseline Minerals paid $42/acre.  "/>
    <m/>
    <s v="There are no new wells in the last 4 years within a 3 mile radius"/>
    <m/>
    <m/>
    <n v="0"/>
    <n v="5861"/>
    <n v="2609"/>
    <m/>
  </r>
  <r>
    <s v="WY-2020-06-0461"/>
    <m/>
    <n v="51"/>
    <m/>
    <n v="1951.12"/>
    <x v="9"/>
    <s v="WY T0470N, R0960W, 6TH PMSection: 023 LOTS 1-16;Section: 024 LOTS 1-16;Section: 025 LOTS 1-8;Section: 026 LOTS 1-8"/>
    <m/>
    <m/>
    <s v="Cold"/>
    <s v="There are no permits within a 3 mile radius"/>
    <s v="In a 3 mile radius, the latest leases with bonus information were taken in 2013._x000d_Wes State Lands paid $2/acre.  "/>
    <m/>
    <s v="There are no new wells in the last 4 years within a 3 mile radius"/>
    <m/>
    <m/>
    <n v="0"/>
    <n v="7002"/>
    <n v="3098"/>
    <m/>
  </r>
  <r>
    <s v="WY-2020-06-0449"/>
    <m/>
    <n v="40"/>
    <m/>
    <n v="1290.2"/>
    <x v="9"/>
    <s v="WY T0480N, R0960W, 6TH PMSection: 001 LOTS 5-20;Section: 012 LOTS 1-16"/>
    <m/>
    <m/>
    <s v="Cold"/>
    <s v="There are no permits within a 3 mile radius"/>
    <s v="In a 3 mile radius, the latest leases with bonus information were taken in 2019._x000d_Liberty Petr paid $2/acre.  Groce'S Landing paid $2/acre. "/>
    <m/>
    <s v="There are no new wells in the last 4 years within a 3 mile radius"/>
    <m/>
    <m/>
    <n v="0"/>
    <n v="4688.5"/>
    <n v="2106.5"/>
    <m/>
  </r>
  <r>
    <s v="WY-2020-06-6756"/>
    <m/>
    <n v="111"/>
    <m/>
    <n v="1287.42"/>
    <x v="9"/>
    <s v="WY T0480N, R0960W, 6TH PMSection: 002 LOTS 5-20;Section: 011 LOTS 1-16"/>
    <m/>
    <m/>
    <s v="Cold"/>
    <s v="There are no permits within a 3 mile radius"/>
    <s v="In a 3 mile radius, the latest leases with bonus information were taken in 2019._x000d_Liberty Petr paid $2/acre.  "/>
    <m/>
    <s v="There are no new wells in the last 4 years within a 3 mile radius"/>
    <m/>
    <m/>
    <n v="0"/>
    <n v="4678"/>
    <n v="2102"/>
    <m/>
  </r>
  <r>
    <s v="WY-2020-06-6757"/>
    <m/>
    <n v="112"/>
    <m/>
    <n v="2045.27"/>
    <x v="9"/>
    <s v="WY T0480N, R0960W, 6TH PMSection: 004 LOTS 5-20;Section: 005 LOTS 5-20;Section: 006 LOTS 8-18, 22, 23;Section: 008 LOTS 1-3, 7-9"/>
    <m/>
    <m/>
    <s v="Cold"/>
    <s v="There are no permits within a 3 mile radius"/>
    <s v="There are no recorded leases within a 3 mile radius"/>
    <m/>
    <s v="There are no new wells in the last 4 years within a 3 mile radius"/>
    <m/>
    <m/>
    <n v="0"/>
    <n v="7331"/>
    <n v="3239"/>
    <m/>
  </r>
  <r>
    <s v="WY-2020-06-6775"/>
    <m/>
    <n v="129"/>
    <m/>
    <n v="1221.28"/>
    <x v="9"/>
    <s v="WY T0480N, R0960W, 6TH PMSection: 006 LOTS 19, 21;Section: 007 LOTS 5-7, 10-15, 18, 19;Section: 008 LOTS 4-6, 11, 12;Section: 019 LOTS 19, 20;Section: 020  LOTS 9, 10, 13-16;Section: 021 LOTS 6,11-13"/>
    <m/>
    <m/>
    <s v="Cold"/>
    <s v="There are no permits within a 3 mile radius"/>
    <s v="There are no recorded leases within a 3 mile radius"/>
    <m/>
    <s v="There are no new wells in the last 4 years within a 3 mile radius"/>
    <m/>
    <m/>
    <n v="0"/>
    <n v="4447"/>
    <n v="2003"/>
    <m/>
  </r>
  <r>
    <s v="WY-2020-06-0464"/>
    <m/>
    <n v="53"/>
    <m/>
    <n v="1959.21"/>
    <x v="9"/>
    <s v="WY T0480N, R0960W, 6TH PMSection: 009 LOTS 1-16;Section: 010 LOTS 1-16;Section: 015 LOTS 1-16"/>
    <m/>
    <m/>
    <s v="Cold"/>
    <s v="There are no permits within a 3 mile radius"/>
    <s v="There are no recorded leases within a 3 mile radius"/>
    <m/>
    <s v="There are no new wells in the last 4 years within a 3 mile radius"/>
    <m/>
    <m/>
    <n v="0"/>
    <n v="7030"/>
    <n v="3110"/>
    <m/>
  </r>
  <r>
    <s v="WY-2020-06-0465"/>
    <m/>
    <n v="54"/>
    <m/>
    <n v="1961.45"/>
    <x v="9"/>
    <s v="WY T0480N, R0960W, 6TH PMSection: 013 LOTS 1-16;Section: 014 LOTS 1-16;Section: 024 LOTS 1-16"/>
    <m/>
    <m/>
    <s v="Cold"/>
    <s v="There are no permits within a 3 mile radius"/>
    <s v="There are no recorded leases within a 3 mile radius"/>
    <m/>
    <s v="There are no new wells in the last 4 years within a 3 mile radius"/>
    <m/>
    <m/>
    <n v="0"/>
    <n v="7037"/>
    <n v="3113"/>
    <m/>
  </r>
  <r>
    <s v="WY-2020-06-0466"/>
    <m/>
    <n v="55"/>
    <m/>
    <n v="2318.0100000000002"/>
    <x v="9"/>
    <s v="WY T0480N, R0960W, 6TH PMSection: 021 LOTS 1,2, 7-10, 14-16;Section: 022 LOTS 1-16;Section: 023 LOTS 1-16;Section: 027 LOTS 1-16"/>
    <m/>
    <m/>
    <s v="Cold"/>
    <s v="There are no permits within a 3 mile radius"/>
    <s v="There are no recorded leases within a 3 mile radius"/>
    <m/>
    <s v="There are no new wells in the last 4 years within a 3 mile radius"/>
    <m/>
    <m/>
    <n v="0"/>
    <n v="8286.5"/>
    <n v="3648.5"/>
    <m/>
  </r>
  <r>
    <s v="WY-2020-06-0467"/>
    <m/>
    <n v="56"/>
    <m/>
    <n v="1942.19"/>
    <x v="9"/>
    <s v="WY T0480N, R0960W, 6TH PMSection: 025 LOTS 1-16;Section: 026 LOTS 1-16;Section: 031 LOTS 5-20"/>
    <m/>
    <m/>
    <s v="Cold"/>
    <s v="There are no permits within a 3 mile radius"/>
    <s v="There are no recorded leases within a 3 mile radius"/>
    <m/>
    <s v="There are no new wells in the last 4 years within a 3 mile radius"/>
    <m/>
    <m/>
    <n v="0"/>
    <n v="6970.5"/>
    <n v="3084.5"/>
    <m/>
  </r>
  <r>
    <s v="WY-2020-06-0468"/>
    <m/>
    <n v="57"/>
    <m/>
    <n v="2484.5500000000002"/>
    <x v="9"/>
    <s v="WY T0480N, R0960W, 6TH PMSection: 028 LOTS 1-16;Section: 033 LOTS 1-11, 15, 16;Section: 034 LOTS 1-16;Section: 035 LOTS 1-16"/>
    <m/>
    <m/>
    <s v="Cold"/>
    <s v="There are no permits within a 3 mile radius"/>
    <s v="There are no recorded leases within a 3 mile radius"/>
    <m/>
    <s v="There are no new wells in the last 4 years within a 3 mile radius"/>
    <m/>
    <m/>
    <n v="0"/>
    <n v="8867.5"/>
    <n v="3897.5"/>
    <m/>
  </r>
  <r>
    <s v="WY-2020-06-0469"/>
    <m/>
    <n v="58"/>
    <m/>
    <n v="2066.1999999999998"/>
    <x v="9"/>
    <s v="WY T0480N, R0960W, 6TH PMSection: 029 LOTS 1-16;Section: 030 LOTS 5-20;Section: 032 LOTS 1-16;Section: 033 LOTS 12-14"/>
    <m/>
    <m/>
    <s v="Cold"/>
    <s v="There are no permits within a 3 mile radius"/>
    <s v="There are no recorded leases within a 3 mile radius"/>
    <m/>
    <s v="There are no new wells in the last 4 years within a 3 mile radius"/>
    <m/>
    <m/>
    <n v="0"/>
    <n v="7404.5"/>
    <n v="3270.5"/>
    <m/>
  </r>
  <r>
    <s v="WY-2020-06-0470"/>
    <m/>
    <n v="59"/>
    <m/>
    <n v="2438.15"/>
    <x v="10"/>
    <s v="WY T0490N, R0960W, 6TH PMSection: 001 LOT 8;Section: 001 S2N2,S2Section: 002 LOTS 5-8;Section: 002 S2N2,S2Section: 011 ALL SUBDIVISIONS;Section: 012 ALL SUBDIVISIONS"/>
    <m/>
    <m/>
    <s v="Cold"/>
    <s v="There are no permits within a 3 mile radius"/>
    <s v="In a 3 mile radius, the latest leases with bonus information were taken in 2019._x000d_Diamond Resources paid $3/acre.  Groce'S Landing paid between $2/acre and $16/acre.  The weighted average price in 2019 overall within the 3 radius was $6/acre.  The highest price paid in 2019 was $16/acre_x000d_"/>
    <m/>
    <s v="There are no new wells in the last 4 years within a 3 mile radius"/>
    <m/>
    <m/>
    <n v="0"/>
    <n v="8706.5"/>
    <n v="3828.5"/>
    <m/>
  </r>
  <r>
    <s v="WY-2020-06-6869"/>
    <m/>
    <n v="134"/>
    <m/>
    <n v="2358.89"/>
    <x v="10"/>
    <s v="WY T0490N, R0960W, 6TH PMSection: 001 LOTS 5-7;Section: 003 LOTS 6-8;Section: 003 SWNE,S2NW,SW,W2SE;Section: 004 LOST 5-8;Section: 004 S2N2,S2;Section: 008 ALL SUBDIVISIONS;Section: 009 NESW,NWSE;Section: 009 N2;Section: 010 N2NW"/>
    <m/>
    <m/>
    <s v="Cold"/>
    <s v="There are no permits within a 3 mile radius"/>
    <s v="There are no recorded leases within a 3 mile radius - 4 mi east is the 3/acre diamond resources paid in 2019 from tract 59"/>
    <m/>
    <s v="There are no new wells in the last 4 years within a 3 mile radius"/>
    <m/>
    <m/>
    <n v="0"/>
    <n v="8426.5"/>
    <n v="3708.5"/>
    <m/>
  </r>
  <r>
    <s v="WY-2020-06-0471"/>
    <m/>
    <n v="60"/>
    <m/>
    <n v="2279.88"/>
    <x v="10"/>
    <s v="WY T0490N, R0960W, 6TH PMSection: 003 LOT 5;Section: 003 SENE,E2SE;Section: 009 LOTS 1-4;Section: 009 39 LOTS 5-8;Section: 009 NESE;Section: 013 ALL SUBDIVISIONS;Section: 014 ALL SUBDIVISIONS;Section: 015 LOTS 1,4,5,8;Section: 015 39 LOTS 2,3,6,7;Section: 015 E2,E2W2"/>
    <m/>
    <m/>
    <s v="Cold"/>
    <s v="There are no permits within a 3 mile radius"/>
    <s v="In a 3 mile radius, the latest leases with bonus information were taken in 2019._x000d_Diamond Resources paid $3/acre.  Groce'S Landing paid $2/acre.  The weighted average price in 2019 overall within the 3 radius was $2/acre.  The highest price paid in 2019 was $3/acre_x000d_"/>
    <m/>
    <s v="There are no new wells in the last 4 years within a 3 mile radius"/>
    <m/>
    <m/>
    <n v="0"/>
    <n v="8150"/>
    <n v="3590"/>
    <m/>
  </r>
  <r>
    <s v="WY-2020-06-0473"/>
    <m/>
    <n v="61"/>
    <m/>
    <n v="2557.96"/>
    <x v="10"/>
    <s v="WY T0490N, R0960W, 6TH PMSection: 005 LOTS 5-8;Section: 005 S2N2,S2;Section: 006 LOTS 8-14;Section: 006 S2NE,SENW,E2SW,SE;Section: 007 LOTS 5-8;Section: 007 E2,E2W2:WY T0490N, R0970W, 6TH PMSection: 001 5-8;Section: 001 S2N2,S2"/>
    <m/>
    <m/>
    <s v="Cold"/>
    <s v="There are no permits within a 3 mile radius"/>
    <s v="There are no recorded leases within a 3 mile radius"/>
    <m/>
    <s v="There are no new wells in the last 4 years within a 3 mile radius"/>
    <m/>
    <m/>
    <n v="0"/>
    <n v="9123"/>
    <n v="4007"/>
    <m/>
  </r>
  <r>
    <s v="WY-2020-06-0474"/>
    <m/>
    <n v="62"/>
    <m/>
    <n v="2200"/>
    <x v="10"/>
    <s v="WY T0490N, R0960W, 6TH PMSection: 017 NENE,S2N2,S2;Section: 020 N2,E2SW,SE;Section: 021 ALL SUBDIVISIONS;Section: 029 E2,E2W2"/>
    <m/>
    <m/>
    <s v="Cold"/>
    <s v="There are no permits within a 3 mile radius"/>
    <s v="There are no recorded leases within a 3 mile radius"/>
    <m/>
    <s v="There are no new wells in the last 4 years within a 3 mile radius"/>
    <m/>
    <m/>
    <n v="0"/>
    <n v="7870"/>
    <n v="3470"/>
    <m/>
  </r>
  <r>
    <s v="WY-2020-06-6870"/>
    <m/>
    <n v="135"/>
    <m/>
    <n v="2039.28"/>
    <x v="10"/>
    <s v="WY T0490N, R0960W, 6TH PMSection: 017 NWNE;Section: 017 N2NW;Section: 018  LOTS 5-8;Section: 018 E2,E2W2;Section: 019 LOST 5-8;Section: 019 E2,E2W2:WY T0490N, R0970W, 6TH PMSection: 013 ALL SUBDIVISIONS"/>
    <m/>
    <m/>
    <s v="Cold"/>
    <s v="There are no permits within a 3 mile radius"/>
    <s v="There are no recorded leases within a 3 mile radius"/>
    <m/>
    <s v="There are no new wells in the last 4 years within a 3 mile radius"/>
    <m/>
    <m/>
    <n v="0"/>
    <n v="7310"/>
    <n v="3230"/>
    <m/>
  </r>
  <r>
    <s v="WY-2020-06-0674"/>
    <m/>
    <n v="90"/>
    <m/>
    <n v="1785.64"/>
    <x v="10"/>
    <s v="WY T0490N, R0970W, 6TH PMSection: 024 N2, SE;Section: 025 LOT 1;Section: 025 NE, NESE:WY T0490N, R0960W, 6TH PMSection: 020 W2SW;Section: 029 W2W2;Section: 030 LOTS 5-7;Section: 030 E2,E2NW,NESW;Section: 031 E2NE, NESE;Section: 032 W2W2"/>
    <m/>
    <m/>
    <s v="Cold"/>
    <s v="There are no permits within a 3 mile radius"/>
    <s v="There are no recorded leases within a 3 mile radius"/>
    <m/>
    <s v="There are no new wells in the last 4 years within a 3 mile radius"/>
    <m/>
    <m/>
    <n v="0"/>
    <n v="6421"/>
    <n v="2849"/>
    <m/>
  </r>
  <r>
    <s v="WY-2020-06-0476"/>
    <m/>
    <n v="63"/>
    <m/>
    <n v="2560"/>
    <x v="10"/>
    <s v="WY T0490N, R0960W, 6TH PMSection: 022 ALL SUBDIVISIONS;Section: 023 ALL SUBDIVISIONS;Section: 027 ALL SUBDIVISIONS;Section: 028 ALL SUBDIVISIONS"/>
    <m/>
    <m/>
    <s v="Cold"/>
    <s v="There are no permits within a 3 mile radius"/>
    <s v="Liberty petroluem 2 mi east paid 2/acre in 12/19"/>
    <m/>
    <s v="There are no new wells in the last 4 years within a 3 mile radius"/>
    <m/>
    <m/>
    <n v="0"/>
    <n v="9130"/>
    <n v="4010"/>
    <m/>
  </r>
  <r>
    <s v="WY-2020-06-0477"/>
    <m/>
    <n v="64"/>
    <m/>
    <n v="1920"/>
    <x v="10"/>
    <s v="WY T0490N, R0960W, 6TH PMSection: 024 ALL SUBDIVISIONS;Section: 025 LOTS 1-4;Section: 025 TR 40 LOTS 5-8;Section: 025 N2,N2S2;Section: 026 ALL SUBDIVISIONS"/>
    <m/>
    <m/>
    <s v="Cold"/>
    <s v="There are no permits within a 3 mile radius"/>
    <s v="In a 3 mile radius, the latest leases with bonus information were taken in 2019._x000d_Liberty Petr paid $2/acre.  Diamond Resources paid $3/acre.  The weighted average price in 2019 overall within the 3 radius was $2/acre.  The highest price paid in 2019 was $3/acre_x000d_"/>
    <m/>
    <s v="There are no new wells in the last 4 years within a 3 mile radius"/>
    <m/>
    <m/>
    <n v="0"/>
    <n v="6890"/>
    <n v="3050"/>
    <m/>
  </r>
  <r>
    <s v="WY-2020-06-0479"/>
    <m/>
    <n v="65"/>
    <m/>
    <n v="2400"/>
    <x v="10"/>
    <s v="WY T0490N, R0960W, 6TH PMSection: 032 E2,E2W2;Section: 033 ALL SUBDIVISIONS;Section: 034 ALL SUBDIVISIONS;Section: 035 ALL SUBDIVISIONS"/>
    <m/>
    <m/>
    <s v="Cold"/>
    <s v="There are no permits within a 3 mile radius"/>
    <s v="Liberty petroluem 2 mi east paid 2/acre in 12/19"/>
    <m/>
    <s v="There are no new wells in the last 4 years within a 3 mile radius"/>
    <m/>
    <m/>
    <n v="0"/>
    <n v="8570"/>
    <n v="3770"/>
    <m/>
  </r>
  <r>
    <s v="WY-2020-06-0480"/>
    <m/>
    <n v="66"/>
    <m/>
    <n v="1916.55"/>
    <x v="9"/>
    <s v="WY T0470N, R0970W, 6TH PMSection: 001 LOTS 1-4;Section: 001 S2N2,S2;Section: 002 LOTS 1-4;Section: 002 S2N2,S2Section: 012 ALL SUBDIVISIONS"/>
    <m/>
    <m/>
    <s v="Cold"/>
    <s v="There are no permits within a 3 mile radius"/>
    <s v="There are no recorded leases within a 3 mile radius"/>
    <m/>
    <s v="There are no new wells in the last 4 years within a 3 mile radius"/>
    <m/>
    <m/>
    <n v="0"/>
    <n v="6879.5"/>
    <n v="3045.5"/>
    <m/>
  </r>
  <r>
    <s v="WY-2020-06-0481"/>
    <m/>
    <n v="67"/>
    <m/>
    <n v="1199.92"/>
    <x v="9"/>
    <s v="WY T0470N, R0970W, 6TH PMSection: 003 LOTS 1, 2;Section: 003 S2NE,SESection: 010 NE;Section: 011 ALL SUBDIVISIONS;Section: 015 E2NE"/>
    <m/>
    <m/>
    <s v="Cold"/>
    <s v="There are no permits within a 3 mile radius"/>
    <s v="There are no recorded leases within a 3 mile radius"/>
    <m/>
    <s v="There are no new wells in the last 4 years within a 3 mile radius"/>
    <m/>
    <m/>
    <n v="0"/>
    <n v="4370"/>
    <n v="1970"/>
    <m/>
  </r>
  <r>
    <s v="WY-2020-06-0482"/>
    <m/>
    <n v="68"/>
    <m/>
    <n v="1218.54"/>
    <x v="9"/>
    <s v="WY T0480N, R0970W, 6TH PMSection: 006 LOTS 8-16;Section: 006 S2;Section: 007 N2:WY T0480N, R0980W, 6TH PMSection: 011 NENE;Section: 012 NE, N2NW"/>
    <m/>
    <m/>
    <s v="Cold"/>
    <s v="There are no permits within a 3 mile radius"/>
    <s v="There are no recorded leases within a 3 mile radius"/>
    <m/>
    <s v="There are no new wells in the last 4 years within a 3 mile radius"/>
    <m/>
    <m/>
    <n v="0"/>
    <n v="4436.5"/>
    <n v="1998.5"/>
    <m/>
  </r>
  <r>
    <s v="WY-2020-06-0485"/>
    <m/>
    <n v="69"/>
    <m/>
    <n v="1764.88"/>
    <x v="9"/>
    <s v="WY T0480N, R0970W, 6TH PMSection: 024 SWSE;Section: 025 LOTS 1-4;Section: 025 W2E2,W2;Section: 034 LOTS 1-3;Section: 034 NE,E2NW,NESW,N2SE;Section: 035 LOTS 1-4;Section: 035 N2,N2S2"/>
    <m/>
    <m/>
    <s v="Cold"/>
    <s v="There are no permits within a 3 mile radius"/>
    <s v="There are no recorded leases within a 3 mile radius"/>
    <m/>
    <s v="There are no new wells in the last 4 years within a 3 mile radius"/>
    <m/>
    <m/>
    <n v="0"/>
    <n v="6347.5"/>
    <n v="2817.5"/>
    <m/>
  </r>
  <r>
    <s v="WY-2020-06-6758"/>
    <m/>
    <n v="113"/>
    <m/>
    <n v="1080"/>
    <x v="9"/>
    <s v="WY T0480N, R0970W, 6TH PMSection: 026 NE,E2NW,SWNW,S2;Section: 027 S2N2,S2"/>
    <m/>
    <m/>
    <s v="Cold"/>
    <s v="There are no permits within a 3 mile radius"/>
    <s v="There are no recorded leases within a 3 mile radius"/>
    <m/>
    <s v="There are no new wells in the last 4 years within a 3 mile radius"/>
    <m/>
    <m/>
    <n v="0"/>
    <n v="3950"/>
    <n v="1790"/>
    <m/>
  </r>
  <r>
    <s v="WY-2020-06-0487"/>
    <m/>
    <n v="71"/>
    <m/>
    <n v="2119.92"/>
    <x v="11"/>
    <s v="WY T0490N, R0970W, 6TH PMSection: 031 LOTS 5-8;Section: 031 E2,E2W2:WY T0480N, R0980W, 6TH PMSection: 001 5-16;Section: 001 S2;Section: 002 LOTS 5-16;Section: 002 S2"/>
    <m/>
    <m/>
    <s v="Cold"/>
    <s v="There are no permits within a 3 mile radius"/>
    <s v="There are no recorded leases within a 3 mile radius"/>
    <m/>
    <s v="There are no new wells in the last 4 years within a 3 mile radius"/>
    <m/>
    <m/>
    <n v="0"/>
    <n v="7590"/>
    <n v="3350"/>
    <m/>
  </r>
  <r>
    <s v="WY-2020-06-0486"/>
    <m/>
    <n v="70"/>
    <m/>
    <n v="640"/>
    <x v="10"/>
    <s v="WY T0490N, R0970W, 6TH PMSection: 032 ALL SUBDIVISIONS"/>
    <m/>
    <m/>
    <s v="Cold"/>
    <s v="There are no permits within a 3 mile radius"/>
    <s v="There are no recorded leases within a 3 mile radius"/>
    <m/>
    <s v="There are no new wells in the last 4 years within a 3 mile radius"/>
    <m/>
    <m/>
    <n v="0"/>
    <n v="2410"/>
    <n v="1130"/>
    <m/>
  </r>
  <r>
    <s v="WY-2020-06-0488"/>
    <m/>
    <n v="72"/>
    <m/>
    <n v="1705.36"/>
    <x v="8"/>
    <s v="WY T0120N, R1000W, 6TH PMSection: 005 LOTS 3,4;Section: 005 S2NW;Section: 006 LOTS 1-3, 10, 11;Section: 006 S2NE,SENW,E2SW,SE:WY T0130N, R1000W, 6TH PMSection: 029 SESW,SE;Section: 032 ALL;Section: 033 SE"/>
    <m/>
    <m/>
    <s v="Warm"/>
    <s v="There are no permits within a 3 mile radius"/>
    <s v="In a 3 mile radius, the latest leases with bonus information were taken in 2018._x000d_Bro Energy paid $6/acre.  _x000d_"/>
    <m/>
    <s v="There are 16 wells within 3 mile radius that have started producing within last 4 years_x000d_15 are D wells; 1 are V wells_x000d_Deviated well depths are roughly 7300' - low oil but good gas for depth of well_x000d_4 wells have produced for 12 to 18 months and have made between 1 to 3 mbbls with 196 to 647 mmcf of gas.  These wells are currently averaging 3 bpd and 667 mcfd.  8 wells have produced for 25 to 36 months and have made between 3 to 5 mbbls with 670 to 1088 mmcf of gas.  These wells are currently averaging 3 bpd and 701 mcfd.  3 wells have produced for 37 to 48 months and have made between 4 to 6 mbbls with 918 to 1349 mmcf of gas.  These wells are currently averaging 3 bpd and 524 mcfd.  "/>
    <m/>
    <m/>
    <n v="0"/>
    <n v="6141"/>
    <n v="2729"/>
    <m/>
  </r>
  <r>
    <s v="WY-2020-06-0489"/>
    <m/>
    <n v="73"/>
    <m/>
    <n v="1153.4100000000001"/>
    <x v="8"/>
    <s v="WY T0130N, R1000W, 6TH PMSection: 006 LOTS 10, 11;Section: 006 NESW,SE;Section: 007 E2;Section: 008 N2,N2S2,SWSW,SWSE"/>
    <m/>
    <m/>
    <s v="Warm"/>
    <s v="4 permits 2 mi Nw by questar - 7000 deviated wells"/>
    <s v="In a 3 mile radius, the latest leases with bonus information were taken in 2019._x000d_Liberty Petr paid $2/acre.  _x000d_"/>
    <m/>
    <s v="There are 17 wells within 3 mile radius that have started producing within last 4 years_x000d_16 are D wells; 1 are V wells_x000d_Deviated well depths are roughly 7300' - low oil but good gas for depth of well_x000d_13 wells have produced for 25 to 36 months and have made between 1 to 2 mbbls with 455 to 1025 mmcf of gas.  These wells are currently averaging 1 bpd and 458 mcfd.  4 wells have produced for 37 to 48 months and have made between 1 to 4 mbbls with 619 to 918 mmcf of gas.  These wells are currently averaging 1 bpd and 395 mcfd.  "/>
    <m/>
    <m/>
    <n v="0"/>
    <n v="4209"/>
    <n v="1901"/>
    <m/>
  </r>
  <r>
    <s v="WY-2020-06-0490"/>
    <m/>
    <n v="74"/>
    <m/>
    <n v="2560"/>
    <x v="8"/>
    <s v="WY T0130N, R1000W, 6TH PMSection: 014 SE;Section: 023 NE,S2;Section: 026 N2,SW,N2SE;Section: 027 N2,SW,N2SE;Section: 028 ALL;Section: 029 NE"/>
    <m/>
    <m/>
    <s v="Warm"/>
    <s v="6 ducs by wexpro few hundred ft from lease boundary - 7500 deviated wells by wexpro"/>
    <s v="In a 3 mile radius, the latest leases with bonus information were taken in 2018._x000d_Kirkwood O&amp;G paid $4/acre.  _x000d_In 2016, Kirkwood O&amp;G paid $13/acre. _x000d_Kog paid $28/acre. _x000d_"/>
    <m/>
    <s v="There are 8 wells within 3 mile radius that have started producing within last 4 years_x000d_7 are D wells; 1 are V wells_x000d_1 well has made 2 mbbl and 629 mmcfd in 15 months and is currently making 3 bpd and 1051 mcfd.  4 wells have produced for 25 to 36 months and have made between 1 to 2 mbbls with 648 to 794 mmcf of gas.  These wells are currently averaging 1 bpd and 434 mcfd.  2 wells have produced for 37 to 48 months and have made between 1 to 4 mbbls with 619 to 918 mmcf of gas.  These wells are currently averaging 1 bpd and 422 mcfd.  "/>
    <m/>
    <m/>
    <n v="0"/>
    <n v="9130"/>
    <n v="4010"/>
    <m/>
  </r>
  <r>
    <s v="WY-2020-06-0491"/>
    <m/>
    <n v="75"/>
    <m/>
    <n v="790.81"/>
    <x v="12"/>
    <s v="WY T0480N, R1010W, 6TH PMSection: 005 SW;Section: 006 LOTS 1-7;Section: 006 S2NE,SENW,E2SW,SE"/>
    <m/>
    <m/>
    <s v="Cold"/>
    <s v="There are no permits within a 3 mile radius"/>
    <s v="There are no recorded leases within a 3 mile radius"/>
    <m/>
    <s v="4-5 mi nw merit has drilled shallow oil wells at 4000' that have made 45-60 mbbl in 2 years"/>
    <m/>
    <m/>
    <n v="0"/>
    <n v="2938.5"/>
    <n v="1356.5"/>
    <m/>
  </r>
  <r>
    <s v="WY-2020-06-0492"/>
    <m/>
    <n v="76"/>
    <m/>
    <n v="920"/>
    <x v="12"/>
    <s v="WY T0480N, R1010W, 6TH PMSection: 007 E2;Section: 008 W2NE,SENE,W2,SE"/>
    <m/>
    <m/>
    <s v="Cold"/>
    <s v="There are no permits within a 3 mile radius"/>
    <s v="There are no recorded leases within a 3 mile radius"/>
    <m/>
    <s v="4-5 mi nw merit has drilled shallow oil wells at 4000' that have made 45-60 mbbl in 2 years"/>
    <m/>
    <m/>
    <n v="0"/>
    <n v="3390"/>
    <n v="1550"/>
    <m/>
  </r>
  <r>
    <s v="WY-2020-06-0493"/>
    <m/>
    <n v="77"/>
    <m/>
    <n v="640"/>
    <x v="12"/>
    <s v="WY T0480N, R1010W, 6TH PMSection: 009 S2;Section: 010 S2"/>
    <m/>
    <m/>
    <s v="Cold"/>
    <s v="There are no permits within a 3 mile radius"/>
    <s v="There are no recorded leases within a 3 mile radius"/>
    <m/>
    <s v="4-5 mi nw merit has drilled shallow oil wells at 4000' that have made 45-60 mbbl in 2 years"/>
    <m/>
    <m/>
    <n v="0"/>
    <n v="2410"/>
    <n v="1130"/>
    <m/>
  </r>
  <r>
    <s v="WY-2020-06-6759"/>
    <m/>
    <n v="114"/>
    <m/>
    <n v="320"/>
    <x v="12"/>
    <s v="WY T0480N, R1010W, 6TH PMSection: 010 N2"/>
    <m/>
    <m/>
    <s v="Cold"/>
    <s v="There are no permits within a 3 mile radius"/>
    <s v="There are no recorded leases within a 3 mile radius"/>
    <m/>
    <s v="4-5 mi nw merit has drilled shallow oil wells at 4000' that have made 45-60 mbbl in 2 years"/>
    <m/>
    <m/>
    <n v="0"/>
    <n v="1290"/>
    <n v="650"/>
    <m/>
  </r>
  <r>
    <s v="WY-2020-06-0495"/>
    <m/>
    <n v="78"/>
    <m/>
    <n v="320"/>
    <x v="12"/>
    <s v="WY T0480N, R1010W, 6TH PMSection: 015 E2"/>
    <m/>
    <m/>
    <s v="Cold"/>
    <s v="There are no permits within a 3 mile radius"/>
    <s v="There are no recorded leases within a 3 mile radius"/>
    <m/>
    <s v="4-5 mi nw merit has drilled shallow oil wells at 4000' that have made 45-60 mbbl in 2 years"/>
    <m/>
    <m/>
    <n v="0"/>
    <n v="1290"/>
    <n v="650"/>
    <m/>
  </r>
  <r>
    <s v="WY-2020-06-0496"/>
    <m/>
    <n v="79"/>
    <m/>
    <n v="90.78"/>
    <x v="12"/>
    <s v="WY T0560N, R1010W, 6TH PMSection: 028 LOTS 2-4"/>
    <m/>
    <m/>
    <s v="Cold"/>
    <s v="There are no permits within a 3 mile radius"/>
    <s v="In a 3 mile radius, the latest leases with bonus information were taken in 2019._x000d_Diamond Resources paid between $3/acre and $27/acre.  Liberty Petr paid between $11/acre and $27/acre._x000d_"/>
    <m/>
    <s v="There are no new wells in the last 4 years within a 3 mile radius"/>
    <m/>
    <m/>
    <n v="0"/>
    <n v="488.5"/>
    <n v="306.5"/>
    <m/>
  </r>
  <r>
    <s v="WY-2020-06-0504"/>
    <m/>
    <n v="81"/>
    <m/>
    <n v="2488.7199999999998"/>
    <x v="8"/>
    <s v="WY T0150N, R1100W, 6TH PMSection: 018 N2NE,NENW,SE;Section: 019 LOTS 5-8;Section: 019 E2,E2W2;Section: 020 ALL SUBDIVISIONS;Section: 021 W2;Section: 030 LOTS 5-8;Section: 030 E2,E2W2"/>
    <m/>
    <m/>
    <s v="Cold"/>
    <s v="There are no permits within a 3 mile radius"/>
    <s v="In a 3 mile radius, the latest leases with bonus information were taken in 2019._x000d_Western American Resources paid $1/acre.  _x000d_"/>
    <m/>
    <s v="There are no new wells in the last 4 years within a 3 mile radius"/>
    <m/>
    <m/>
    <n v="0"/>
    <n v="8881.5"/>
    <n v="3903.5"/>
    <m/>
  </r>
  <r>
    <s v="WY-2020-06-0498"/>
    <m/>
    <n v="80"/>
    <m/>
    <n v="2089.5100000000002"/>
    <x v="8"/>
    <s v="WY T0140N, R1110W, 6TH PMSection: 014 ALL SUBDIVISIONS;Section: 015 ALL SUBDIVISIONS;Section: 022 LOT 1;Section: 022 TR LOT 2 OF TRACT 38;Section: 022 N2NE,SWNE,W2,W2SE,SESE;Section: 023 LOTS 3,6,18;Section: 023 LOTS 2,4 OF TRACT 38;Section: 023 W2NE,N2NW"/>
    <m/>
    <m/>
    <s v="Cold"/>
    <s v="There are no permits within a 3 mile radius"/>
    <s v="There are no recorded leases within a 3 mile radius - 4 mi east lease was 1/acre"/>
    <m/>
    <s v="There are no new wells in the last 4 years within a 3 mile radius"/>
    <m/>
    <m/>
    <n v="0"/>
    <n v="7485"/>
    <n v="3305"/>
    <m/>
  </r>
  <r>
    <s v="WY-2020-06-0511"/>
    <m/>
    <n v="85"/>
    <m/>
    <n v="2560"/>
    <x v="8"/>
    <s v="WY T0150N, R1110W, 6TH PMSection: 024 ALL SUBDIVISIONS;Section: 025 ALL SUBDIVISIONS;Section: 026 ALL SUBDIVISIONS;Section: 035 ALL SUBDIVISIONS"/>
    <m/>
    <m/>
    <s v="Cold"/>
    <s v="There are no permits within a 3 mile radius"/>
    <s v="In a 3 mile radius, the latest leases with bonus information were taken in 2019._x000d_Western American Resources paid $1/acre.  _x000d_"/>
    <m/>
    <s v="There are no new wells in the last 4 years within a 3 mile radius"/>
    <m/>
    <m/>
    <n v="0"/>
    <n v="9130"/>
    <n v="4010"/>
    <m/>
  </r>
  <r>
    <s v="WY-2020-06-6760"/>
    <m/>
    <n v="115"/>
    <m/>
    <n v="1468.68"/>
    <x v="13"/>
    <s v="WY T0300N, R1120W, 6TH PMSection: 001 LOTS 1-4;Section: 001 S2N2,SW;Section: 002 LOTS 1,2;Section: 002 S2NE;Section: 004 LOTS 1-4;Section: 004 S2N2;Section: 012 SENW,SWNE;Section: 013 SENE;Section: 014 NENW;Section: 017 NWNW;Section: 017 NENW (EXCL 2.00 AC IN RSVR ROW WYE02052;Section: 018 LOT 5;Section: 020 E2SW,W2SE;Section: 020 SWNE,SENW (EXCL 5.00 AC IN RSVR ROW WYE02052)"/>
    <m/>
    <m/>
    <s v="Cold"/>
    <s v="There are no permits within a 3 mile radius"/>
    <s v="In a 3 mile radius, the latest leases with bonus information were taken in 2019._x000d_Kirkwood O&amp;G paid $1/acre.  _x000d_"/>
    <m/>
    <s v="There are no new wells in the last 4 years within a 3 mile radius"/>
    <m/>
    <m/>
    <n v="0"/>
    <n v="5311.5"/>
    <n v="2373.5"/>
    <m/>
  </r>
  <r>
    <s v="WY-2020-06-6761"/>
    <m/>
    <n v="116"/>
    <m/>
    <n v="1396.25"/>
    <x v="13"/>
    <s v="WY T0300N, R1120W, 6TH PMSection: 003 LOTS 2-4;Section: 003 S2N2, E2SE;Section: 010 NE;Section: 011 N2, N2S2, SESW;Section: 012 W2NW, N2S2, SWSW, SESE;Section: 013 NENE"/>
    <m/>
    <m/>
    <s v="Cold"/>
    <s v="There are no permits within a 3 mile radius"/>
    <s v="In a 3 mile radius, the latest leases with bonus information were taken in 2019._x000d_Kirkwood O&amp;G paid $1/acre.  _x000d_"/>
    <m/>
    <s v="There are no new wells in the last 4 years within a 3 mile radius"/>
    <m/>
    <m/>
    <n v="0"/>
    <n v="5059.5"/>
    <n v="2265.5"/>
    <m/>
  </r>
  <r>
    <s v="WY-2020-06-0506"/>
    <m/>
    <n v="82"/>
    <m/>
    <n v="1000"/>
    <x v="14"/>
    <s v="WY T0150N, R1130W, 6TH PMSection: 008 E2, NWSW;Section: 016 W2NW, N2SW;Section: 017 NE, S2"/>
    <m/>
    <m/>
    <s v="Cold"/>
    <s v="There are no permits within a 3 mile radius"/>
    <s v="In a 3 mile radius, the latest leases with bonus information were taken in 2019._x000d_Western American Resources paid between $2/acre and $13/acre.  Liberty Petr paid $16/acre.  The weighted average price in 2019 overall within the 3 radius was $9/acre.  The highest price paid in 2019 was $16/acre_x000d_"/>
    <m/>
    <s v="There are no new wells in the last 4 years within a 3 mile radius"/>
    <m/>
    <m/>
    <n v="0"/>
    <n v="3670"/>
    <n v="1670"/>
    <m/>
  </r>
  <r>
    <s v="WY-2020-06-6762"/>
    <m/>
    <n v="117"/>
    <m/>
    <n v="2090.33"/>
    <x v="15"/>
    <s v="WY T0210N, R1130W, 6TH PMSection: 020 LOTS 1-4, 7-10;Section: 020 LOT 6 (EXCL 1.37 AC IN RR ROW WYW0294446);Section: 022 LOTS 1, 2, 5;Section: 022 N2N2,S2NE;Section: 024 LOTS 1-4;Section: 024 W2E2;Section: 028 ALL SUBDIVISIONS;Section: 032 1-4;Section: 032 E2,E2W2"/>
    <m/>
    <m/>
    <s v="Cold"/>
    <s v="There are no permits within a 3 mile radius"/>
    <s v="In a 3 mile radius, the latest leases with bonus information were taken in 2015._x000d_New Century Prod paid $13/acre.  _x000d_In 2012, Liberty Petr paid $12/acre. _x000d_"/>
    <m/>
    <s v="4 mi N from cetner of tract - hilcorp has 7 gas wells at 12,000' - have only made 52 mmcf with nominal oil in 27 months"/>
    <m/>
    <m/>
    <n v="0"/>
    <n v="7488.5"/>
    <n v="3306.5"/>
    <m/>
  </r>
  <r>
    <s v="WY-2020-06-0508"/>
    <m/>
    <n v="83"/>
    <m/>
    <n v="2206.41"/>
    <x v="15"/>
    <s v="WY T0200N, R1140W, 6TH PMSection: 004 LOTS 1-4;Section: 004 S2;Section: 006 LOTS 1-6;Section: 006 E2SW,SE;Section: 018 LOTS 1-4;Section: 018 E2W2:WY T0200N, R1150W, 6TH PMSection: 034 ALL SUBDIVISIONS"/>
    <m/>
    <m/>
    <s v="Cold"/>
    <s v="There are no permits within a 3 mile radius"/>
    <s v="In a 3 mile radius, the latest leases with bonus information were taken in 2019._x000d_Bullock paid $2/acre.  _x000d_"/>
    <m/>
    <s v="There are no new wells in the last 4 years within a 3 mile radius"/>
    <m/>
    <m/>
    <n v="0"/>
    <n v="7894.5"/>
    <n v="3480.5"/>
    <m/>
  </r>
  <r>
    <s v="WY-2020-06-0513"/>
    <m/>
    <n v="86"/>
    <m/>
    <n v="840"/>
    <x v="15"/>
    <s v="WY T0200N, R1140W, 6TH PMSection: 012 W2W2;Section: 014 W2, SESE;Section: 022 W2"/>
    <m/>
    <m/>
    <s v="Cold"/>
    <s v="There are no permits within a 3 mile radius"/>
    <s v="In a 3 mile radius, the latest leases with bonus information were taken in 2019._x000d_Bullock paid $2/acre.  Western American Resources paid $3/acre.  The weighted average price in 2019 overall within the 3 radius was $3/acre.  The highest price paid in 2019 was $3/acre_x000d_In 2017, New Century Prod paid $6/acre. _x000d_"/>
    <m/>
    <s v="There are no new wells in the last 4 years within a 3 mile radius"/>
    <m/>
    <m/>
    <n v="0"/>
    <n v="3110"/>
    <n v="1430"/>
    <m/>
  </r>
  <r>
    <s v="WY-2020-06-0510"/>
    <m/>
    <n v="84"/>
    <m/>
    <n v="26.52"/>
    <x v="15"/>
    <s v="WY T0210N, R1140W, 6TH PMSection: 016 LOTS 1-5"/>
    <m/>
    <m/>
    <s v="Cold"/>
    <s v="There are no permits within a 3 mile radius"/>
    <s v="In a 3 mile radius, the latest leases with bonus information were taken in 2017._x000d_New Century Prod paid between $2/acre and $6/acre.  The weighted average price in 2017 overall within the 3 radius was $3/acre.  The highest price paid in 2017 was $6/acre_x000d_In 2015, New Century Prod paid between $25/acre and $30/acre. _x000d_"/>
    <m/>
    <s v="There are no new wells in the last 4 years within a 3 mile radius"/>
    <m/>
    <m/>
    <n v="0"/>
    <n v="264.5"/>
    <n v="210.5"/>
    <m/>
  </r>
  <r>
    <s v="WY-2020-06-6763"/>
    <m/>
    <n v="118"/>
    <m/>
    <n v="1120"/>
    <x v="15"/>
    <s v="WY T0250N, R1140W, 6TH PMSection: 019 N2, SW, S2SE;Section: 020 N2, NWSW, S2S2, NESE"/>
    <m/>
    <m/>
    <s v="Cold"/>
    <s v="There are no permits within a 3 mile radius"/>
    <s v="In a 3 mile radius, the latest leases with bonus information were taken in 2019._x000d_Western American Resources paid between $2/acre for state leases._x000d_In 2018, Western American Resources paid $2/acre. _x000d_"/>
    <m/>
    <s v="There are no new wells in the last 4 years within a 3 mile radius"/>
    <m/>
    <m/>
    <n v="0"/>
    <n v="4090"/>
    <n v="1850"/>
    <m/>
  </r>
  <r>
    <s v="WY-2020-06-0515"/>
    <m/>
    <n v="88"/>
    <m/>
    <n v="2440"/>
    <x v="15"/>
    <s v="WY T0250N, R1140W, 6TH PMSection: 021 ALL SUBDIVISIONS;Section: 028 ALL SUBDIVISIONS;Section: 029 N2, NESW, S2SW, SE;Section: 030 NE, N2NW, SWNW, SW, W2SE, SESE,"/>
    <m/>
    <m/>
    <s v="Cold"/>
    <s v="There are no permits within a 3 mile radius"/>
    <s v="In a 3 mile radius, the latest leases with bonus information were taken in 2019._x000d_Western American Resources paid between $2/acre for state leases._x000d_In 2018, Western American Resources paid $2/acre. _x000d_"/>
    <m/>
    <s v="There are no new wells in the last 4 years within a 3 mile radius"/>
    <m/>
    <m/>
    <n v="0"/>
    <n v="8710"/>
    <n v="3830"/>
    <m/>
  </r>
  <r>
    <s v="WY-2020-06-0514"/>
    <m/>
    <n v="87"/>
    <m/>
    <n v="2428.0300000000002"/>
    <x v="15"/>
    <s v="WY T0210N, R1150W, 6TH PMSection: 006 LOTS 1-7;Section: 006 S2NE,SENW,E2SW,SE;Section: 007 LOTS 1,2;Section: 007 E2,E2NW;Section: 018 E2,SENW,SESW;Section: 019 LOTS 1-3;Section: 019 N2NE,E2NW,NESW;Section: 030 LOTS 1-4;Section: 030 E2,E2W2"/>
    <m/>
    <m/>
    <s v="Cold"/>
    <s v="There are no permits within a 3 mile radius"/>
    <s v="In a 3 mile radius, the latest leases with bonus information were taken in 2017._x000d_New Century Prod paid $2/acre."/>
    <m/>
    <s v="There are no new wells in the last 4 years within a 3 mile radius"/>
    <m/>
    <m/>
    <n v="0"/>
    <n v="8671.5"/>
    <n v="3813.5"/>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2" cacheId="195"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2:D20" firstHeaderRow="1" firstDataRow="2" firstDataCol="1"/>
  <pivotFields count="20">
    <pivotField dataField="1" showAll="0"/>
    <pivotField showAll="0"/>
    <pivotField showAll="0"/>
    <pivotField showAll="0"/>
    <pivotField dataField="1" showAll="0"/>
    <pivotField axis="axisRow" showAll="0">
      <items count="18">
        <item m="1" x="16"/>
        <item x="1"/>
        <item x="0"/>
        <item x="2"/>
        <item x="3"/>
        <item x="4"/>
        <item x="5"/>
        <item x="6"/>
        <item x="7"/>
        <item x="8"/>
        <item x="9"/>
        <item x="10"/>
        <item x="11"/>
        <item x="12"/>
        <item x="13"/>
        <item x="14"/>
        <item x="15"/>
        <item t="default"/>
      </items>
    </pivotField>
    <pivotField showAll="0"/>
    <pivotField showAll="0"/>
    <pivotField showAll="0"/>
    <pivotField dataField="1" showAll="0"/>
    <pivotField showAll="0"/>
    <pivotField showAll="0"/>
    <pivotField showAll="0"/>
    <pivotField showAll="0"/>
    <pivotField showAll="0"/>
    <pivotField showAll="0"/>
    <pivotField numFmtId="44" showAll="0"/>
    <pivotField numFmtId="44" showAll="0"/>
    <pivotField numFmtId="44" showAll="0"/>
    <pivotField showAll="0"/>
  </pivotFields>
  <rowFields count="1">
    <field x="5"/>
  </rowFields>
  <rowItems count="17">
    <i>
      <x v="1"/>
    </i>
    <i>
      <x v="2"/>
    </i>
    <i>
      <x v="3"/>
    </i>
    <i>
      <x v="4"/>
    </i>
    <i>
      <x v="5"/>
    </i>
    <i>
      <x v="6"/>
    </i>
    <i>
      <x v="7"/>
    </i>
    <i>
      <x v="8"/>
    </i>
    <i>
      <x v="9"/>
    </i>
    <i>
      <x v="10"/>
    </i>
    <i>
      <x v="11"/>
    </i>
    <i>
      <x v="12"/>
    </i>
    <i>
      <x v="13"/>
    </i>
    <i>
      <x v="14"/>
    </i>
    <i>
      <x v="15"/>
    </i>
    <i>
      <x v="16"/>
    </i>
    <i t="grand">
      <x/>
    </i>
  </rowItems>
  <colFields count="1">
    <field x="-2"/>
  </colFields>
  <colItems count="3">
    <i>
      <x/>
    </i>
    <i i="1">
      <x v="1"/>
    </i>
    <i i="2">
      <x v="2"/>
    </i>
  </colItems>
  <dataFields count="3">
    <dataField name="Sum of Acres" fld="4" baseField="5" baseItem="0" numFmtId="3"/>
    <dataField name="Count of Serial numbers" fld="0" subtotal="count" baseField="0" baseItem="0"/>
    <dataField name="Count of Cold/Warm/Hot" fld="9"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B7:U143" totalsRowCount="1" headerRowDxfId="57" dataDxfId="56" totalsRowDxfId="54" tableBorderDxfId="55">
  <autoFilter ref="B7:U142" xr:uid="{00000000-0009-0000-0100-000001000000}"/>
  <sortState xmlns:xlrd2="http://schemas.microsoft.com/office/spreadsheetml/2017/richdata2" ref="B64:U132">
    <sortCondition ref="D11:D441"/>
  </sortState>
  <tableColumns count="20">
    <tableColumn id="1" xr3:uid="{00000000-0010-0000-0000-000001000000}" name="Serial numbers" dataDxfId="53" totalsRowDxfId="19"/>
    <tableColumn id="2" xr3:uid="{00000000-0010-0000-0000-000002000000}" name="Parcel ID" dataDxfId="52" totalsRowDxfId="18"/>
    <tableColumn id="3" xr3:uid="{00000000-0010-0000-0000-000003000000}" name="GIS Tract #" dataDxfId="51" totalsRowDxfId="17"/>
    <tableColumn id="20" xr3:uid="{00000000-0010-0000-0000-000014000000}" name="Closing Info" dataDxfId="50" totalsRowDxfId="16"/>
    <tableColumn id="4" xr3:uid="{00000000-0010-0000-0000-000004000000}" name="Acres" totalsRowFunction="sum" dataDxfId="49" totalsRowDxfId="15" dataCellStyle="Comma"/>
    <tableColumn id="5" xr3:uid="{00000000-0010-0000-0000-000005000000}" name="County" dataDxfId="48" totalsRowDxfId="14"/>
    <tableColumn id="6" xr3:uid="{00000000-0010-0000-0000-000006000000}" name="Description" dataDxfId="47" totalsRowDxfId="13"/>
    <tableColumn id="17" xr3:uid="{00000000-0010-0000-0000-000011000000}" name="BLM Comments" dataDxfId="46" totalsRowDxfId="12"/>
    <tableColumn id="19" xr3:uid="{00000000-0010-0000-0000-000013000000}" name="Avinash Notes &amp; Target $/acre Price" dataDxfId="45" totalsRowDxfId="11"/>
    <tableColumn id="7" xr3:uid="{00000000-0010-0000-0000-000007000000}" name="Cold/Warm/Hot" dataDxfId="44" totalsRowDxfId="10"/>
    <tableColumn id="8" xr3:uid="{00000000-0010-0000-0000-000008000000}" name="Permitting Activity" dataDxfId="43" totalsRowDxfId="9"/>
    <tableColumn id="9" xr3:uid="{00000000-0010-0000-0000-000009000000}" name="Leasing Activity" dataDxfId="42" totalsRowDxfId="8"/>
    <tableColumn id="10" xr3:uid="{00000000-0010-0000-0000-00000A000000}" name="Old Production" dataDxfId="41" totalsRowDxfId="7"/>
    <tableColumn id="11" xr3:uid="{00000000-0010-0000-0000-00000B000000}" name="Last 4 Years Production" dataDxfId="40" totalsRowDxfId="6"/>
    <tableColumn id="12" xr3:uid="{00000000-0010-0000-0000-00000C000000}" name="Magnum Won (Y/N)" totalsRowFunction="count" dataDxfId="39" totalsRowDxfId="5"/>
    <tableColumn id="13" xr3:uid="{00000000-0010-0000-0000-00000D000000}" name="Winning Bid" dataDxfId="38" totalsRowDxfId="4"/>
    <tableColumn id="18" xr3:uid="{00000000-0010-0000-0000-000012000000}" name="Total Bid (Number on BLM Bid Sheet)" dataDxfId="37" totalsRowDxfId="3">
      <calculatedColumnFormula>ROUNDUP(Table2[[#This Row],[Acres]],0)*Table2[[#This Row],[Winning Bid]]</calculatedColumnFormula>
    </tableColumn>
    <tableColumn id="14" xr3:uid="{00000000-0010-0000-0000-00000E000000}" name="Min Due" totalsRowFunction="sum" dataDxfId="36" totalsRowDxfId="2">
      <calculatedColumnFormula>ROUNDUP('Sale Notes'!$F8,0)*($Y$4+$Y$5)+$Y$3</calculatedColumnFormula>
    </tableColumn>
    <tableColumn id="15" xr3:uid="{00000000-0010-0000-0000-00000F000000}" name="Total Due" totalsRowFunction="sum" dataDxfId="35" totalsRowDxfId="1">
      <calculatedColumnFormula>ROUNDUP('Sale Notes'!$F8,0)*('Sale Notes'!$Q8+$Y$5)+$Y$3</calculatedColumnFormula>
    </tableColumn>
    <tableColumn id="16" xr3:uid="{00000000-0010-0000-0000-000010000000}" name="Rough Econ Notes" totalsRowFunction="count" dataDxfId="34" totalsRowDxfId="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F1:N167" totalsRowShown="0" headerRowDxfId="33" dataDxfId="32" tableBorderDxfId="31">
  <autoFilter ref="F1:N167" xr:uid="{00000000-0009-0000-0100-000002000000}"/>
  <tableColumns count="9">
    <tableColumn id="1" xr3:uid="{00000000-0010-0000-0100-000001000000}" name="Counties Find" dataDxfId="30">
      <calculatedColumnFormula>IF(ISNUMBER(SEARCH("County",B2)),B2)</calculatedColumnFormula>
    </tableColumn>
    <tableColumn id="2" xr3:uid="{00000000-0010-0000-0100-000002000000}" name="Acres Find" dataDxfId="29">
      <calculatedColumnFormula>IF(ISNUMBER(SEARCH("acres:",B2)),B2)</calculatedColumnFormula>
    </tableColumn>
    <tableColumn id="3" xr3:uid="{00000000-0010-0000-0100-000003000000}" name="Township Find" dataDxfId="28">
      <calculatedColumnFormula>IF(ISNUMBER(SEARCH("T.",B2)),B2)</calculatedColumnFormula>
    </tableColumn>
    <tableColumn id="4" xr3:uid="{00000000-0010-0000-0100-000004000000}" name="Serial # Find" dataDxfId="27">
      <calculatedColumnFormula>IF(ISNUMBER(SEARCH("Serial",A2)),A2)</calculatedColumnFormula>
    </tableColumn>
    <tableColumn id="5" xr3:uid="{00000000-0010-0000-0100-000005000000}" name="Parcel ID Find" dataDxfId="26">
      <calculatedColumnFormula>IF(ISNUMBER(SEARCH("Parcel ID",A2)),A2)</calculatedColumnFormula>
    </tableColumn>
    <tableColumn id="6" xr3:uid="{00000000-0010-0000-0100-000006000000}" name="Section Find" dataDxfId="25"/>
    <tableColumn id="7" xr3:uid="{00000000-0010-0000-0100-000007000000}" name="Section Values" dataDxfId="24"/>
    <tableColumn id="8" xr3:uid="{00000000-0010-0000-0100-000008000000}" name="Justified Fills" dataDxfId="23"/>
    <tableColumn id="9" xr3:uid="{00000000-0010-0000-0100-000009000000}" name="Lease #" dataDxfId="2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table" Target="../tables/table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energynet.com/property_information.pl?lot=53102" TargetMode="External"/><Relationship Id="rId13" Type="http://schemas.openxmlformats.org/officeDocument/2006/relationships/hyperlink" Target="https://www.energynet.com/property_information.pl?lot=53123" TargetMode="External"/><Relationship Id="rId18" Type="http://schemas.openxmlformats.org/officeDocument/2006/relationships/hyperlink" Target="https://www.energynet.com/property_information.pl?lot=53130" TargetMode="External"/><Relationship Id="rId3" Type="http://schemas.openxmlformats.org/officeDocument/2006/relationships/hyperlink" Target="https://www.energynet.com/property_information.pl?lot=53088" TargetMode="External"/><Relationship Id="rId21" Type="http://schemas.openxmlformats.org/officeDocument/2006/relationships/table" Target="../tables/table2.xml"/><Relationship Id="rId7" Type="http://schemas.openxmlformats.org/officeDocument/2006/relationships/hyperlink" Target="https://www.energynet.com/property_information.pl?lot=53101" TargetMode="External"/><Relationship Id="rId12" Type="http://schemas.openxmlformats.org/officeDocument/2006/relationships/hyperlink" Target="https://www.energynet.com/property_information.pl?lot=53122" TargetMode="External"/><Relationship Id="rId17" Type="http://schemas.openxmlformats.org/officeDocument/2006/relationships/hyperlink" Target="https://www.energynet.com/property_information.pl?lot=53127" TargetMode="External"/><Relationship Id="rId2" Type="http://schemas.openxmlformats.org/officeDocument/2006/relationships/hyperlink" Target="https://www.energynet.com/property_information.pl?lot=53087" TargetMode="External"/><Relationship Id="rId16" Type="http://schemas.openxmlformats.org/officeDocument/2006/relationships/hyperlink" Target="https://www.energynet.com/property_information.pl?lot=53126" TargetMode="External"/><Relationship Id="rId20" Type="http://schemas.openxmlformats.org/officeDocument/2006/relationships/hyperlink" Target="https://www.energynet.com/property_information.pl?lot=53138" TargetMode="External"/><Relationship Id="rId1" Type="http://schemas.openxmlformats.org/officeDocument/2006/relationships/hyperlink" Target="https://www.energynet.com/property_information.pl?lot=53086" TargetMode="External"/><Relationship Id="rId6" Type="http://schemas.openxmlformats.org/officeDocument/2006/relationships/hyperlink" Target="https://www.energynet.com/property_information.pl?lot=53091" TargetMode="External"/><Relationship Id="rId11" Type="http://schemas.openxmlformats.org/officeDocument/2006/relationships/hyperlink" Target="https://www.energynet.com/property_information.pl?lot=53121" TargetMode="External"/><Relationship Id="rId5" Type="http://schemas.openxmlformats.org/officeDocument/2006/relationships/hyperlink" Target="https://www.energynet.com/property_information.pl?lot=53090" TargetMode="External"/><Relationship Id="rId15" Type="http://schemas.openxmlformats.org/officeDocument/2006/relationships/hyperlink" Target="https://www.energynet.com/property_information.pl?lot=53125" TargetMode="External"/><Relationship Id="rId10" Type="http://schemas.openxmlformats.org/officeDocument/2006/relationships/hyperlink" Target="https://www.energynet.com/property_information.pl?lot=53120" TargetMode="External"/><Relationship Id="rId19" Type="http://schemas.openxmlformats.org/officeDocument/2006/relationships/hyperlink" Target="https://www.energynet.com/property_information.pl?lot=53131" TargetMode="External"/><Relationship Id="rId4" Type="http://schemas.openxmlformats.org/officeDocument/2006/relationships/hyperlink" Target="https://www.energynet.com/property_information.pl?lot=53089" TargetMode="External"/><Relationship Id="rId9" Type="http://schemas.openxmlformats.org/officeDocument/2006/relationships/hyperlink" Target="https://www.energynet.com/property_information.pl?lot=53106" TargetMode="External"/><Relationship Id="rId14" Type="http://schemas.openxmlformats.org/officeDocument/2006/relationships/hyperlink" Target="https://www.energynet.com/property_information.pl?lot=53124"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B1:AA143"/>
  <sheetViews>
    <sheetView tabSelected="1" zoomScale="85" zoomScaleNormal="85" zoomScalePageLayoutView="85" workbookViewId="0">
      <selection activeCell="K7" sqref="K7"/>
    </sheetView>
  </sheetViews>
  <sheetFormatPr baseColWidth="10" defaultColWidth="8.83203125" defaultRowHeight="15" x14ac:dyDescent="0.2"/>
  <cols>
    <col min="1" max="1" width="2.33203125" style="306" customWidth="1"/>
    <col min="2" max="2" width="12.33203125" style="306" customWidth="1"/>
    <col min="3" max="3" width="12.33203125" style="306" bestFit="1" customWidth="1"/>
    <col min="4" max="4" width="9.83203125" style="306" customWidth="1"/>
    <col min="5" max="5" width="18.33203125" style="306" customWidth="1"/>
    <col min="6" max="6" width="11.33203125" style="306" customWidth="1"/>
    <col min="7" max="7" width="16.1640625" style="306" customWidth="1"/>
    <col min="8" max="8" width="30.1640625" style="306" customWidth="1"/>
    <col min="9" max="9" width="37" style="306" customWidth="1"/>
    <col min="10" max="10" width="24.33203125" style="206" customWidth="1"/>
    <col min="11" max="11" width="24.1640625" style="306" customWidth="1"/>
    <col min="12" max="12" width="29.1640625" style="306" customWidth="1"/>
    <col min="13" max="13" width="35.5" style="306" customWidth="1"/>
    <col min="14" max="14" width="34.33203125" style="306" customWidth="1"/>
    <col min="15" max="15" width="41" style="306" customWidth="1"/>
    <col min="16" max="16" width="34.33203125" style="306" customWidth="1"/>
    <col min="17" max="17" width="18.6640625" style="306" bestFit="1" customWidth="1"/>
    <col min="18" max="18" width="18.83203125" style="306" customWidth="1"/>
    <col min="19" max="19" width="20" style="306" customWidth="1"/>
    <col min="20" max="20" width="18.5" style="306" customWidth="1"/>
    <col min="21" max="21" width="25" style="306" customWidth="1"/>
    <col min="22" max="22" width="8.83203125" style="306" customWidth="1"/>
    <col min="23" max="23" width="9.83203125" style="306" bestFit="1" customWidth="1"/>
    <col min="24" max="24" width="15.6640625" style="306" customWidth="1"/>
    <col min="25" max="25" width="16.83203125" style="306" customWidth="1"/>
    <col min="26" max="26" width="20" style="306" customWidth="1"/>
    <col min="27" max="27" width="21.83203125" style="306" customWidth="1"/>
    <col min="28" max="28" width="8.83203125" style="306" customWidth="1"/>
    <col min="29" max="16384" width="8.83203125" style="306"/>
  </cols>
  <sheetData>
    <row r="1" spans="2:27" x14ac:dyDescent="0.2">
      <c r="D1" s="317"/>
    </row>
    <row r="2" spans="2:27" ht="32" x14ac:dyDescent="0.2">
      <c r="F2" s="411"/>
      <c r="G2" s="306" t="s">
        <v>7055</v>
      </c>
      <c r="X2" s="419" t="s">
        <v>0</v>
      </c>
      <c r="Y2" s="420"/>
    </row>
    <row r="3" spans="2:27" ht="32" x14ac:dyDescent="0.2">
      <c r="F3" s="318"/>
      <c r="G3" s="319" t="s">
        <v>1</v>
      </c>
      <c r="X3" s="320" t="s">
        <v>2</v>
      </c>
      <c r="Y3" s="310">
        <v>170</v>
      </c>
    </row>
    <row r="4" spans="2:27" ht="16" x14ac:dyDescent="0.2">
      <c r="F4" s="321"/>
      <c r="G4" s="319" t="s">
        <v>3</v>
      </c>
      <c r="X4" s="322" t="s">
        <v>4</v>
      </c>
      <c r="Y4" s="323">
        <v>2</v>
      </c>
    </row>
    <row r="5" spans="2:27" ht="32" x14ac:dyDescent="0.2">
      <c r="F5" s="401"/>
      <c r="G5" s="319" t="s">
        <v>5</v>
      </c>
      <c r="X5" s="324" t="s">
        <v>6</v>
      </c>
      <c r="Y5" s="325">
        <v>1.5</v>
      </c>
    </row>
    <row r="6" spans="2:27" ht="26" x14ac:dyDescent="0.2">
      <c r="B6" s="326" t="s">
        <v>7</v>
      </c>
      <c r="C6" s="326"/>
      <c r="D6" s="326"/>
      <c r="E6" s="326"/>
      <c r="F6" s="326"/>
      <c r="G6" s="326"/>
      <c r="H6" s="326"/>
      <c r="I6" s="327"/>
      <c r="J6" s="384"/>
      <c r="K6" s="328"/>
    </row>
    <row r="7" spans="2:27" ht="57" customHeight="1" thickBot="1" x14ac:dyDescent="0.25">
      <c r="B7" s="329" t="s">
        <v>8</v>
      </c>
      <c r="C7" s="329" t="s">
        <v>9</v>
      </c>
      <c r="D7" s="329" t="s">
        <v>10</v>
      </c>
      <c r="E7" s="329" t="s">
        <v>7056</v>
      </c>
      <c r="F7" s="329" t="s">
        <v>11</v>
      </c>
      <c r="G7" s="329" t="s">
        <v>12</v>
      </c>
      <c r="H7" s="329" t="s">
        <v>13</v>
      </c>
      <c r="I7" s="329" t="s">
        <v>14</v>
      </c>
      <c r="J7" s="329" t="s">
        <v>15</v>
      </c>
      <c r="K7" s="329" t="s">
        <v>16</v>
      </c>
      <c r="L7" s="329" t="s">
        <v>17</v>
      </c>
      <c r="M7" s="329" t="s">
        <v>18</v>
      </c>
      <c r="N7" s="329" t="s">
        <v>19</v>
      </c>
      <c r="O7" s="329" t="s">
        <v>20</v>
      </c>
      <c r="P7" s="329" t="s">
        <v>21</v>
      </c>
      <c r="Q7" s="329" t="s">
        <v>22</v>
      </c>
      <c r="R7" s="329" t="s">
        <v>23</v>
      </c>
      <c r="S7" s="329" t="s">
        <v>24</v>
      </c>
      <c r="T7" s="329" t="s">
        <v>25</v>
      </c>
      <c r="U7" s="329" t="s">
        <v>26</v>
      </c>
      <c r="W7" s="414" t="s">
        <v>27</v>
      </c>
      <c r="X7" s="415"/>
      <c r="Y7" s="415"/>
      <c r="Z7" s="415"/>
    </row>
    <row r="8" spans="2:27" ht="256" x14ac:dyDescent="0.2">
      <c r="B8" s="356" t="s">
        <v>28</v>
      </c>
      <c r="C8" s="357"/>
      <c r="D8" s="358">
        <v>2</v>
      </c>
      <c r="E8" s="413">
        <v>44005</v>
      </c>
      <c r="F8" s="360">
        <v>38.950000000000003</v>
      </c>
      <c r="G8" s="361" t="s">
        <v>35</v>
      </c>
      <c r="H8" s="359" t="s">
        <v>30</v>
      </c>
      <c r="I8" s="359"/>
      <c r="J8" s="385" t="s">
        <v>7026</v>
      </c>
      <c r="K8" s="357" t="s">
        <v>1</v>
      </c>
      <c r="L8" s="359" t="s">
        <v>6875</v>
      </c>
      <c r="M8" s="359" t="s">
        <v>6876</v>
      </c>
      <c r="N8" s="311" t="s">
        <v>6949</v>
      </c>
      <c r="O8" s="362" t="s">
        <v>6898</v>
      </c>
      <c r="P8" s="313"/>
      <c r="Q8" s="363"/>
      <c r="R8" s="363">
        <f>ROUNDUP(Table2[[#This Row],[Acres]],0)*Table2[[#This Row],[Winning Bid]]</f>
        <v>0</v>
      </c>
      <c r="S8" s="363">
        <f>ROUNDUP('Sale Notes'!$F8,0)*($Y$4+$Y$5)+$Y$3</f>
        <v>306.5</v>
      </c>
      <c r="T8" s="363">
        <f>ROUNDUP('Sale Notes'!$F8,0)*('Sale Notes'!$Q8+$Y$5)+$Y$3</f>
        <v>228.5</v>
      </c>
      <c r="U8" s="363"/>
      <c r="W8" s="330" t="s">
        <v>31</v>
      </c>
      <c r="X8" s="331">
        <v>50</v>
      </c>
      <c r="Y8" s="332" t="s">
        <v>32</v>
      </c>
      <c r="Z8" s="333">
        <v>5</v>
      </c>
      <c r="AA8" s="334" t="s">
        <v>33</v>
      </c>
    </row>
    <row r="9" spans="2:27" ht="192" x14ac:dyDescent="0.2">
      <c r="B9" s="356" t="s">
        <v>34</v>
      </c>
      <c r="C9" s="357"/>
      <c r="D9" s="358">
        <v>3</v>
      </c>
      <c r="E9" s="413">
        <v>44005</v>
      </c>
      <c r="F9" s="360">
        <v>160</v>
      </c>
      <c r="G9" s="361" t="s">
        <v>35</v>
      </c>
      <c r="H9" s="361" t="s">
        <v>36</v>
      </c>
      <c r="I9" s="359"/>
      <c r="J9" s="386" t="s">
        <v>7026</v>
      </c>
      <c r="K9" s="364" t="s">
        <v>1</v>
      </c>
      <c r="L9" s="359" t="s">
        <v>6875</v>
      </c>
      <c r="M9" s="359" t="s">
        <v>6876</v>
      </c>
      <c r="N9" s="359" t="s">
        <v>6950</v>
      </c>
      <c r="O9" s="362" t="s">
        <v>6897</v>
      </c>
      <c r="P9" s="357"/>
      <c r="Q9" s="365"/>
      <c r="R9" s="365">
        <f>ROUNDUP(Table2[[#This Row],[Acres]],0)*Table2[[#This Row],[Winning Bid]]</f>
        <v>0</v>
      </c>
      <c r="S9" s="365">
        <f>ROUNDUP('Sale Notes'!$F9,0)*($Y$4+$Y$5)+$Y$3</f>
        <v>730</v>
      </c>
      <c r="T9" s="365">
        <f>ROUNDUP('Sale Notes'!$F9,0)*('Sale Notes'!$Q9+$Y$5)+$Y$3</f>
        <v>410</v>
      </c>
      <c r="U9" s="357"/>
      <c r="W9" s="335" t="s">
        <v>37</v>
      </c>
      <c r="X9" s="336">
        <v>4</v>
      </c>
      <c r="Y9" s="337" t="s">
        <v>38</v>
      </c>
      <c r="Z9" s="338">
        <v>100</v>
      </c>
      <c r="AA9" s="416"/>
    </row>
    <row r="10" spans="2:27" ht="129" thickBot="1" x14ac:dyDescent="0.25">
      <c r="B10" s="366" t="s">
        <v>39</v>
      </c>
      <c r="C10" s="357"/>
      <c r="D10" s="358">
        <v>4</v>
      </c>
      <c r="E10" s="413">
        <v>44005</v>
      </c>
      <c r="F10" s="360">
        <v>2399.5300000000002</v>
      </c>
      <c r="G10" s="361" t="s">
        <v>29</v>
      </c>
      <c r="H10" s="361" t="s">
        <v>40</v>
      </c>
      <c r="I10" s="359"/>
      <c r="J10" s="386" t="s">
        <v>7026</v>
      </c>
      <c r="K10" s="364" t="s">
        <v>1</v>
      </c>
      <c r="L10" s="359" t="s">
        <v>6875</v>
      </c>
      <c r="M10" s="359" t="s">
        <v>6877</v>
      </c>
      <c r="N10" s="359" t="s">
        <v>6951</v>
      </c>
      <c r="O10" s="359" t="s">
        <v>6878</v>
      </c>
      <c r="P10" s="357"/>
      <c r="Q10" s="365"/>
      <c r="R10" s="365">
        <f>ROUNDUP(Table2[[#This Row],[Acres]],0)*Table2[[#This Row],[Winning Bid]]</f>
        <v>0</v>
      </c>
      <c r="S10" s="365">
        <f>ROUNDUP('Sale Notes'!$F10,0)*($Y$4+$Y$5)+$Y$3</f>
        <v>8570</v>
      </c>
      <c r="T10" s="365">
        <f>ROUNDUP('Sale Notes'!$F10,0)*('Sale Notes'!$Q10+$Y$5)+$Y$3</f>
        <v>3770</v>
      </c>
      <c r="U10" s="357"/>
      <c r="W10" s="339" t="s">
        <v>41</v>
      </c>
      <c r="X10" s="340">
        <f>X8/X9</f>
        <v>12.5</v>
      </c>
      <c r="Y10" s="337" t="s">
        <v>42</v>
      </c>
      <c r="Z10" s="338">
        <v>500</v>
      </c>
      <c r="AA10" s="417"/>
    </row>
    <row r="11" spans="2:27" ht="113" thickBot="1" x14ac:dyDescent="0.25">
      <c r="B11" s="367" t="s">
        <v>43</v>
      </c>
      <c r="C11" s="357"/>
      <c r="D11" s="368">
        <v>1</v>
      </c>
      <c r="E11" s="413">
        <v>44005</v>
      </c>
      <c r="F11" s="369">
        <v>1837.52</v>
      </c>
      <c r="G11" s="361" t="s">
        <v>29</v>
      </c>
      <c r="H11" s="370" t="s">
        <v>44</v>
      </c>
      <c r="I11" s="359"/>
      <c r="J11" s="386" t="s">
        <v>7026</v>
      </c>
      <c r="K11" s="371" t="s">
        <v>1</v>
      </c>
      <c r="L11" s="359" t="s">
        <v>6875</v>
      </c>
      <c r="M11" s="359" t="s">
        <v>7024</v>
      </c>
      <c r="N11" s="359" t="s">
        <v>6952</v>
      </c>
      <c r="O11" s="362" t="s">
        <v>6878</v>
      </c>
      <c r="P11" s="357"/>
      <c r="Q11" s="365"/>
      <c r="R11" s="365">
        <f>ROUNDUP(Table2[[#This Row],[Acres]],0)*Table2[[#This Row],[Winning Bid]]</f>
        <v>0</v>
      </c>
      <c r="S11" s="365">
        <f>ROUNDUP('Sale Notes'!$F11,0)*($Y$4+$Y$5)+$Y$3</f>
        <v>6603</v>
      </c>
      <c r="T11" s="365">
        <f>ROUNDUP('Sale Notes'!$F11,0)*('Sale Notes'!$Q11+$Y$5)+$Y$3</f>
        <v>2927</v>
      </c>
      <c r="U11" s="357"/>
      <c r="W11" s="341" t="s">
        <v>45</v>
      </c>
      <c r="X11" s="342">
        <v>640</v>
      </c>
      <c r="Y11" s="343" t="s">
        <v>46</v>
      </c>
      <c r="Z11" s="344">
        <f>Z9+Z10/$X$10</f>
        <v>140</v>
      </c>
      <c r="AA11" s="417"/>
    </row>
    <row r="12" spans="2:27" ht="128" x14ac:dyDescent="0.2">
      <c r="B12" s="367" t="s">
        <v>47</v>
      </c>
      <c r="C12" s="357"/>
      <c r="D12" s="368">
        <v>6</v>
      </c>
      <c r="E12" s="413">
        <v>44005</v>
      </c>
      <c r="F12" s="369">
        <v>1717.51</v>
      </c>
      <c r="G12" s="361" t="s">
        <v>29</v>
      </c>
      <c r="H12" s="370" t="s">
        <v>48</v>
      </c>
      <c r="I12" s="359"/>
      <c r="J12" s="386" t="s">
        <v>7026</v>
      </c>
      <c r="K12" s="371" t="s">
        <v>1</v>
      </c>
      <c r="L12" s="359" t="s">
        <v>6875</v>
      </c>
      <c r="M12" s="359" t="s">
        <v>7025</v>
      </c>
      <c r="N12" s="359" t="s">
        <v>6953</v>
      </c>
      <c r="O12" s="362" t="s">
        <v>6878</v>
      </c>
      <c r="P12" s="357"/>
      <c r="Q12" s="365"/>
      <c r="R12" s="365">
        <f>ROUNDUP(Table2[[#This Row],[Acres]],0)*Table2[[#This Row],[Winning Bid]]</f>
        <v>0</v>
      </c>
      <c r="S12" s="365">
        <f>ROUNDUP('Sale Notes'!$F12,0)*($Y$4+$Y$5)+$Y$3</f>
        <v>6183</v>
      </c>
      <c r="T12" s="365">
        <f>ROUNDUP('Sale Notes'!$F12,0)*('Sale Notes'!$Q12+$Y$5)+$Y$3</f>
        <v>2747</v>
      </c>
      <c r="U12" s="357"/>
      <c r="W12" s="345" t="s">
        <v>49</v>
      </c>
      <c r="X12" s="346">
        <v>0.125</v>
      </c>
      <c r="Y12" s="347" t="s">
        <v>50</v>
      </c>
      <c r="Z12" s="348">
        <f>Z11*$X$8*Z8*1000</f>
        <v>35000000</v>
      </c>
      <c r="AA12" s="417"/>
    </row>
    <row r="13" spans="2:27" ht="112" x14ac:dyDescent="0.2">
      <c r="B13" s="367" t="s">
        <v>51</v>
      </c>
      <c r="C13" s="357"/>
      <c r="D13" s="368">
        <v>14</v>
      </c>
      <c r="E13" s="413">
        <v>44005</v>
      </c>
      <c r="F13" s="369">
        <v>1033.3800000000001</v>
      </c>
      <c r="G13" s="361" t="s">
        <v>29</v>
      </c>
      <c r="H13" s="370" t="s">
        <v>52</v>
      </c>
      <c r="I13" s="359"/>
      <c r="J13" s="386" t="s">
        <v>7026</v>
      </c>
      <c r="K13" s="371" t="s">
        <v>1</v>
      </c>
      <c r="L13" s="359" t="s">
        <v>6875</v>
      </c>
      <c r="M13" s="359" t="s">
        <v>7024</v>
      </c>
      <c r="N13" s="359" t="s">
        <v>6958</v>
      </c>
      <c r="O13" s="362" t="s">
        <v>6878</v>
      </c>
      <c r="P13" s="357"/>
      <c r="Q13" s="365"/>
      <c r="R13" s="365">
        <f>ROUNDUP(Table2[[#This Row],[Acres]],0)*Table2[[#This Row],[Winning Bid]]</f>
        <v>0</v>
      </c>
      <c r="S13" s="365">
        <f>ROUNDUP('Sale Notes'!$F13,0)*($Y$4+$Y$5)+$Y$3</f>
        <v>3789</v>
      </c>
      <c r="T13" s="365">
        <f>ROUNDUP('Sale Notes'!$F13,0)*('Sale Notes'!$Q13+$Y$5)+$Y$3</f>
        <v>1721</v>
      </c>
      <c r="U13" s="357"/>
      <c r="W13" s="345" t="s">
        <v>53</v>
      </c>
      <c r="X13" s="349">
        <v>320</v>
      </c>
      <c r="Y13" s="350" t="s">
        <v>54</v>
      </c>
      <c r="Z13" s="351">
        <f>Z12*(X13/X11)*X12</f>
        <v>2187500</v>
      </c>
      <c r="AA13" s="417"/>
    </row>
    <row r="14" spans="2:27" ht="241" thickBot="1" x14ac:dyDescent="0.25">
      <c r="B14" s="367" t="s">
        <v>55</v>
      </c>
      <c r="C14" s="357"/>
      <c r="D14" s="368">
        <v>28</v>
      </c>
      <c r="E14" s="413">
        <v>44005</v>
      </c>
      <c r="F14" s="369">
        <v>671.68</v>
      </c>
      <c r="G14" s="361" t="s">
        <v>29</v>
      </c>
      <c r="H14" s="370" t="s">
        <v>56</v>
      </c>
      <c r="I14" s="359"/>
      <c r="J14" s="386" t="s">
        <v>7026</v>
      </c>
      <c r="K14" s="371" t="s">
        <v>1</v>
      </c>
      <c r="L14" s="359" t="s">
        <v>6875</v>
      </c>
      <c r="M14" s="359" t="s">
        <v>7025</v>
      </c>
      <c r="N14" s="359" t="s">
        <v>6954</v>
      </c>
      <c r="O14" s="362" t="s">
        <v>6878</v>
      </c>
      <c r="P14" s="357"/>
      <c r="Q14" s="365"/>
      <c r="R14" s="365">
        <f>ROUNDUP(Table2[[#This Row],[Acres]],0)*Table2[[#This Row],[Winning Bid]]</f>
        <v>0</v>
      </c>
      <c r="S14" s="365">
        <f>ROUNDUP('Sale Notes'!$F14,0)*($Y$4+$Y$5)+$Y$3</f>
        <v>2522</v>
      </c>
      <c r="T14" s="365">
        <f>ROUNDUP('Sale Notes'!$F14,0)*('Sale Notes'!$Q14+$Y$5)+$Y$3</f>
        <v>1178</v>
      </c>
      <c r="U14" s="357"/>
      <c r="W14" s="352" t="s">
        <v>57</v>
      </c>
      <c r="X14" s="353">
        <f>(X13/X11) * X12</f>
        <v>6.25E-2</v>
      </c>
      <c r="Y14" s="2" t="s">
        <v>58</v>
      </c>
      <c r="Z14" s="354">
        <f>Z13/X13</f>
        <v>6835.9375</v>
      </c>
      <c r="AA14" s="418"/>
    </row>
    <row r="15" spans="2:27" ht="180" customHeight="1" x14ac:dyDescent="0.2">
      <c r="B15" s="367" t="s">
        <v>59</v>
      </c>
      <c r="C15" s="357"/>
      <c r="D15" s="368">
        <v>5</v>
      </c>
      <c r="E15" s="413">
        <v>44005</v>
      </c>
      <c r="F15" s="369">
        <v>880</v>
      </c>
      <c r="G15" s="361" t="s">
        <v>29</v>
      </c>
      <c r="H15" s="370" t="s">
        <v>60</v>
      </c>
      <c r="I15" s="359"/>
      <c r="J15" s="386" t="s">
        <v>7026</v>
      </c>
      <c r="K15" s="371" t="s">
        <v>1</v>
      </c>
      <c r="L15" s="359" t="s">
        <v>6875</v>
      </c>
      <c r="M15" s="359" t="s">
        <v>7025</v>
      </c>
      <c r="N15" s="359" t="s">
        <v>6955</v>
      </c>
      <c r="O15" s="362" t="s">
        <v>6878</v>
      </c>
      <c r="P15" s="357"/>
      <c r="Q15" s="365"/>
      <c r="R15" s="365">
        <f>ROUNDUP(Table2[[#This Row],[Acres]],0)*Table2[[#This Row],[Winning Bid]]</f>
        <v>0</v>
      </c>
      <c r="S15" s="365">
        <f>ROUNDUP('Sale Notes'!$F15,0)*($Y$4+$Y$5)+$Y$3</f>
        <v>3250</v>
      </c>
      <c r="T15" s="365">
        <f>ROUNDUP('Sale Notes'!$F15,0)*('Sale Notes'!$Q15+$Y$5)+$Y$3</f>
        <v>1490</v>
      </c>
      <c r="U15" s="357"/>
    </row>
    <row r="16" spans="2:27" ht="240" x14ac:dyDescent="0.2">
      <c r="B16" s="367" t="s">
        <v>61</v>
      </c>
      <c r="C16" s="357"/>
      <c r="D16" s="368">
        <v>34</v>
      </c>
      <c r="E16" s="413">
        <v>44005</v>
      </c>
      <c r="F16" s="369">
        <v>709.21</v>
      </c>
      <c r="G16" s="361" t="s">
        <v>29</v>
      </c>
      <c r="H16" s="370" t="s">
        <v>62</v>
      </c>
      <c r="I16" s="359"/>
      <c r="J16" s="386" t="s">
        <v>7026</v>
      </c>
      <c r="K16" s="371" t="s">
        <v>1</v>
      </c>
      <c r="L16" s="359" t="s">
        <v>6875</v>
      </c>
      <c r="M16" s="359" t="s">
        <v>7025</v>
      </c>
      <c r="N16" s="359" t="s">
        <v>6956</v>
      </c>
      <c r="O16" s="362" t="s">
        <v>6878</v>
      </c>
      <c r="P16" s="357"/>
      <c r="Q16" s="365"/>
      <c r="R16" s="365">
        <f>ROUNDUP(Table2[[#This Row],[Acres]],0)*Table2[[#This Row],[Winning Bid]]</f>
        <v>0</v>
      </c>
      <c r="S16" s="365">
        <f>ROUNDUP('Sale Notes'!$F16,0)*($Y$4+$Y$5)+$Y$3</f>
        <v>2655</v>
      </c>
      <c r="T16" s="365">
        <f>ROUNDUP('Sale Notes'!$F16,0)*('Sale Notes'!$Q16+$Y$5)+$Y$3</f>
        <v>1235</v>
      </c>
      <c r="U16" s="357"/>
    </row>
    <row r="17" spans="2:21" ht="144" x14ac:dyDescent="0.2">
      <c r="B17" s="367" t="s">
        <v>63</v>
      </c>
      <c r="C17" s="357"/>
      <c r="D17" s="368">
        <v>41</v>
      </c>
      <c r="E17" s="413">
        <v>44005</v>
      </c>
      <c r="F17" s="369">
        <v>120</v>
      </c>
      <c r="G17" s="361" t="s">
        <v>29</v>
      </c>
      <c r="H17" s="370" t="s">
        <v>64</v>
      </c>
      <c r="I17" s="359"/>
      <c r="J17" s="386" t="s">
        <v>7026</v>
      </c>
      <c r="K17" s="371" t="s">
        <v>1</v>
      </c>
      <c r="L17" s="359" t="s">
        <v>6875</v>
      </c>
      <c r="M17" s="359" t="s">
        <v>7025</v>
      </c>
      <c r="N17" s="359" t="s">
        <v>6957</v>
      </c>
      <c r="O17" s="362" t="s">
        <v>6878</v>
      </c>
      <c r="P17" s="357"/>
      <c r="Q17" s="365"/>
      <c r="R17" s="365">
        <f>ROUNDUP(Table2[[#This Row],[Acres]],0)*Table2[[#This Row],[Winning Bid]]</f>
        <v>0</v>
      </c>
      <c r="S17" s="365">
        <f>ROUNDUP('Sale Notes'!$F17,0)*($Y$4+$Y$5)+$Y$3</f>
        <v>590</v>
      </c>
      <c r="T17" s="365">
        <f>ROUNDUP('Sale Notes'!$F17,0)*('Sale Notes'!$Q17+$Y$5)+$Y$3</f>
        <v>350</v>
      </c>
      <c r="U17" s="357"/>
    </row>
    <row r="18" spans="2:21" ht="256" x14ac:dyDescent="0.2">
      <c r="B18" s="372" t="s">
        <v>65</v>
      </c>
      <c r="C18" s="357"/>
      <c r="D18" s="373">
        <v>45</v>
      </c>
      <c r="E18" s="413">
        <v>44005</v>
      </c>
      <c r="F18" s="374">
        <v>520</v>
      </c>
      <c r="G18" s="375" t="s">
        <v>35</v>
      </c>
      <c r="H18" s="375" t="s">
        <v>66</v>
      </c>
      <c r="I18" s="359"/>
      <c r="J18" s="386" t="s">
        <v>7026</v>
      </c>
      <c r="K18" s="376" t="s">
        <v>1</v>
      </c>
      <c r="L18" s="377" t="s">
        <v>6875</v>
      </c>
      <c r="M18" s="377" t="s">
        <v>6879</v>
      </c>
      <c r="N18" s="378" t="s">
        <v>6959</v>
      </c>
      <c r="O18" s="377" t="s">
        <v>6878</v>
      </c>
      <c r="P18" s="379"/>
      <c r="Q18" s="380"/>
      <c r="R18" s="380">
        <f>ROUNDUP(Table2[[#This Row],[Acres]],0)*Table2[[#This Row],[Winning Bid]]</f>
        <v>0</v>
      </c>
      <c r="S18" s="380">
        <f>ROUNDUP('Sale Notes'!$F18,0)*($Y$4+$Y$5)+$Y$3</f>
        <v>1990</v>
      </c>
      <c r="T18" s="380">
        <f>ROUNDUP('Sale Notes'!$F18,0)*('Sale Notes'!$Q18+$Y$5)+$Y$3</f>
        <v>950</v>
      </c>
      <c r="U18" s="379"/>
    </row>
    <row r="19" spans="2:21" ht="272" x14ac:dyDescent="0.2">
      <c r="B19" s="366" t="s">
        <v>67</v>
      </c>
      <c r="C19" s="357"/>
      <c r="D19" s="358">
        <v>48</v>
      </c>
      <c r="E19" s="413">
        <v>44005</v>
      </c>
      <c r="F19" s="360">
        <v>76.95</v>
      </c>
      <c r="G19" s="361" t="s">
        <v>68</v>
      </c>
      <c r="H19" s="361" t="s">
        <v>69</v>
      </c>
      <c r="I19" s="359"/>
      <c r="J19" s="386" t="s">
        <v>7026</v>
      </c>
      <c r="K19" s="364" t="s">
        <v>3</v>
      </c>
      <c r="L19" s="359" t="s">
        <v>6961</v>
      </c>
      <c r="M19" s="359" t="s">
        <v>6880</v>
      </c>
      <c r="N19" s="359" t="s">
        <v>6960</v>
      </c>
      <c r="O19" s="359" t="s">
        <v>6878</v>
      </c>
      <c r="P19" s="357"/>
      <c r="Q19" s="365"/>
      <c r="R19" s="365">
        <f>ROUNDUP(Table2[[#This Row],[Acres]],0)*Table2[[#This Row],[Winning Bid]]</f>
        <v>0</v>
      </c>
      <c r="S19" s="365">
        <f>ROUNDUP('Sale Notes'!$F19,0)*($Y$4+$Y$5)+$Y$3</f>
        <v>439.5</v>
      </c>
      <c r="T19" s="365">
        <f>ROUNDUP('Sale Notes'!$F19,0)*('Sale Notes'!$Q19+$Y$5)+$Y$3</f>
        <v>285.5</v>
      </c>
      <c r="U19" s="357"/>
    </row>
    <row r="20" spans="2:21" ht="96" x14ac:dyDescent="0.2">
      <c r="B20" s="391" t="s">
        <v>70</v>
      </c>
      <c r="C20" s="388"/>
      <c r="D20" s="392">
        <v>17</v>
      </c>
      <c r="E20" s="413">
        <v>44005</v>
      </c>
      <c r="F20" s="393">
        <v>714.37</v>
      </c>
      <c r="G20" s="394" t="s">
        <v>71</v>
      </c>
      <c r="H20" s="394" t="s">
        <v>72</v>
      </c>
      <c r="I20" s="389"/>
      <c r="J20" s="395" t="s">
        <v>7027</v>
      </c>
      <c r="K20" s="396" t="s">
        <v>7055</v>
      </c>
      <c r="L20" s="397" t="s">
        <v>7044</v>
      </c>
      <c r="M20" s="397" t="s">
        <v>6881</v>
      </c>
      <c r="N20" s="397"/>
      <c r="O20" s="397" t="s">
        <v>7043</v>
      </c>
      <c r="P20" s="398"/>
      <c r="Q20" s="399"/>
      <c r="R20" s="399">
        <f>ROUNDUP(Table2[[#This Row],[Acres]],0)*Table2[[#This Row],[Winning Bid]]</f>
        <v>0</v>
      </c>
      <c r="S20" s="399">
        <f>ROUNDUP('Sale Notes'!$F20,0)*($Y$4+$Y$5)+$Y$3</f>
        <v>2672.5</v>
      </c>
      <c r="T20" s="399">
        <f>ROUNDUP('Sale Notes'!$F20,0)*('Sale Notes'!$Q20+$Y$5)+$Y$3</f>
        <v>1242.5</v>
      </c>
      <c r="U20" s="398"/>
    </row>
    <row r="21" spans="2:21" ht="96" x14ac:dyDescent="0.2">
      <c r="B21" s="366" t="s">
        <v>73</v>
      </c>
      <c r="C21" s="357"/>
      <c r="D21" s="358">
        <v>119</v>
      </c>
      <c r="E21" s="413">
        <v>44005</v>
      </c>
      <c r="F21" s="360">
        <v>640</v>
      </c>
      <c r="G21" s="361" t="s">
        <v>71</v>
      </c>
      <c r="H21" s="361" t="s">
        <v>74</v>
      </c>
      <c r="I21" s="359"/>
      <c r="J21" s="386" t="s">
        <v>7027</v>
      </c>
      <c r="K21" s="364"/>
      <c r="L21" s="359" t="s">
        <v>7046</v>
      </c>
      <c r="M21" s="359" t="s">
        <v>6881</v>
      </c>
      <c r="N21" s="359"/>
      <c r="O21" s="390" t="s">
        <v>7045</v>
      </c>
      <c r="P21" s="357"/>
      <c r="Q21" s="365"/>
      <c r="R21" s="365">
        <f>ROUNDUP(Table2[[#This Row],[Acres]],0)*Table2[[#This Row],[Winning Bid]]</f>
        <v>0</v>
      </c>
      <c r="S21" s="365">
        <f>ROUNDUP('Sale Notes'!$F21,0)*($Y$4+$Y$5)+$Y$3</f>
        <v>2410</v>
      </c>
      <c r="T21" s="365">
        <f>ROUNDUP('Sale Notes'!$F21,0)*('Sale Notes'!$Q21+$Y$5)+$Y$3</f>
        <v>1130</v>
      </c>
      <c r="U21" s="357"/>
    </row>
    <row r="22" spans="2:21" ht="48" x14ac:dyDescent="0.2">
      <c r="B22" s="366" t="s">
        <v>75</v>
      </c>
      <c r="C22" s="357"/>
      <c r="D22" s="358">
        <v>26</v>
      </c>
      <c r="E22" s="413">
        <v>44005</v>
      </c>
      <c r="F22" s="360">
        <v>307.8</v>
      </c>
      <c r="G22" s="361" t="s">
        <v>71</v>
      </c>
      <c r="H22" s="361" t="s">
        <v>76</v>
      </c>
      <c r="I22" s="359"/>
      <c r="J22" s="386" t="s">
        <v>7027</v>
      </c>
      <c r="K22" s="364"/>
      <c r="L22" s="359" t="s">
        <v>7047</v>
      </c>
      <c r="M22" s="359" t="s">
        <v>6881</v>
      </c>
      <c r="N22" s="359"/>
      <c r="O22" s="359"/>
      <c r="P22" s="357"/>
      <c r="Q22" s="365"/>
      <c r="R22" s="365">
        <f>ROUNDUP(Table2[[#This Row],[Acres]],0)*Table2[[#This Row],[Winning Bid]]</f>
        <v>0</v>
      </c>
      <c r="S22" s="365">
        <f>ROUNDUP('Sale Notes'!$F22,0)*($Y$4+$Y$5)+$Y$3</f>
        <v>1248</v>
      </c>
      <c r="T22" s="365">
        <f>ROUNDUP('Sale Notes'!$F22,0)*('Sale Notes'!$Q22+$Y$5)+$Y$3</f>
        <v>632</v>
      </c>
      <c r="U22" s="357"/>
    </row>
    <row r="23" spans="2:21" ht="88" x14ac:dyDescent="0.2">
      <c r="B23" s="366" t="s">
        <v>77</v>
      </c>
      <c r="C23" s="357"/>
      <c r="D23" s="358">
        <v>29</v>
      </c>
      <c r="E23" s="413">
        <v>44005</v>
      </c>
      <c r="F23" s="360">
        <v>881.45</v>
      </c>
      <c r="G23" s="361" t="s">
        <v>71</v>
      </c>
      <c r="H23" s="361" t="s">
        <v>78</v>
      </c>
      <c r="I23" s="359"/>
      <c r="J23" s="386" t="s">
        <v>7048</v>
      </c>
      <c r="K23" s="364"/>
      <c r="L23" s="359" t="s">
        <v>7050</v>
      </c>
      <c r="M23" s="359" t="s">
        <v>7049</v>
      </c>
      <c r="N23" s="359"/>
      <c r="O23" s="359"/>
      <c r="P23" s="357"/>
      <c r="Q23" s="365"/>
      <c r="R23" s="365">
        <f>ROUNDUP(Table2[[#This Row],[Acres]],0)*Table2[[#This Row],[Winning Bid]]</f>
        <v>0</v>
      </c>
      <c r="S23" s="365">
        <f>ROUNDUP('Sale Notes'!$F23,0)*($Y$4+$Y$5)+$Y$3</f>
        <v>3257</v>
      </c>
      <c r="T23" s="365">
        <f>ROUNDUP('Sale Notes'!$F23,0)*('Sale Notes'!$Q23+$Y$5)+$Y$3</f>
        <v>1493</v>
      </c>
      <c r="U23" s="357"/>
    </row>
    <row r="24" spans="2:21" ht="80" x14ac:dyDescent="0.2">
      <c r="B24" s="366" t="s">
        <v>79</v>
      </c>
      <c r="C24" s="357"/>
      <c r="D24" s="358">
        <v>35</v>
      </c>
      <c r="E24" s="413">
        <v>44005</v>
      </c>
      <c r="F24" s="360">
        <v>815.93</v>
      </c>
      <c r="G24" s="361" t="s">
        <v>71</v>
      </c>
      <c r="H24" s="361" t="s">
        <v>80</v>
      </c>
      <c r="I24" s="359"/>
      <c r="J24" s="386" t="s">
        <v>7028</v>
      </c>
      <c r="K24" s="364" t="s">
        <v>5</v>
      </c>
      <c r="L24" s="359" t="s">
        <v>7051</v>
      </c>
      <c r="M24" s="359" t="s">
        <v>7052</v>
      </c>
      <c r="N24" s="359"/>
      <c r="O24" s="359"/>
      <c r="P24" s="357"/>
      <c r="Q24" s="365"/>
      <c r="R24" s="365">
        <f>ROUNDUP(Table2[[#This Row],[Acres]],0)*Table2[[#This Row],[Winning Bid]]</f>
        <v>0</v>
      </c>
      <c r="S24" s="365">
        <f>ROUNDUP('Sale Notes'!$F24,0)*($Y$4+$Y$5)+$Y$3</f>
        <v>3026</v>
      </c>
      <c r="T24" s="365">
        <f>ROUNDUP('Sale Notes'!$F24,0)*('Sale Notes'!$Q24+$Y$5)+$Y$3</f>
        <v>1394</v>
      </c>
      <c r="U24" s="357"/>
    </row>
    <row r="25" spans="2:21" ht="112" x14ac:dyDescent="0.2">
      <c r="B25" s="391" t="s">
        <v>81</v>
      </c>
      <c r="C25" s="357"/>
      <c r="D25" s="392">
        <v>120</v>
      </c>
      <c r="E25" s="413">
        <v>44005</v>
      </c>
      <c r="F25" s="393">
        <v>108.76</v>
      </c>
      <c r="G25" s="394" t="s">
        <v>71</v>
      </c>
      <c r="H25" s="394" t="s">
        <v>82</v>
      </c>
      <c r="I25" s="359"/>
      <c r="J25" s="395" t="s">
        <v>7028</v>
      </c>
      <c r="K25" s="396" t="s">
        <v>7055</v>
      </c>
      <c r="L25" s="397" t="s">
        <v>7053</v>
      </c>
      <c r="M25" s="397" t="s">
        <v>7052</v>
      </c>
      <c r="N25" s="397"/>
      <c r="O25" s="397"/>
      <c r="P25" s="398"/>
      <c r="Q25" s="399"/>
      <c r="R25" s="399">
        <f>ROUNDUP(Table2[[#This Row],[Acres]],0)*Table2[[#This Row],[Winning Bid]]</f>
        <v>0</v>
      </c>
      <c r="S25" s="399">
        <f>ROUNDUP('Sale Notes'!$F25,0)*($Y$4+$Y$5)+$Y$3</f>
        <v>551.5</v>
      </c>
      <c r="T25" s="399">
        <f>ROUNDUP('Sale Notes'!$F25,0)*('Sale Notes'!$Q25+$Y$5)+$Y$3</f>
        <v>333.5</v>
      </c>
      <c r="U25" s="398"/>
    </row>
    <row r="26" spans="2:21" ht="112" x14ac:dyDescent="0.2">
      <c r="B26" s="391" t="s">
        <v>83</v>
      </c>
      <c r="C26" s="357"/>
      <c r="D26" s="392">
        <v>121</v>
      </c>
      <c r="E26" s="413">
        <v>44005</v>
      </c>
      <c r="F26" s="393">
        <v>40</v>
      </c>
      <c r="G26" s="394" t="s">
        <v>71</v>
      </c>
      <c r="H26" s="394" t="s">
        <v>84</v>
      </c>
      <c r="I26" s="359"/>
      <c r="J26" s="395" t="s">
        <v>7028</v>
      </c>
      <c r="K26" s="396" t="s">
        <v>7055</v>
      </c>
      <c r="L26" s="397" t="s">
        <v>7053</v>
      </c>
      <c r="M26" s="397" t="s">
        <v>7052</v>
      </c>
      <c r="N26" s="397"/>
      <c r="O26" s="397"/>
      <c r="P26" s="398"/>
      <c r="Q26" s="399"/>
      <c r="R26" s="399">
        <f>ROUNDUP(Table2[[#This Row],[Acres]],0)*Table2[[#This Row],[Winning Bid]]</f>
        <v>0</v>
      </c>
      <c r="S26" s="399">
        <f>ROUNDUP('Sale Notes'!$F26,0)*($Y$4+$Y$5)+$Y$3</f>
        <v>310</v>
      </c>
      <c r="T26" s="399">
        <f>ROUNDUP('Sale Notes'!$F26,0)*('Sale Notes'!$Q26+$Y$5)+$Y$3</f>
        <v>230</v>
      </c>
      <c r="U26" s="398"/>
    </row>
    <row r="27" spans="2:21" ht="44" x14ac:dyDescent="0.2">
      <c r="B27" s="391" t="s">
        <v>85</v>
      </c>
      <c r="C27" s="357"/>
      <c r="D27" s="392">
        <v>42</v>
      </c>
      <c r="E27" s="413">
        <v>44005</v>
      </c>
      <c r="F27" s="393">
        <v>160</v>
      </c>
      <c r="G27" s="394" t="s">
        <v>71</v>
      </c>
      <c r="H27" s="394" t="s">
        <v>86</v>
      </c>
      <c r="I27" s="359"/>
      <c r="J27" s="395" t="s">
        <v>7028</v>
      </c>
      <c r="K27" s="396" t="s">
        <v>7055</v>
      </c>
      <c r="L27" s="397" t="s">
        <v>7054</v>
      </c>
      <c r="M27" s="397"/>
      <c r="N27" s="397"/>
      <c r="O27" s="397"/>
      <c r="P27" s="398"/>
      <c r="Q27" s="399"/>
      <c r="R27" s="399">
        <f>ROUNDUP(Table2[[#This Row],[Acres]],0)*Table2[[#This Row],[Winning Bid]]</f>
        <v>0</v>
      </c>
      <c r="S27" s="399">
        <f>ROUNDUP('Sale Notes'!$F27,0)*($Y$4+$Y$5)+$Y$3</f>
        <v>730</v>
      </c>
      <c r="T27" s="399">
        <f>ROUNDUP('Sale Notes'!$F27,0)*('Sale Notes'!$Q27+$Y$5)+$Y$3</f>
        <v>410</v>
      </c>
      <c r="U27" s="398"/>
    </row>
    <row r="28" spans="2:21" ht="88" x14ac:dyDescent="0.2">
      <c r="B28" s="366" t="s">
        <v>87</v>
      </c>
      <c r="C28" s="357"/>
      <c r="D28" s="358">
        <v>122</v>
      </c>
      <c r="E28" s="413">
        <v>44005</v>
      </c>
      <c r="F28" s="360">
        <v>320</v>
      </c>
      <c r="G28" s="361" t="s">
        <v>71</v>
      </c>
      <c r="H28" s="361" t="s">
        <v>88</v>
      </c>
      <c r="I28" s="359"/>
      <c r="J28" s="386" t="s">
        <v>7048</v>
      </c>
      <c r="K28" s="364"/>
      <c r="L28" s="359" t="s">
        <v>7029</v>
      </c>
      <c r="M28" s="359"/>
      <c r="N28" s="359"/>
      <c r="O28" s="359"/>
      <c r="P28" s="357"/>
      <c r="Q28" s="365"/>
      <c r="R28" s="365">
        <f>ROUNDUP(Table2[[#This Row],[Acres]],0)*Table2[[#This Row],[Winning Bid]]</f>
        <v>0</v>
      </c>
      <c r="S28" s="365">
        <f>ROUNDUP('Sale Notes'!$F28,0)*($Y$4+$Y$5)+$Y$3</f>
        <v>1290</v>
      </c>
      <c r="T28" s="365">
        <f>ROUNDUP('Sale Notes'!$F28,0)*('Sale Notes'!$Q28+$Y$5)+$Y$3</f>
        <v>650</v>
      </c>
      <c r="U28" s="357"/>
    </row>
    <row r="29" spans="2:21" ht="224" x14ac:dyDescent="0.2">
      <c r="B29" s="402" t="s">
        <v>89</v>
      </c>
      <c r="C29" s="388"/>
      <c r="D29" s="404">
        <v>43</v>
      </c>
      <c r="E29" s="413">
        <v>44005</v>
      </c>
      <c r="F29" s="405">
        <v>403.34</v>
      </c>
      <c r="G29" s="406" t="s">
        <v>90</v>
      </c>
      <c r="H29" s="407" t="s">
        <v>91</v>
      </c>
      <c r="I29" s="389"/>
      <c r="J29" s="395" t="s">
        <v>7041</v>
      </c>
      <c r="K29" s="396" t="s">
        <v>7055</v>
      </c>
      <c r="L29" s="409" t="s">
        <v>7042</v>
      </c>
      <c r="M29" s="409" t="s">
        <v>6899</v>
      </c>
      <c r="N29" s="409" t="s">
        <v>6962</v>
      </c>
      <c r="O29" s="410" t="s">
        <v>6883</v>
      </c>
      <c r="P29" s="398"/>
      <c r="Q29" s="399"/>
      <c r="R29" s="399">
        <f>ROUNDUP(Table2[[#This Row],[Acres]],0)*Table2[[#This Row],[Winning Bid]]</f>
        <v>0</v>
      </c>
      <c r="S29" s="399">
        <f>ROUNDUP('Sale Notes'!$F29,0)*($Y$4+$Y$5)+$Y$3</f>
        <v>1584</v>
      </c>
      <c r="T29" s="399">
        <f>ROUNDUP('Sale Notes'!$F29,0)*('Sale Notes'!$Q29+$Y$5)+$Y$3</f>
        <v>776</v>
      </c>
      <c r="U29" s="398"/>
    </row>
    <row r="30" spans="2:21" ht="144" x14ac:dyDescent="0.2">
      <c r="B30" s="402" t="s">
        <v>92</v>
      </c>
      <c r="C30" s="388"/>
      <c r="D30" s="404">
        <v>46</v>
      </c>
      <c r="E30" s="413">
        <v>44005</v>
      </c>
      <c r="F30" s="405">
        <v>40.26</v>
      </c>
      <c r="G30" s="406" t="s">
        <v>90</v>
      </c>
      <c r="H30" s="407" t="s">
        <v>93</v>
      </c>
      <c r="I30" s="389"/>
      <c r="J30" s="395" t="s">
        <v>7041</v>
      </c>
      <c r="K30" s="396" t="s">
        <v>7055</v>
      </c>
      <c r="L30" s="409" t="s">
        <v>6892</v>
      </c>
      <c r="M30" s="409" t="s">
        <v>6900</v>
      </c>
      <c r="N30" s="409" t="s">
        <v>6963</v>
      </c>
      <c r="O30" s="410" t="s">
        <v>6884</v>
      </c>
      <c r="P30" s="398"/>
      <c r="Q30" s="399"/>
      <c r="R30" s="399">
        <f>ROUNDUP(Table2[[#This Row],[Acres]],0)*Table2[[#This Row],[Winning Bid]]</f>
        <v>0</v>
      </c>
      <c r="S30" s="399">
        <f>ROUNDUP('Sale Notes'!$F30,0)*($Y$4+$Y$5)+$Y$3</f>
        <v>313.5</v>
      </c>
      <c r="T30" s="399">
        <f>ROUNDUP('Sale Notes'!$F30,0)*('Sale Notes'!$Q30+$Y$5)+$Y$3</f>
        <v>231.5</v>
      </c>
      <c r="U30" s="398"/>
    </row>
    <row r="31" spans="2:21" ht="240" x14ac:dyDescent="0.2">
      <c r="B31" s="402" t="s">
        <v>94</v>
      </c>
      <c r="C31" s="388"/>
      <c r="D31" s="404">
        <v>47</v>
      </c>
      <c r="E31" s="413">
        <v>44005</v>
      </c>
      <c r="F31" s="405">
        <v>120.17</v>
      </c>
      <c r="G31" s="406" t="s">
        <v>90</v>
      </c>
      <c r="H31" s="407" t="s">
        <v>95</v>
      </c>
      <c r="I31" s="389"/>
      <c r="J31" s="395" t="s">
        <v>7041</v>
      </c>
      <c r="K31" s="396" t="s">
        <v>7055</v>
      </c>
      <c r="L31" s="409" t="s">
        <v>6893</v>
      </c>
      <c r="M31" s="409" t="s">
        <v>6901</v>
      </c>
      <c r="N31" s="409" t="s">
        <v>6964</v>
      </c>
      <c r="O31" s="410" t="s">
        <v>6885</v>
      </c>
      <c r="P31" s="398"/>
      <c r="Q31" s="399"/>
      <c r="R31" s="399">
        <f>ROUNDUP(Table2[[#This Row],[Acres]],0)*Table2[[#This Row],[Winning Bid]]</f>
        <v>0</v>
      </c>
      <c r="S31" s="399">
        <f>ROUNDUP('Sale Notes'!$F31,0)*($Y$4+$Y$5)+$Y$3</f>
        <v>593.5</v>
      </c>
      <c r="T31" s="399">
        <f>ROUNDUP('Sale Notes'!$F31,0)*('Sale Notes'!$Q31+$Y$5)+$Y$3</f>
        <v>351.5</v>
      </c>
      <c r="U31" s="398"/>
    </row>
    <row r="32" spans="2:21" ht="144" x14ac:dyDescent="0.2">
      <c r="B32" s="403" t="s">
        <v>96</v>
      </c>
      <c r="C32" s="388"/>
      <c r="D32" s="404">
        <v>49</v>
      </c>
      <c r="E32" s="413">
        <v>44005</v>
      </c>
      <c r="F32" s="408">
        <v>40.229999999999997</v>
      </c>
      <c r="G32" s="406" t="s">
        <v>90</v>
      </c>
      <c r="H32" s="407" t="s">
        <v>97</v>
      </c>
      <c r="I32" s="389"/>
      <c r="J32" s="395" t="s">
        <v>7041</v>
      </c>
      <c r="K32" s="396" t="s">
        <v>7055</v>
      </c>
      <c r="L32" s="409" t="s">
        <v>6886</v>
      </c>
      <c r="M32" s="409" t="s">
        <v>6894</v>
      </c>
      <c r="N32" s="409" t="s">
        <v>6965</v>
      </c>
      <c r="O32" s="410" t="s">
        <v>6887</v>
      </c>
      <c r="P32" s="398"/>
      <c r="Q32" s="399"/>
      <c r="R32" s="399">
        <f>ROUNDUP(Table2[[#This Row],[Acres]],0)*Table2[[#This Row],[Winning Bid]]</f>
        <v>0</v>
      </c>
      <c r="S32" s="399">
        <f>ROUNDUP('Sale Notes'!$F32,0)*($Y$4+$Y$5)+$Y$3</f>
        <v>313.5</v>
      </c>
      <c r="T32" s="399">
        <f>ROUNDUP('Sale Notes'!$F32,0)*('Sale Notes'!$Q32+$Y$5)+$Y$3</f>
        <v>231.5</v>
      </c>
      <c r="U32" s="398"/>
    </row>
    <row r="33" spans="2:21" ht="256" x14ac:dyDescent="0.2">
      <c r="B33" s="403" t="s">
        <v>98</v>
      </c>
      <c r="C33" s="388"/>
      <c r="D33" s="404">
        <v>50</v>
      </c>
      <c r="E33" s="413">
        <v>44005</v>
      </c>
      <c r="F33" s="408">
        <v>401.6</v>
      </c>
      <c r="G33" s="406" t="s">
        <v>90</v>
      </c>
      <c r="H33" s="407" t="s">
        <v>99</v>
      </c>
      <c r="I33" s="389"/>
      <c r="J33" s="395" t="s">
        <v>7041</v>
      </c>
      <c r="K33" s="396" t="s">
        <v>7055</v>
      </c>
      <c r="L33" s="409" t="s">
        <v>6882</v>
      </c>
      <c r="M33" s="409" t="s">
        <v>6894</v>
      </c>
      <c r="N33" s="409" t="s">
        <v>6966</v>
      </c>
      <c r="O33" s="410" t="s">
        <v>6888</v>
      </c>
      <c r="P33" s="398"/>
      <c r="Q33" s="399"/>
      <c r="R33" s="399">
        <f>ROUNDUP(Table2[[#This Row],[Acres]],0)*Table2[[#This Row],[Winning Bid]]</f>
        <v>0</v>
      </c>
      <c r="S33" s="399">
        <f>ROUNDUP('Sale Notes'!$F33,0)*($Y$4+$Y$5)+$Y$3</f>
        <v>1577</v>
      </c>
      <c r="T33" s="399">
        <f>ROUNDUP('Sale Notes'!$F33,0)*('Sale Notes'!$Q33+$Y$5)+$Y$3</f>
        <v>773</v>
      </c>
      <c r="U33" s="398"/>
    </row>
    <row r="34" spans="2:21" ht="256" x14ac:dyDescent="0.2">
      <c r="B34" s="357" t="s">
        <v>100</v>
      </c>
      <c r="C34" s="357"/>
      <c r="D34" s="358">
        <v>52</v>
      </c>
      <c r="E34" s="413">
        <v>44005</v>
      </c>
      <c r="F34" s="381">
        <v>308.57</v>
      </c>
      <c r="G34" s="361" t="s">
        <v>90</v>
      </c>
      <c r="H34" s="361" t="s">
        <v>101</v>
      </c>
      <c r="I34" s="359"/>
      <c r="J34" s="386" t="s">
        <v>7026</v>
      </c>
      <c r="K34" s="357" t="s">
        <v>3</v>
      </c>
      <c r="L34" s="359" t="s">
        <v>6875</v>
      </c>
      <c r="M34" s="359" t="s">
        <v>6889</v>
      </c>
      <c r="N34" s="359" t="s">
        <v>6967</v>
      </c>
      <c r="O34" s="359" t="s">
        <v>6878</v>
      </c>
      <c r="P34" s="357"/>
      <c r="Q34" s="365"/>
      <c r="R34" s="365">
        <f>ROUNDUP(Table2[[#This Row],[Acres]],0)*Table2[[#This Row],[Winning Bid]]</f>
        <v>0</v>
      </c>
      <c r="S34" s="365">
        <f>ROUNDUP('Sale Notes'!$F34,0)*($Y$4+$Y$5)+$Y$3</f>
        <v>1251.5</v>
      </c>
      <c r="T34" s="365">
        <f>ROUNDUP('Sale Notes'!$F34,0)*('Sale Notes'!$Q34+$Y$5)+$Y$3</f>
        <v>633.5</v>
      </c>
      <c r="U34" s="357"/>
    </row>
    <row r="35" spans="2:21" ht="48" x14ac:dyDescent="0.2">
      <c r="B35" s="357" t="s">
        <v>102</v>
      </c>
      <c r="C35" s="357"/>
      <c r="D35" s="358">
        <v>7</v>
      </c>
      <c r="E35" s="413">
        <v>44005</v>
      </c>
      <c r="F35" s="381">
        <v>160</v>
      </c>
      <c r="G35" s="361" t="s">
        <v>71</v>
      </c>
      <c r="H35" s="361" t="s">
        <v>103</v>
      </c>
      <c r="I35" s="359"/>
      <c r="J35" s="386" t="s">
        <v>7030</v>
      </c>
      <c r="K35" s="357"/>
      <c r="L35" s="359"/>
      <c r="M35" s="359"/>
      <c r="N35" s="359"/>
      <c r="O35" s="359" t="s">
        <v>7031</v>
      </c>
      <c r="P35" s="357"/>
      <c r="Q35" s="365"/>
      <c r="R35" s="365">
        <f>ROUNDUP(Table2[[#This Row],[Acres]],0)*Table2[[#This Row],[Winning Bid]]</f>
        <v>0</v>
      </c>
      <c r="S35" s="365">
        <f>ROUNDUP('Sale Notes'!$F35,0)*($Y$4+$Y$5)+$Y$3</f>
        <v>730</v>
      </c>
      <c r="T35" s="365">
        <f>ROUNDUP('Sale Notes'!$F35,0)*('Sale Notes'!$Q35+$Y$5)+$Y$3</f>
        <v>410</v>
      </c>
      <c r="U35" s="357"/>
    </row>
    <row r="36" spans="2:21" ht="64" x14ac:dyDescent="0.2">
      <c r="B36" s="357" t="s">
        <v>104</v>
      </c>
      <c r="C36" s="357"/>
      <c r="D36" s="358">
        <v>8</v>
      </c>
      <c r="E36" s="413">
        <v>44005</v>
      </c>
      <c r="F36" s="381">
        <v>520</v>
      </c>
      <c r="G36" s="361" t="s">
        <v>71</v>
      </c>
      <c r="H36" s="361" t="s">
        <v>105</v>
      </c>
      <c r="I36" s="359"/>
      <c r="J36" s="386" t="s">
        <v>7030</v>
      </c>
      <c r="K36" s="357"/>
      <c r="L36" s="359"/>
      <c r="M36" s="359"/>
      <c r="N36" s="359"/>
      <c r="O36" s="359" t="s">
        <v>7031</v>
      </c>
      <c r="P36" s="357"/>
      <c r="Q36" s="365"/>
      <c r="R36" s="365">
        <f>ROUNDUP(Table2[[#This Row],[Acres]],0)*Table2[[#This Row],[Winning Bid]]</f>
        <v>0</v>
      </c>
      <c r="S36" s="365">
        <f>ROUNDUP('Sale Notes'!$F36,0)*($Y$4+$Y$5)+$Y$3</f>
        <v>1990</v>
      </c>
      <c r="T36" s="365">
        <f>ROUNDUP('Sale Notes'!$F36,0)*('Sale Notes'!$Q36+$Y$5)+$Y$3</f>
        <v>950</v>
      </c>
      <c r="U36" s="357"/>
    </row>
    <row r="37" spans="2:21" ht="48" x14ac:dyDescent="0.2">
      <c r="B37" s="357" t="s">
        <v>106</v>
      </c>
      <c r="C37" s="357"/>
      <c r="D37" s="358">
        <v>123</v>
      </c>
      <c r="E37" s="413">
        <v>44005</v>
      </c>
      <c r="F37" s="381">
        <v>640</v>
      </c>
      <c r="G37" s="361" t="s">
        <v>71</v>
      </c>
      <c r="H37" s="361" t="s">
        <v>107</v>
      </c>
      <c r="I37" s="359"/>
      <c r="J37" s="386" t="s">
        <v>7030</v>
      </c>
      <c r="K37" s="357"/>
      <c r="L37" s="359"/>
      <c r="M37" s="359"/>
      <c r="N37" s="359"/>
      <c r="O37" s="359" t="s">
        <v>7031</v>
      </c>
      <c r="P37" s="357"/>
      <c r="Q37" s="365"/>
      <c r="R37" s="365">
        <f>ROUNDUP(Table2[[#This Row],[Acres]],0)*Table2[[#This Row],[Winning Bid]]</f>
        <v>0</v>
      </c>
      <c r="S37" s="365">
        <f>ROUNDUP('Sale Notes'!$F37,0)*($Y$4+$Y$5)+$Y$3</f>
        <v>2410</v>
      </c>
      <c r="T37" s="365">
        <f>ROUNDUP('Sale Notes'!$F37,0)*('Sale Notes'!$Q37+$Y$5)+$Y$3</f>
        <v>1130</v>
      </c>
      <c r="U37" s="357"/>
    </row>
    <row r="38" spans="2:21" ht="48" x14ac:dyDescent="0.2">
      <c r="B38" s="357" t="s">
        <v>108</v>
      </c>
      <c r="C38" s="357"/>
      <c r="D38" s="358">
        <v>9</v>
      </c>
      <c r="E38" s="413">
        <v>44005</v>
      </c>
      <c r="F38" s="381">
        <v>240</v>
      </c>
      <c r="G38" s="361" t="s">
        <v>71</v>
      </c>
      <c r="H38" s="361" t="s">
        <v>109</v>
      </c>
      <c r="I38" s="359"/>
      <c r="J38" s="386" t="s">
        <v>7030</v>
      </c>
      <c r="K38" s="357"/>
      <c r="L38" s="359"/>
      <c r="M38" s="359"/>
      <c r="N38" s="359"/>
      <c r="O38" s="359" t="s">
        <v>7031</v>
      </c>
      <c r="P38" s="357"/>
      <c r="Q38" s="365"/>
      <c r="R38" s="365">
        <f>ROUNDUP(Table2[[#This Row],[Acres]],0)*Table2[[#This Row],[Winning Bid]]</f>
        <v>0</v>
      </c>
      <c r="S38" s="365">
        <f>ROUNDUP('Sale Notes'!$F38,0)*($Y$4+$Y$5)+$Y$3</f>
        <v>1010</v>
      </c>
      <c r="T38" s="365">
        <f>ROUNDUP('Sale Notes'!$F38,0)*('Sale Notes'!$Q38+$Y$5)+$Y$3</f>
        <v>530</v>
      </c>
      <c r="U38" s="357"/>
    </row>
    <row r="39" spans="2:21" ht="48" x14ac:dyDescent="0.2">
      <c r="B39" s="357" t="s">
        <v>110</v>
      </c>
      <c r="C39" s="357"/>
      <c r="D39" s="358">
        <v>10</v>
      </c>
      <c r="E39" s="413">
        <v>44005</v>
      </c>
      <c r="F39" s="381">
        <v>80</v>
      </c>
      <c r="G39" s="361" t="s">
        <v>71</v>
      </c>
      <c r="H39" s="361" t="s">
        <v>111</v>
      </c>
      <c r="I39" s="359"/>
      <c r="J39" s="386" t="s">
        <v>7030</v>
      </c>
      <c r="K39" s="357"/>
      <c r="L39" s="359"/>
      <c r="M39" s="359"/>
      <c r="N39" s="359"/>
      <c r="O39" s="359" t="s">
        <v>7031</v>
      </c>
      <c r="P39" s="357"/>
      <c r="Q39" s="365"/>
      <c r="R39" s="365">
        <f>ROUNDUP(Table2[[#This Row],[Acres]],0)*Table2[[#This Row],[Winning Bid]]</f>
        <v>0</v>
      </c>
      <c r="S39" s="365">
        <f>ROUNDUP('Sale Notes'!$F39,0)*($Y$4+$Y$5)+$Y$3</f>
        <v>450</v>
      </c>
      <c r="T39" s="365">
        <f>ROUNDUP('Sale Notes'!$F39,0)*('Sale Notes'!$Q39+$Y$5)+$Y$3</f>
        <v>290</v>
      </c>
      <c r="U39" s="357"/>
    </row>
    <row r="40" spans="2:21" ht="48" x14ac:dyDescent="0.2">
      <c r="B40" s="357" t="s">
        <v>112</v>
      </c>
      <c r="C40" s="357"/>
      <c r="D40" s="358">
        <v>11</v>
      </c>
      <c r="E40" s="413">
        <v>44005</v>
      </c>
      <c r="F40" s="381">
        <v>240</v>
      </c>
      <c r="G40" s="361" t="s">
        <v>71</v>
      </c>
      <c r="H40" s="361" t="s">
        <v>113</v>
      </c>
      <c r="I40" s="359"/>
      <c r="J40" s="386" t="s">
        <v>7030</v>
      </c>
      <c r="K40" s="357"/>
      <c r="L40" s="359"/>
      <c r="M40" s="359"/>
      <c r="N40" s="359"/>
      <c r="O40" s="359" t="s">
        <v>7031</v>
      </c>
      <c r="P40" s="357"/>
      <c r="Q40" s="365"/>
      <c r="R40" s="365">
        <f>ROUNDUP(Table2[[#This Row],[Acres]],0)*Table2[[#This Row],[Winning Bid]]</f>
        <v>0</v>
      </c>
      <c r="S40" s="365">
        <f>ROUNDUP('Sale Notes'!$F40,0)*($Y$4+$Y$5)+$Y$3</f>
        <v>1010</v>
      </c>
      <c r="T40" s="365">
        <f>ROUNDUP('Sale Notes'!$F40,0)*('Sale Notes'!$Q40+$Y$5)+$Y$3</f>
        <v>530</v>
      </c>
      <c r="U40" s="357"/>
    </row>
    <row r="41" spans="2:21" ht="48" x14ac:dyDescent="0.2">
      <c r="B41" s="357" t="s">
        <v>114</v>
      </c>
      <c r="C41" s="357"/>
      <c r="D41" s="358">
        <v>124</v>
      </c>
      <c r="E41" s="413">
        <v>44005</v>
      </c>
      <c r="F41" s="381">
        <v>320</v>
      </c>
      <c r="G41" s="361" t="s">
        <v>71</v>
      </c>
      <c r="H41" s="361" t="s">
        <v>115</v>
      </c>
      <c r="I41" s="359"/>
      <c r="J41" s="386" t="s">
        <v>7030</v>
      </c>
      <c r="K41" s="357"/>
      <c r="L41" s="359"/>
      <c r="M41" s="359"/>
      <c r="N41" s="359"/>
      <c r="O41" s="359" t="s">
        <v>7031</v>
      </c>
      <c r="P41" s="357"/>
      <c r="Q41" s="365"/>
      <c r="R41" s="365">
        <f>ROUNDUP(Table2[[#This Row],[Acres]],0)*Table2[[#This Row],[Winning Bid]]</f>
        <v>0</v>
      </c>
      <c r="S41" s="365">
        <f>ROUNDUP('Sale Notes'!$F41,0)*($Y$4+$Y$5)+$Y$3</f>
        <v>1290</v>
      </c>
      <c r="T41" s="365">
        <f>ROUNDUP('Sale Notes'!$F41,0)*('Sale Notes'!$Q41+$Y$5)+$Y$3</f>
        <v>650</v>
      </c>
      <c r="U41" s="357"/>
    </row>
    <row r="42" spans="2:21" ht="48" x14ac:dyDescent="0.2">
      <c r="B42" s="357" t="s">
        <v>116</v>
      </c>
      <c r="C42" s="357"/>
      <c r="D42" s="358">
        <v>12</v>
      </c>
      <c r="E42" s="413">
        <v>44005</v>
      </c>
      <c r="F42" s="381">
        <v>160</v>
      </c>
      <c r="G42" s="361" t="s">
        <v>71</v>
      </c>
      <c r="H42" s="361" t="s">
        <v>117</v>
      </c>
      <c r="I42" s="359"/>
      <c r="J42" s="386" t="s">
        <v>7030</v>
      </c>
      <c r="K42" s="357"/>
      <c r="L42" s="359"/>
      <c r="M42" s="359"/>
      <c r="N42" s="359"/>
      <c r="O42" s="359" t="s">
        <v>7031</v>
      </c>
      <c r="P42" s="357"/>
      <c r="Q42" s="365"/>
      <c r="R42" s="365">
        <f>ROUNDUP(Table2[[#This Row],[Acres]],0)*Table2[[#This Row],[Winning Bid]]</f>
        <v>0</v>
      </c>
      <c r="S42" s="365">
        <f>ROUNDUP('Sale Notes'!$F42,0)*($Y$4+$Y$5)+$Y$3</f>
        <v>730</v>
      </c>
      <c r="T42" s="365">
        <f>ROUNDUP('Sale Notes'!$F42,0)*('Sale Notes'!$Q42+$Y$5)+$Y$3</f>
        <v>410</v>
      </c>
      <c r="U42" s="357"/>
    </row>
    <row r="43" spans="2:21" ht="48" x14ac:dyDescent="0.2">
      <c r="B43" s="357" t="s">
        <v>118</v>
      </c>
      <c r="C43" s="357"/>
      <c r="D43" s="358">
        <v>125</v>
      </c>
      <c r="E43" s="413">
        <v>44005</v>
      </c>
      <c r="F43" s="381">
        <v>320</v>
      </c>
      <c r="G43" s="361" t="s">
        <v>71</v>
      </c>
      <c r="H43" s="361" t="s">
        <v>119</v>
      </c>
      <c r="I43" s="359"/>
      <c r="J43" s="386" t="s">
        <v>7030</v>
      </c>
      <c r="K43" s="357"/>
      <c r="L43" s="359"/>
      <c r="M43" s="359"/>
      <c r="N43" s="359"/>
      <c r="O43" s="359" t="s">
        <v>7031</v>
      </c>
      <c r="P43" s="357"/>
      <c r="Q43" s="365"/>
      <c r="R43" s="365">
        <f>ROUNDUP(Table2[[#This Row],[Acres]],0)*Table2[[#This Row],[Winning Bid]]</f>
        <v>0</v>
      </c>
      <c r="S43" s="365">
        <f>ROUNDUP('Sale Notes'!$F43,0)*($Y$4+$Y$5)+$Y$3</f>
        <v>1290</v>
      </c>
      <c r="T43" s="365">
        <f>ROUNDUP('Sale Notes'!$F43,0)*('Sale Notes'!$Q43+$Y$5)+$Y$3</f>
        <v>650</v>
      </c>
      <c r="U43" s="357"/>
    </row>
    <row r="44" spans="2:21" ht="48" x14ac:dyDescent="0.2">
      <c r="B44" s="357" t="s">
        <v>120</v>
      </c>
      <c r="C44" s="357"/>
      <c r="D44" s="358">
        <v>13</v>
      </c>
      <c r="E44" s="413">
        <v>44005</v>
      </c>
      <c r="F44" s="381">
        <v>320</v>
      </c>
      <c r="G44" s="361" t="s">
        <v>71</v>
      </c>
      <c r="H44" s="361" t="s">
        <v>121</v>
      </c>
      <c r="I44" s="359"/>
      <c r="J44" s="386" t="s">
        <v>7030</v>
      </c>
      <c r="K44" s="357"/>
      <c r="L44" s="359"/>
      <c r="M44" s="359"/>
      <c r="N44" s="359"/>
      <c r="O44" s="359" t="s">
        <v>7031</v>
      </c>
      <c r="P44" s="357"/>
      <c r="Q44" s="365"/>
      <c r="R44" s="365">
        <f>ROUNDUP(Table2[[#This Row],[Acres]],0)*Table2[[#This Row],[Winning Bid]]</f>
        <v>0</v>
      </c>
      <c r="S44" s="365">
        <f>ROUNDUP('Sale Notes'!$F44,0)*($Y$4+$Y$5)+$Y$3</f>
        <v>1290</v>
      </c>
      <c r="T44" s="365">
        <f>ROUNDUP('Sale Notes'!$F44,0)*('Sale Notes'!$Q44+$Y$5)+$Y$3</f>
        <v>650</v>
      </c>
      <c r="U44" s="357"/>
    </row>
    <row r="45" spans="2:21" ht="48" x14ac:dyDescent="0.2">
      <c r="B45" s="357" t="s">
        <v>122</v>
      </c>
      <c r="C45" s="357"/>
      <c r="D45" s="358">
        <v>126</v>
      </c>
      <c r="E45" s="413">
        <v>44005</v>
      </c>
      <c r="F45" s="381">
        <v>320</v>
      </c>
      <c r="G45" s="361" t="s">
        <v>71</v>
      </c>
      <c r="H45" s="361" t="s">
        <v>123</v>
      </c>
      <c r="I45" s="359"/>
      <c r="J45" s="386" t="s">
        <v>7030</v>
      </c>
      <c r="K45" s="357"/>
      <c r="L45" s="359"/>
      <c r="M45" s="359"/>
      <c r="N45" s="359"/>
      <c r="O45" s="359" t="s">
        <v>7031</v>
      </c>
      <c r="P45" s="357"/>
      <c r="Q45" s="365"/>
      <c r="R45" s="365">
        <f>ROUNDUP(Table2[[#This Row],[Acres]],0)*Table2[[#This Row],[Winning Bid]]</f>
        <v>0</v>
      </c>
      <c r="S45" s="365">
        <f>ROUNDUP('Sale Notes'!$F45,0)*($Y$4+$Y$5)+$Y$3</f>
        <v>1290</v>
      </c>
      <c r="T45" s="365">
        <f>ROUNDUP('Sale Notes'!$F45,0)*('Sale Notes'!$Q45+$Y$5)+$Y$3</f>
        <v>650</v>
      </c>
      <c r="U45" s="357"/>
    </row>
    <row r="46" spans="2:21" ht="48" x14ac:dyDescent="0.2">
      <c r="B46" s="357" t="s">
        <v>124</v>
      </c>
      <c r="C46" s="357"/>
      <c r="D46" s="358">
        <v>91</v>
      </c>
      <c r="E46" s="413">
        <v>44005</v>
      </c>
      <c r="F46" s="381">
        <v>520</v>
      </c>
      <c r="G46" s="361" t="s">
        <v>71</v>
      </c>
      <c r="H46" s="361" t="s">
        <v>125</v>
      </c>
      <c r="I46" s="359"/>
      <c r="J46" s="386" t="s">
        <v>7030</v>
      </c>
      <c r="K46" s="357"/>
      <c r="L46" s="359"/>
      <c r="M46" s="359"/>
      <c r="N46" s="359"/>
      <c r="O46" s="359" t="s">
        <v>7031</v>
      </c>
      <c r="P46" s="357"/>
      <c r="Q46" s="365"/>
      <c r="R46" s="365">
        <f>ROUNDUP(Table2[[#This Row],[Acres]],0)*Table2[[#This Row],[Winning Bid]]</f>
        <v>0</v>
      </c>
      <c r="S46" s="365">
        <f>ROUNDUP('Sale Notes'!$F46,0)*($Y$4+$Y$5)+$Y$3</f>
        <v>1990</v>
      </c>
      <c r="T46" s="365">
        <f>ROUNDUP('Sale Notes'!$F46,0)*('Sale Notes'!$Q46+$Y$5)+$Y$3</f>
        <v>950</v>
      </c>
      <c r="U46" s="357"/>
    </row>
    <row r="47" spans="2:21" ht="48" x14ac:dyDescent="0.2">
      <c r="B47" s="357" t="s">
        <v>126</v>
      </c>
      <c r="C47" s="357"/>
      <c r="D47" s="358">
        <v>127</v>
      </c>
      <c r="E47" s="413">
        <v>44005</v>
      </c>
      <c r="F47" s="381">
        <v>320</v>
      </c>
      <c r="G47" s="361" t="s">
        <v>71</v>
      </c>
      <c r="H47" s="361" t="s">
        <v>127</v>
      </c>
      <c r="I47" s="359"/>
      <c r="J47" s="386" t="s">
        <v>7030</v>
      </c>
      <c r="K47" s="357"/>
      <c r="L47" s="359"/>
      <c r="M47" s="359"/>
      <c r="N47" s="359"/>
      <c r="O47" s="359" t="s">
        <v>7031</v>
      </c>
      <c r="P47" s="357"/>
      <c r="Q47" s="365"/>
      <c r="R47" s="365">
        <f>ROUNDUP(Table2[[#This Row],[Acres]],0)*Table2[[#This Row],[Winning Bid]]</f>
        <v>0</v>
      </c>
      <c r="S47" s="365">
        <f>ROUNDUP('Sale Notes'!$F47,0)*($Y$4+$Y$5)+$Y$3</f>
        <v>1290</v>
      </c>
      <c r="T47" s="365">
        <f>ROUNDUP('Sale Notes'!$F47,0)*('Sale Notes'!$Q47+$Y$5)+$Y$3</f>
        <v>650</v>
      </c>
      <c r="U47" s="357"/>
    </row>
    <row r="48" spans="2:21" ht="48" x14ac:dyDescent="0.2">
      <c r="B48" s="357" t="s">
        <v>128</v>
      </c>
      <c r="C48" s="357"/>
      <c r="D48" s="358">
        <v>128</v>
      </c>
      <c r="E48" s="413">
        <v>44005</v>
      </c>
      <c r="F48" s="381">
        <v>320</v>
      </c>
      <c r="G48" s="361" t="s">
        <v>71</v>
      </c>
      <c r="H48" s="361" t="s">
        <v>129</v>
      </c>
      <c r="I48" s="359"/>
      <c r="J48" s="386" t="s">
        <v>7030</v>
      </c>
      <c r="K48" s="357"/>
      <c r="L48" s="359"/>
      <c r="M48" s="359"/>
      <c r="N48" s="359"/>
      <c r="O48" s="359" t="s">
        <v>7031</v>
      </c>
      <c r="P48" s="357"/>
      <c r="Q48" s="365"/>
      <c r="R48" s="365">
        <f>ROUNDUP(Table2[[#This Row],[Acres]],0)*Table2[[#This Row],[Winning Bid]]</f>
        <v>0</v>
      </c>
      <c r="S48" s="365">
        <f>ROUNDUP('Sale Notes'!$F48,0)*($Y$4+$Y$5)+$Y$3</f>
        <v>1290</v>
      </c>
      <c r="T48" s="365">
        <f>ROUNDUP('Sale Notes'!$F48,0)*('Sale Notes'!$Q48+$Y$5)+$Y$3</f>
        <v>650</v>
      </c>
      <c r="U48" s="357"/>
    </row>
    <row r="49" spans="2:21" ht="48" x14ac:dyDescent="0.2">
      <c r="B49" s="357" t="s">
        <v>130</v>
      </c>
      <c r="C49" s="357"/>
      <c r="D49" s="358">
        <v>15</v>
      </c>
      <c r="E49" s="413">
        <v>44005</v>
      </c>
      <c r="F49" s="381">
        <v>80</v>
      </c>
      <c r="G49" s="361" t="s">
        <v>71</v>
      </c>
      <c r="H49" s="361" t="s">
        <v>131</v>
      </c>
      <c r="I49" s="359"/>
      <c r="J49" s="386" t="s">
        <v>7033</v>
      </c>
      <c r="K49" s="357" t="s">
        <v>5</v>
      </c>
      <c r="L49" s="359"/>
      <c r="M49" s="359"/>
      <c r="N49" s="359"/>
      <c r="O49" s="359" t="s">
        <v>7032</v>
      </c>
      <c r="P49" s="357"/>
      <c r="Q49" s="365"/>
      <c r="R49" s="365">
        <f>ROUNDUP(Table2[[#This Row],[Acres]],0)*Table2[[#This Row],[Winning Bid]]</f>
        <v>0</v>
      </c>
      <c r="S49" s="365">
        <f>ROUNDUP('Sale Notes'!$F49,0)*($Y$4+$Y$5)+$Y$3</f>
        <v>450</v>
      </c>
      <c r="T49" s="365">
        <f>ROUNDUP('Sale Notes'!$F49,0)*('Sale Notes'!$Q49+$Y$5)+$Y$3</f>
        <v>290</v>
      </c>
      <c r="U49" s="357"/>
    </row>
    <row r="50" spans="2:21" ht="88" x14ac:dyDescent="0.2">
      <c r="B50" s="357" t="s">
        <v>132</v>
      </c>
      <c r="C50" s="357"/>
      <c r="D50" s="358">
        <v>16</v>
      </c>
      <c r="E50" s="413">
        <v>44005</v>
      </c>
      <c r="F50" s="381">
        <v>880</v>
      </c>
      <c r="G50" s="361" t="s">
        <v>71</v>
      </c>
      <c r="H50" s="361" t="s">
        <v>133</v>
      </c>
      <c r="I50" s="359"/>
      <c r="J50" s="386" t="s">
        <v>7034</v>
      </c>
      <c r="K50" s="357"/>
      <c r="L50" s="359"/>
      <c r="M50" s="359"/>
      <c r="N50" s="359"/>
      <c r="O50" s="359"/>
      <c r="P50" s="357"/>
      <c r="Q50" s="365"/>
      <c r="R50" s="365">
        <f>ROUNDUP(Table2[[#This Row],[Acres]],0)*Table2[[#This Row],[Winning Bid]]</f>
        <v>0</v>
      </c>
      <c r="S50" s="365">
        <f>ROUNDUP('Sale Notes'!$F50,0)*($Y$4+$Y$5)+$Y$3</f>
        <v>3250</v>
      </c>
      <c r="T50" s="365">
        <f>ROUNDUP('Sale Notes'!$F50,0)*('Sale Notes'!$Q50+$Y$5)+$Y$3</f>
        <v>1490</v>
      </c>
      <c r="U50" s="357"/>
    </row>
    <row r="51" spans="2:21" ht="96" x14ac:dyDescent="0.2">
      <c r="B51" s="357" t="s">
        <v>134</v>
      </c>
      <c r="C51" s="357"/>
      <c r="D51" s="358">
        <v>18</v>
      </c>
      <c r="E51" s="413">
        <v>44005</v>
      </c>
      <c r="F51" s="381">
        <v>596</v>
      </c>
      <c r="G51" s="361" t="s">
        <v>71</v>
      </c>
      <c r="H51" s="361" t="s">
        <v>135</v>
      </c>
      <c r="I51" s="359"/>
      <c r="J51" s="386" t="s">
        <v>7034</v>
      </c>
      <c r="K51" s="357"/>
      <c r="L51" s="359"/>
      <c r="M51" s="359"/>
      <c r="N51" s="359"/>
      <c r="O51" s="359"/>
      <c r="P51" s="357"/>
      <c r="Q51" s="365"/>
      <c r="R51" s="365">
        <f>ROUNDUP(Table2[[#This Row],[Acres]],0)*Table2[[#This Row],[Winning Bid]]</f>
        <v>0</v>
      </c>
      <c r="S51" s="365">
        <f>ROUNDUP('Sale Notes'!$F51,0)*($Y$4+$Y$5)+$Y$3</f>
        <v>2256</v>
      </c>
      <c r="T51" s="365">
        <f>ROUNDUP('Sale Notes'!$F51,0)*('Sale Notes'!$Q51+$Y$5)+$Y$3</f>
        <v>1064</v>
      </c>
      <c r="U51" s="357"/>
    </row>
    <row r="52" spans="2:21" ht="48" x14ac:dyDescent="0.2">
      <c r="B52" s="398" t="s">
        <v>136</v>
      </c>
      <c r="C52" s="388"/>
      <c r="D52" s="392">
        <v>19</v>
      </c>
      <c r="E52" s="413">
        <v>44005</v>
      </c>
      <c r="F52" s="400">
        <v>520</v>
      </c>
      <c r="G52" s="394" t="s">
        <v>71</v>
      </c>
      <c r="H52" s="394" t="s">
        <v>137</v>
      </c>
      <c r="I52" s="389"/>
      <c r="J52" s="395" t="s">
        <v>7035</v>
      </c>
      <c r="K52" s="396" t="s">
        <v>7055</v>
      </c>
      <c r="L52" s="397" t="s">
        <v>7037</v>
      </c>
      <c r="M52" s="397"/>
      <c r="N52" s="397"/>
      <c r="O52" s="397" t="s">
        <v>7036</v>
      </c>
      <c r="P52" s="398"/>
      <c r="Q52" s="399"/>
      <c r="R52" s="399">
        <f>ROUNDUP(Table2[[#This Row],[Acres]],0)*Table2[[#This Row],[Winning Bid]]</f>
        <v>0</v>
      </c>
      <c r="S52" s="399">
        <f>ROUNDUP('Sale Notes'!$F52,0)*($Y$4+$Y$5)+$Y$3</f>
        <v>1990</v>
      </c>
      <c r="T52" s="399">
        <f>ROUNDUP('Sale Notes'!$F52,0)*('Sale Notes'!$Q52+$Y$5)+$Y$3</f>
        <v>950</v>
      </c>
      <c r="U52" s="398"/>
    </row>
    <row r="53" spans="2:21" ht="335" x14ac:dyDescent="0.2">
      <c r="B53" s="357" t="s">
        <v>138</v>
      </c>
      <c r="C53" s="357"/>
      <c r="D53" s="358">
        <v>20</v>
      </c>
      <c r="E53" s="413">
        <v>44005</v>
      </c>
      <c r="F53" s="381">
        <v>1327.09</v>
      </c>
      <c r="G53" s="361" t="s">
        <v>90</v>
      </c>
      <c r="H53" s="361" t="s">
        <v>139</v>
      </c>
      <c r="I53" s="359"/>
      <c r="J53" s="386" t="s">
        <v>7026</v>
      </c>
      <c r="K53" s="357" t="s">
        <v>1</v>
      </c>
      <c r="L53" s="359" t="s">
        <v>6875</v>
      </c>
      <c r="M53" s="359" t="s">
        <v>6895</v>
      </c>
      <c r="N53" s="359" t="s">
        <v>6968</v>
      </c>
      <c r="O53" s="359" t="s">
        <v>6878</v>
      </c>
      <c r="P53" s="357"/>
      <c r="Q53" s="365"/>
      <c r="R53" s="365">
        <f>ROUNDUP(Table2[[#This Row],[Acres]],0)*Table2[[#This Row],[Winning Bid]]</f>
        <v>0</v>
      </c>
      <c r="S53" s="365">
        <f>ROUNDUP('Sale Notes'!$F53,0)*($Y$4+$Y$5)+$Y$3</f>
        <v>4818</v>
      </c>
      <c r="T53" s="365">
        <f>ROUNDUP('Sale Notes'!$F53,0)*('Sale Notes'!$Q53+$Y$5)+$Y$3</f>
        <v>2162</v>
      </c>
      <c r="U53" s="357"/>
    </row>
    <row r="54" spans="2:21" ht="48" x14ac:dyDescent="0.2">
      <c r="B54" s="357" t="s">
        <v>140</v>
      </c>
      <c r="C54" s="357"/>
      <c r="D54" s="358">
        <v>21</v>
      </c>
      <c r="E54" s="413">
        <v>44005</v>
      </c>
      <c r="F54" s="381">
        <v>360</v>
      </c>
      <c r="G54" s="361" t="s">
        <v>71</v>
      </c>
      <c r="H54" s="361" t="s">
        <v>141</v>
      </c>
      <c r="I54" s="359"/>
      <c r="J54" s="386"/>
      <c r="K54" s="357" t="s">
        <v>5</v>
      </c>
      <c r="L54" s="359"/>
      <c r="M54" s="359" t="s">
        <v>7038</v>
      </c>
      <c r="N54" s="359"/>
      <c r="O54" s="359"/>
      <c r="P54" s="357"/>
      <c r="Q54" s="365"/>
      <c r="R54" s="365">
        <f>ROUNDUP(Table2[[#This Row],[Acres]],0)*Table2[[#This Row],[Winning Bid]]</f>
        <v>0</v>
      </c>
      <c r="S54" s="365">
        <f>ROUNDUP('Sale Notes'!$F54,0)*($Y$4+$Y$5)+$Y$3</f>
        <v>1430</v>
      </c>
      <c r="T54" s="365">
        <f>ROUNDUP('Sale Notes'!$F54,0)*('Sale Notes'!$Q54+$Y$5)+$Y$3</f>
        <v>710</v>
      </c>
      <c r="U54" s="357"/>
    </row>
    <row r="55" spans="2:21" ht="32" x14ac:dyDescent="0.2">
      <c r="B55" s="357" t="s">
        <v>142</v>
      </c>
      <c r="C55" s="357"/>
      <c r="D55" s="358">
        <v>92</v>
      </c>
      <c r="E55" s="413">
        <v>44005</v>
      </c>
      <c r="F55" s="381">
        <v>40</v>
      </c>
      <c r="G55" s="361" t="s">
        <v>71</v>
      </c>
      <c r="H55" s="361" t="s">
        <v>143</v>
      </c>
      <c r="I55" s="359"/>
      <c r="J55" s="386"/>
      <c r="K55" s="357" t="s">
        <v>5</v>
      </c>
      <c r="L55" s="359"/>
      <c r="M55" s="359" t="s">
        <v>7038</v>
      </c>
      <c r="N55" s="359"/>
      <c r="O55" s="359"/>
      <c r="P55" s="357"/>
      <c r="Q55" s="365"/>
      <c r="R55" s="365">
        <f>ROUNDUP(Table2[[#This Row],[Acres]],0)*Table2[[#This Row],[Winning Bid]]</f>
        <v>0</v>
      </c>
      <c r="S55" s="365">
        <f>ROUNDUP('Sale Notes'!$F55,0)*($Y$4+$Y$5)+$Y$3</f>
        <v>310</v>
      </c>
      <c r="T55" s="365">
        <f>ROUNDUP('Sale Notes'!$F55,0)*('Sale Notes'!$Q55+$Y$5)+$Y$3</f>
        <v>230</v>
      </c>
      <c r="U55" s="357"/>
    </row>
    <row r="56" spans="2:21" ht="48" x14ac:dyDescent="0.2">
      <c r="B56" s="357" t="s">
        <v>144</v>
      </c>
      <c r="C56" s="357"/>
      <c r="D56" s="358">
        <v>22</v>
      </c>
      <c r="E56" s="413">
        <v>44005</v>
      </c>
      <c r="F56" s="381">
        <v>110.69</v>
      </c>
      <c r="G56" s="361" t="s">
        <v>71</v>
      </c>
      <c r="H56" s="361" t="s">
        <v>145</v>
      </c>
      <c r="I56" s="359"/>
      <c r="J56" s="386"/>
      <c r="K56" s="357" t="s">
        <v>5</v>
      </c>
      <c r="L56" s="359" t="s">
        <v>7040</v>
      </c>
      <c r="M56" s="359" t="s">
        <v>7039</v>
      </c>
      <c r="N56" s="359"/>
      <c r="O56" s="359"/>
      <c r="P56" s="357"/>
      <c r="Q56" s="365"/>
      <c r="R56" s="365">
        <f>ROUNDUP(Table2[[#This Row],[Acres]],0)*Table2[[#This Row],[Winning Bid]]</f>
        <v>0</v>
      </c>
      <c r="S56" s="365">
        <f>ROUNDUP('Sale Notes'!$F56,0)*($Y$4+$Y$5)+$Y$3</f>
        <v>558.5</v>
      </c>
      <c r="T56" s="365">
        <f>ROUNDUP('Sale Notes'!$F56,0)*('Sale Notes'!$Q56+$Y$5)+$Y$3</f>
        <v>336.5</v>
      </c>
      <c r="U56" s="357"/>
    </row>
    <row r="57" spans="2:21" ht="409.6" x14ac:dyDescent="0.2">
      <c r="B57" s="357" t="s">
        <v>146</v>
      </c>
      <c r="C57" s="357"/>
      <c r="D57" s="358">
        <v>23</v>
      </c>
      <c r="E57" s="413">
        <v>44005</v>
      </c>
      <c r="F57" s="381">
        <v>2065.96</v>
      </c>
      <c r="G57" s="361" t="s">
        <v>90</v>
      </c>
      <c r="H57" s="361" t="s">
        <v>147</v>
      </c>
      <c r="I57" s="359"/>
      <c r="J57" s="386"/>
      <c r="K57" s="357" t="s">
        <v>1</v>
      </c>
      <c r="L57" s="359" t="s">
        <v>6875</v>
      </c>
      <c r="M57" s="359" t="s">
        <v>6890</v>
      </c>
      <c r="N57" s="359" t="s">
        <v>6970</v>
      </c>
      <c r="O57" s="359" t="s">
        <v>6878</v>
      </c>
      <c r="P57" s="357"/>
      <c r="Q57" s="365"/>
      <c r="R57" s="365">
        <f>ROUNDUP(Table2[[#This Row],[Acres]],0)*Table2[[#This Row],[Winning Bid]]</f>
        <v>0</v>
      </c>
      <c r="S57" s="365">
        <f>ROUNDUP('Sale Notes'!$F57,0)*($Y$4+$Y$5)+$Y$3</f>
        <v>7401</v>
      </c>
      <c r="T57" s="365">
        <f>ROUNDUP('Sale Notes'!$F57,0)*('Sale Notes'!$Q57+$Y$5)+$Y$3</f>
        <v>3269</v>
      </c>
      <c r="U57" s="357"/>
    </row>
    <row r="58" spans="2:21" ht="110" customHeight="1" x14ac:dyDescent="0.2">
      <c r="B58" s="357" t="s">
        <v>148</v>
      </c>
      <c r="C58" s="357"/>
      <c r="D58" s="358">
        <v>24</v>
      </c>
      <c r="E58" s="413">
        <v>44005</v>
      </c>
      <c r="F58" s="381">
        <v>1948.65</v>
      </c>
      <c r="G58" s="361" t="s">
        <v>149</v>
      </c>
      <c r="H58" s="361" t="s">
        <v>150</v>
      </c>
      <c r="I58" s="359"/>
      <c r="J58" s="386"/>
      <c r="K58" s="357" t="s">
        <v>1</v>
      </c>
      <c r="L58" s="359" t="s">
        <v>6875</v>
      </c>
      <c r="M58" s="359" t="s">
        <v>6902</v>
      </c>
      <c r="N58" s="359" t="s">
        <v>6971</v>
      </c>
      <c r="O58" s="359" t="s">
        <v>6878</v>
      </c>
      <c r="P58" s="357"/>
      <c r="Q58" s="365"/>
      <c r="R58" s="365">
        <f>ROUNDUP(Table2[[#This Row],[Acres]],0)*Table2[[#This Row],[Winning Bid]]</f>
        <v>0</v>
      </c>
      <c r="S58" s="365">
        <f>ROUNDUP('Sale Notes'!$F58,0)*($Y$4+$Y$5)+$Y$3</f>
        <v>6991.5</v>
      </c>
      <c r="T58" s="365">
        <f>ROUNDUP('Sale Notes'!$F58,0)*('Sale Notes'!$Q58+$Y$5)+$Y$3</f>
        <v>3093.5</v>
      </c>
      <c r="U58" s="357"/>
    </row>
    <row r="59" spans="2:21" ht="144" x14ac:dyDescent="0.2">
      <c r="B59" s="357" t="s">
        <v>151</v>
      </c>
      <c r="C59" s="357"/>
      <c r="D59" s="358">
        <v>25</v>
      </c>
      <c r="E59" s="413">
        <v>44005</v>
      </c>
      <c r="F59" s="381">
        <v>960</v>
      </c>
      <c r="G59" s="361" t="s">
        <v>152</v>
      </c>
      <c r="H59" s="361" t="s">
        <v>153</v>
      </c>
      <c r="I59" s="359"/>
      <c r="J59" s="386"/>
      <c r="K59" s="357" t="s">
        <v>1</v>
      </c>
      <c r="L59" s="359" t="s">
        <v>6875</v>
      </c>
      <c r="M59" s="359" t="s">
        <v>6903</v>
      </c>
      <c r="N59" s="359" t="s">
        <v>6972</v>
      </c>
      <c r="O59" s="359" t="s">
        <v>6878</v>
      </c>
      <c r="P59" s="357"/>
      <c r="Q59" s="365"/>
      <c r="R59" s="365">
        <f>ROUNDUP(Table2[[#This Row],[Acres]],0)*Table2[[#This Row],[Winning Bid]]</f>
        <v>0</v>
      </c>
      <c r="S59" s="365">
        <f>ROUNDUP('Sale Notes'!$F59,0)*($Y$4+$Y$5)+$Y$3</f>
        <v>3530</v>
      </c>
      <c r="T59" s="365">
        <f>ROUNDUP('Sale Notes'!$F59,0)*('Sale Notes'!$Q59+$Y$5)+$Y$3</f>
        <v>1610</v>
      </c>
      <c r="U59" s="357"/>
    </row>
    <row r="60" spans="2:21" ht="112" x14ac:dyDescent="0.2">
      <c r="B60" s="357" t="s">
        <v>154</v>
      </c>
      <c r="C60" s="357"/>
      <c r="D60" s="358">
        <v>93</v>
      </c>
      <c r="E60" s="413">
        <v>44005</v>
      </c>
      <c r="F60" s="381">
        <v>1423.9</v>
      </c>
      <c r="G60" s="361" t="s">
        <v>152</v>
      </c>
      <c r="H60" s="361" t="s">
        <v>155</v>
      </c>
      <c r="I60" s="359"/>
      <c r="J60" s="386"/>
      <c r="K60" s="357" t="s">
        <v>1</v>
      </c>
      <c r="L60" s="359" t="s">
        <v>6875</v>
      </c>
      <c r="M60" s="359" t="s">
        <v>6881</v>
      </c>
      <c r="N60" s="359" t="s">
        <v>6973</v>
      </c>
      <c r="O60" s="359" t="s">
        <v>6878</v>
      </c>
      <c r="P60" s="357"/>
      <c r="Q60" s="365"/>
      <c r="R60" s="365">
        <f>ROUNDUP(Table2[[#This Row],[Acres]],0)*Table2[[#This Row],[Winning Bid]]</f>
        <v>0</v>
      </c>
      <c r="S60" s="365">
        <f>ROUNDUP('Sale Notes'!$F60,0)*($Y$4+$Y$5)+$Y$3</f>
        <v>5154</v>
      </c>
      <c r="T60" s="365">
        <f>ROUNDUP('Sale Notes'!$F60,0)*('Sale Notes'!$Q60+$Y$5)+$Y$3</f>
        <v>2306</v>
      </c>
      <c r="U60" s="357"/>
    </row>
    <row r="61" spans="2:21" ht="144" x14ac:dyDescent="0.2">
      <c r="B61" s="357" t="s">
        <v>156</v>
      </c>
      <c r="C61" s="357"/>
      <c r="D61" s="358">
        <v>27</v>
      </c>
      <c r="E61" s="413">
        <v>44005</v>
      </c>
      <c r="F61" s="381">
        <v>2211.44</v>
      </c>
      <c r="G61" s="361" t="s">
        <v>157</v>
      </c>
      <c r="H61" s="361" t="s">
        <v>158</v>
      </c>
      <c r="I61" s="359"/>
      <c r="J61" s="386"/>
      <c r="K61" s="357" t="s">
        <v>1</v>
      </c>
      <c r="L61" s="359" t="s">
        <v>6875</v>
      </c>
      <c r="M61" s="359" t="s">
        <v>6904</v>
      </c>
      <c r="N61" s="359" t="s">
        <v>6974</v>
      </c>
      <c r="O61" s="359" t="s">
        <v>6878</v>
      </c>
      <c r="P61" s="357"/>
      <c r="Q61" s="365"/>
      <c r="R61" s="365">
        <f>ROUNDUP(Table2[[#This Row],[Acres]],0)*Table2[[#This Row],[Winning Bid]]</f>
        <v>0</v>
      </c>
      <c r="S61" s="365">
        <f>ROUNDUP('Sale Notes'!$F61,0)*($Y$4+$Y$5)+$Y$3</f>
        <v>7912</v>
      </c>
      <c r="T61" s="365">
        <f>ROUNDUP('Sale Notes'!$F61,0)*('Sale Notes'!$Q61+$Y$5)+$Y$3</f>
        <v>3488</v>
      </c>
      <c r="U61" s="357"/>
    </row>
    <row r="62" spans="2:21" ht="96" x14ac:dyDescent="0.2">
      <c r="B62" s="357" t="s">
        <v>159</v>
      </c>
      <c r="C62" s="357"/>
      <c r="D62" s="358">
        <v>94</v>
      </c>
      <c r="E62" s="413">
        <v>44005</v>
      </c>
      <c r="F62" s="381">
        <v>746.01</v>
      </c>
      <c r="G62" s="361" t="s">
        <v>157</v>
      </c>
      <c r="H62" s="361" t="s">
        <v>160</v>
      </c>
      <c r="I62" s="359"/>
      <c r="J62" s="386"/>
      <c r="K62" s="357" t="s">
        <v>1</v>
      </c>
      <c r="L62" s="359" t="s">
        <v>6875</v>
      </c>
      <c r="M62" s="359" t="s">
        <v>6905</v>
      </c>
      <c r="N62" s="359" t="s">
        <v>6975</v>
      </c>
      <c r="O62" s="359" t="s">
        <v>6878</v>
      </c>
      <c r="P62" s="357"/>
      <c r="Q62" s="365"/>
      <c r="R62" s="365">
        <f>ROUNDUP(Table2[[#This Row],[Acres]],0)*Table2[[#This Row],[Winning Bid]]</f>
        <v>0</v>
      </c>
      <c r="S62" s="365">
        <f>ROUNDUP('Sale Notes'!$F62,0)*($Y$4+$Y$5)+$Y$3</f>
        <v>2784.5</v>
      </c>
      <c r="T62" s="365">
        <f>ROUNDUP('Sale Notes'!$F62,0)*('Sale Notes'!$Q62+$Y$5)+$Y$3</f>
        <v>1290.5</v>
      </c>
      <c r="U62" s="357"/>
    </row>
    <row r="63" spans="2:21" ht="112" x14ac:dyDescent="0.2">
      <c r="B63" s="357" t="s">
        <v>161</v>
      </c>
      <c r="C63" s="357"/>
      <c r="D63" s="358">
        <v>30</v>
      </c>
      <c r="E63" s="413">
        <v>44005</v>
      </c>
      <c r="F63" s="381">
        <v>557.12</v>
      </c>
      <c r="G63" s="361" t="s">
        <v>157</v>
      </c>
      <c r="H63" s="361" t="s">
        <v>162</v>
      </c>
      <c r="I63" s="359"/>
      <c r="J63" s="386"/>
      <c r="K63" s="357" t="s">
        <v>1</v>
      </c>
      <c r="L63" s="359" t="s">
        <v>6875</v>
      </c>
      <c r="M63" s="359" t="s">
        <v>6905</v>
      </c>
      <c r="N63" s="359" t="s">
        <v>6969</v>
      </c>
      <c r="O63" s="359" t="s">
        <v>6878</v>
      </c>
      <c r="P63" s="357"/>
      <c r="Q63" s="365"/>
      <c r="R63" s="365">
        <f>ROUNDUP(Table2[[#This Row],[Acres]],0)*Table2[[#This Row],[Winning Bid]]</f>
        <v>0</v>
      </c>
      <c r="S63" s="365">
        <f>ROUNDUP('Sale Notes'!$F63,0)*($Y$4+$Y$5)+$Y$3</f>
        <v>2123</v>
      </c>
      <c r="T63" s="365">
        <f>ROUNDUP('Sale Notes'!$F63,0)*('Sale Notes'!$Q63+$Y$5)+$Y$3</f>
        <v>1007</v>
      </c>
      <c r="U63" s="357"/>
    </row>
    <row r="64" spans="2:21" ht="224" x14ac:dyDescent="0.2">
      <c r="B64" s="357" t="s">
        <v>163</v>
      </c>
      <c r="C64" s="357"/>
      <c r="D64" s="358">
        <v>31</v>
      </c>
      <c r="E64" s="413">
        <v>44005</v>
      </c>
      <c r="F64" s="381">
        <v>640</v>
      </c>
      <c r="G64" s="361" t="s">
        <v>164</v>
      </c>
      <c r="H64" s="361" t="s">
        <v>165</v>
      </c>
      <c r="I64" s="359"/>
      <c r="J64" s="386" t="s">
        <v>7026</v>
      </c>
      <c r="K64" s="357" t="s">
        <v>3</v>
      </c>
      <c r="L64" s="359" t="s">
        <v>6981</v>
      </c>
      <c r="M64" s="359" t="s">
        <v>6979</v>
      </c>
      <c r="N64" s="359" t="s">
        <v>6976</v>
      </c>
      <c r="O64" s="359" t="s">
        <v>6980</v>
      </c>
      <c r="P64" s="357"/>
      <c r="Q64" s="365"/>
      <c r="R64" s="365">
        <f>ROUNDUP(Table2[[#This Row],[Acres]],0)*Table2[[#This Row],[Winning Bid]]</f>
        <v>0</v>
      </c>
      <c r="S64" s="365">
        <f>ROUNDUP('Sale Notes'!$F64,0)*($Y$4+$Y$5)+$Y$3</f>
        <v>2410</v>
      </c>
      <c r="T64" s="365">
        <f>ROUNDUP('Sale Notes'!$F64,0)*('Sale Notes'!$Q64+$Y$5)+$Y$3</f>
        <v>1130</v>
      </c>
      <c r="U64" s="357"/>
    </row>
    <row r="65" spans="2:21" ht="160" x14ac:dyDescent="0.2">
      <c r="B65" s="357" t="s">
        <v>166</v>
      </c>
      <c r="C65" s="357"/>
      <c r="D65" s="358">
        <v>32</v>
      </c>
      <c r="E65" s="413">
        <v>44005</v>
      </c>
      <c r="F65" s="381">
        <v>802.64</v>
      </c>
      <c r="G65" s="361" t="s">
        <v>164</v>
      </c>
      <c r="H65" s="361" t="s">
        <v>167</v>
      </c>
      <c r="I65" s="359"/>
      <c r="J65" s="386" t="s">
        <v>7026</v>
      </c>
      <c r="K65" s="357" t="s">
        <v>3</v>
      </c>
      <c r="L65" s="359" t="s">
        <v>6891</v>
      </c>
      <c r="M65" s="359" t="s">
        <v>6906</v>
      </c>
      <c r="N65" s="359" t="s">
        <v>6977</v>
      </c>
      <c r="O65" s="359" t="s">
        <v>6914</v>
      </c>
      <c r="P65" s="357"/>
      <c r="Q65" s="365"/>
      <c r="R65" s="365">
        <f>ROUNDUP(Table2[[#This Row],[Acres]],0)*Table2[[#This Row],[Winning Bid]]</f>
        <v>0</v>
      </c>
      <c r="S65" s="365">
        <f>ROUNDUP('Sale Notes'!$F65,0)*($Y$4+$Y$5)+$Y$3</f>
        <v>2980.5</v>
      </c>
      <c r="T65" s="365">
        <f>ROUNDUP('Sale Notes'!$F65,0)*('Sale Notes'!$Q65+$Y$5)+$Y$3</f>
        <v>1374.5</v>
      </c>
      <c r="U65" s="357"/>
    </row>
    <row r="66" spans="2:21" ht="112" x14ac:dyDescent="0.2">
      <c r="B66" s="357" t="s">
        <v>168</v>
      </c>
      <c r="C66" s="357"/>
      <c r="D66" s="358">
        <v>33</v>
      </c>
      <c r="E66" s="413">
        <v>44005</v>
      </c>
      <c r="F66" s="381">
        <v>600</v>
      </c>
      <c r="G66" s="361" t="s">
        <v>164</v>
      </c>
      <c r="H66" s="361" t="s">
        <v>169</v>
      </c>
      <c r="I66" s="359"/>
      <c r="J66" s="386"/>
      <c r="K66" s="357" t="s">
        <v>1</v>
      </c>
      <c r="L66" s="359" t="s">
        <v>6982</v>
      </c>
      <c r="M66" s="359" t="s">
        <v>6907</v>
      </c>
      <c r="N66" s="359" t="s">
        <v>6978</v>
      </c>
      <c r="O66" s="359" t="s">
        <v>6878</v>
      </c>
      <c r="P66" s="357"/>
      <c r="Q66" s="365"/>
      <c r="R66" s="365">
        <f>ROUNDUP(Table2[[#This Row],[Acres]],0)*Table2[[#This Row],[Winning Bid]]</f>
        <v>0</v>
      </c>
      <c r="S66" s="365">
        <f>ROUNDUP('Sale Notes'!$F66,0)*($Y$4+$Y$5)+$Y$3</f>
        <v>2270</v>
      </c>
      <c r="T66" s="365">
        <f>ROUNDUP('Sale Notes'!$F66,0)*('Sale Notes'!$Q66+$Y$5)+$Y$3</f>
        <v>1070</v>
      </c>
      <c r="U66" s="357"/>
    </row>
    <row r="67" spans="2:21" ht="80" x14ac:dyDescent="0.2">
      <c r="B67" s="357" t="s">
        <v>170</v>
      </c>
      <c r="C67" s="357"/>
      <c r="D67" s="358">
        <v>95</v>
      </c>
      <c r="E67" s="413">
        <v>44005</v>
      </c>
      <c r="F67" s="381">
        <v>2044.11</v>
      </c>
      <c r="G67" s="361" t="s">
        <v>171</v>
      </c>
      <c r="H67" s="361" t="s">
        <v>172</v>
      </c>
      <c r="I67" s="359"/>
      <c r="J67" s="386"/>
      <c r="K67" s="357" t="s">
        <v>1</v>
      </c>
      <c r="L67" s="359" t="s">
        <v>6875</v>
      </c>
      <c r="M67" s="359" t="s">
        <v>6983</v>
      </c>
      <c r="N67" s="359" t="s">
        <v>6985</v>
      </c>
      <c r="O67" s="359" t="s">
        <v>6878</v>
      </c>
      <c r="P67" s="357"/>
      <c r="Q67" s="365"/>
      <c r="R67" s="365">
        <f>ROUNDUP(Table2[[#This Row],[Acres]],0)*Table2[[#This Row],[Winning Bid]]</f>
        <v>0</v>
      </c>
      <c r="S67" s="365">
        <f>ROUNDUP('Sale Notes'!$F67,0)*($Y$4+$Y$5)+$Y$3</f>
        <v>7327.5</v>
      </c>
      <c r="T67" s="365">
        <f>ROUNDUP('Sale Notes'!$F67,0)*('Sale Notes'!$Q67+$Y$5)+$Y$3</f>
        <v>3237.5</v>
      </c>
      <c r="U67" s="357"/>
    </row>
    <row r="68" spans="2:21" ht="160" x14ac:dyDescent="0.2">
      <c r="B68" s="357" t="s">
        <v>173</v>
      </c>
      <c r="C68" s="357"/>
      <c r="D68" s="358">
        <v>36</v>
      </c>
      <c r="E68" s="413">
        <v>44005</v>
      </c>
      <c r="F68" s="381">
        <v>2438.4899999999998</v>
      </c>
      <c r="G68" s="361" t="s">
        <v>171</v>
      </c>
      <c r="H68" s="361" t="s">
        <v>174</v>
      </c>
      <c r="I68" s="359"/>
      <c r="J68" s="386"/>
      <c r="K68" s="357" t="s">
        <v>1</v>
      </c>
      <c r="L68" s="359" t="s">
        <v>6875</v>
      </c>
      <c r="M68" s="359" t="s">
        <v>6910</v>
      </c>
      <c r="N68" s="359" t="s">
        <v>6986</v>
      </c>
      <c r="O68" s="359" t="s">
        <v>6878</v>
      </c>
      <c r="P68" s="357"/>
      <c r="Q68" s="365"/>
      <c r="R68" s="365">
        <f>ROUNDUP(Table2[[#This Row],[Acres]],0)*Table2[[#This Row],[Winning Bid]]</f>
        <v>0</v>
      </c>
      <c r="S68" s="365">
        <f>ROUNDUP('Sale Notes'!$F68,0)*($Y$4+$Y$5)+$Y$3</f>
        <v>8706.5</v>
      </c>
      <c r="T68" s="365">
        <f>ROUNDUP('Sale Notes'!$F68,0)*('Sale Notes'!$Q68+$Y$5)+$Y$3</f>
        <v>3828.5</v>
      </c>
      <c r="U68" s="357"/>
    </row>
    <row r="69" spans="2:21" ht="160" x14ac:dyDescent="0.2">
      <c r="B69" s="357" t="s">
        <v>175</v>
      </c>
      <c r="C69" s="357"/>
      <c r="D69" s="358">
        <v>96</v>
      </c>
      <c r="E69" s="413">
        <v>44005</v>
      </c>
      <c r="F69" s="381">
        <v>1195.25</v>
      </c>
      <c r="G69" s="361" t="s">
        <v>171</v>
      </c>
      <c r="H69" s="361" t="s">
        <v>176</v>
      </c>
      <c r="I69" s="359"/>
      <c r="J69" s="386"/>
      <c r="K69" s="357" t="s">
        <v>1</v>
      </c>
      <c r="L69" s="359" t="s">
        <v>6875</v>
      </c>
      <c r="M69" s="359" t="s">
        <v>6915</v>
      </c>
      <c r="N69" s="359" t="s">
        <v>6987</v>
      </c>
      <c r="O69" s="359" t="s">
        <v>6878</v>
      </c>
      <c r="P69" s="357"/>
      <c r="Q69" s="365"/>
      <c r="R69" s="365">
        <f>ROUNDUP(Table2[[#This Row],[Acres]],0)*Table2[[#This Row],[Winning Bid]]</f>
        <v>0</v>
      </c>
      <c r="S69" s="365">
        <f>ROUNDUP('Sale Notes'!$F69,0)*($Y$4+$Y$5)+$Y$3</f>
        <v>4356</v>
      </c>
      <c r="T69" s="365">
        <f>ROUNDUP('Sale Notes'!$F69,0)*('Sale Notes'!$Q69+$Y$5)+$Y$3</f>
        <v>1964</v>
      </c>
      <c r="U69" s="357"/>
    </row>
    <row r="70" spans="2:21" ht="96" x14ac:dyDescent="0.2">
      <c r="B70" s="357" t="s">
        <v>177</v>
      </c>
      <c r="C70" s="357"/>
      <c r="D70" s="358">
        <v>97</v>
      </c>
      <c r="E70" s="413">
        <v>44005</v>
      </c>
      <c r="F70" s="381">
        <v>1920.45</v>
      </c>
      <c r="G70" s="361" t="s">
        <v>171</v>
      </c>
      <c r="H70" s="361" t="s">
        <v>178</v>
      </c>
      <c r="I70" s="359"/>
      <c r="J70" s="386"/>
      <c r="K70" s="357" t="s">
        <v>1</v>
      </c>
      <c r="L70" s="359" t="s">
        <v>6875</v>
      </c>
      <c r="M70" s="359" t="s">
        <v>6916</v>
      </c>
      <c r="N70" s="359" t="s">
        <v>6988</v>
      </c>
      <c r="O70" s="359" t="s">
        <v>6878</v>
      </c>
      <c r="P70" s="357"/>
      <c r="Q70" s="365"/>
      <c r="R70" s="365">
        <f>ROUNDUP(Table2[[#This Row],[Acres]],0)*Table2[[#This Row],[Winning Bid]]</f>
        <v>0</v>
      </c>
      <c r="S70" s="365">
        <f>ROUNDUP('Sale Notes'!$F70,0)*($Y$4+$Y$5)+$Y$3</f>
        <v>6893.5</v>
      </c>
      <c r="T70" s="365">
        <f>ROUNDUP('Sale Notes'!$F70,0)*('Sale Notes'!$Q70+$Y$5)+$Y$3</f>
        <v>3051.5</v>
      </c>
      <c r="U70" s="357"/>
    </row>
    <row r="71" spans="2:21" ht="128" x14ac:dyDescent="0.2">
      <c r="B71" s="357" t="s">
        <v>179</v>
      </c>
      <c r="C71" s="357"/>
      <c r="D71" s="358">
        <v>131</v>
      </c>
      <c r="E71" s="413">
        <v>44005</v>
      </c>
      <c r="F71" s="381">
        <v>1640</v>
      </c>
      <c r="G71" s="361" t="s">
        <v>180</v>
      </c>
      <c r="H71" s="361" t="s">
        <v>181</v>
      </c>
      <c r="I71" s="359"/>
      <c r="J71" s="386"/>
      <c r="K71" s="357" t="s">
        <v>1</v>
      </c>
      <c r="L71" s="359" t="s">
        <v>6875</v>
      </c>
      <c r="M71" s="359" t="s">
        <v>6936</v>
      </c>
      <c r="N71" s="359" t="s">
        <v>6989</v>
      </c>
      <c r="O71" s="359" t="s">
        <v>6878</v>
      </c>
      <c r="P71" s="357"/>
      <c r="Q71" s="365"/>
      <c r="R71" s="365">
        <f>ROUNDUP(Table2[[#This Row],[Acres]],0)*Table2[[#This Row],[Winning Bid]]</f>
        <v>0</v>
      </c>
      <c r="S71" s="365">
        <f>ROUNDUP('Sale Notes'!$F71,0)*($Y$4+$Y$5)+$Y$3</f>
        <v>5910</v>
      </c>
      <c r="T71" s="365">
        <f>ROUNDUP('Sale Notes'!$F71,0)*('Sale Notes'!$Q71+$Y$5)+$Y$3</f>
        <v>2630</v>
      </c>
      <c r="U71" s="357"/>
    </row>
    <row r="72" spans="2:21" ht="144" x14ac:dyDescent="0.2">
      <c r="B72" s="357" t="s">
        <v>182</v>
      </c>
      <c r="C72" s="357"/>
      <c r="D72" s="358">
        <v>132</v>
      </c>
      <c r="E72" s="413">
        <v>44005</v>
      </c>
      <c r="F72" s="381">
        <v>2200</v>
      </c>
      <c r="G72" s="361" t="s">
        <v>180</v>
      </c>
      <c r="H72" s="361" t="s">
        <v>183</v>
      </c>
      <c r="I72" s="359"/>
      <c r="J72" s="386"/>
      <c r="K72" s="357" t="s">
        <v>1</v>
      </c>
      <c r="L72" s="359" t="s">
        <v>6875</v>
      </c>
      <c r="M72" s="359" t="s">
        <v>6936</v>
      </c>
      <c r="N72" s="359" t="s">
        <v>6991</v>
      </c>
      <c r="O72" s="359" t="s">
        <v>6878</v>
      </c>
      <c r="P72" s="357"/>
      <c r="Q72" s="365"/>
      <c r="R72" s="365">
        <f>ROUNDUP(Table2[[#This Row],[Acres]],0)*Table2[[#This Row],[Winning Bid]]</f>
        <v>0</v>
      </c>
      <c r="S72" s="365">
        <f>ROUNDUP('Sale Notes'!$F72,0)*($Y$4+$Y$5)+$Y$3</f>
        <v>7870</v>
      </c>
      <c r="T72" s="365">
        <f>ROUNDUP('Sale Notes'!$F72,0)*('Sale Notes'!$Q72+$Y$5)+$Y$3</f>
        <v>3470</v>
      </c>
      <c r="U72" s="357"/>
    </row>
    <row r="73" spans="2:21" ht="144" x14ac:dyDescent="0.2">
      <c r="B73" s="357" t="s">
        <v>184</v>
      </c>
      <c r="C73" s="357"/>
      <c r="D73" s="358">
        <v>89</v>
      </c>
      <c r="E73" s="413">
        <v>44005</v>
      </c>
      <c r="F73" s="381">
        <v>1559.92</v>
      </c>
      <c r="G73" s="361" t="s">
        <v>180</v>
      </c>
      <c r="H73" s="361" t="s">
        <v>185</v>
      </c>
      <c r="I73" s="359"/>
      <c r="J73" s="386"/>
      <c r="K73" s="357" t="s">
        <v>1</v>
      </c>
      <c r="L73" s="359" t="s">
        <v>6875</v>
      </c>
      <c r="M73" s="359" t="s">
        <v>6922</v>
      </c>
      <c r="N73" s="359" t="s">
        <v>6992</v>
      </c>
      <c r="O73" s="359" t="s">
        <v>6878</v>
      </c>
      <c r="P73" s="357"/>
      <c r="Q73" s="365"/>
      <c r="R73" s="365">
        <f>ROUNDUP(Table2[[#This Row],[Acres]],0)*Table2[[#This Row],[Winning Bid]]</f>
        <v>0</v>
      </c>
      <c r="S73" s="365">
        <f>ROUNDUP('Sale Notes'!$F73,0)*($Y$4+$Y$5)+$Y$3</f>
        <v>5630</v>
      </c>
      <c r="T73" s="365">
        <f>ROUNDUP('Sale Notes'!$F73,0)*('Sale Notes'!$Q73+$Y$5)+$Y$3</f>
        <v>2510</v>
      </c>
      <c r="U73" s="357"/>
    </row>
    <row r="74" spans="2:21" ht="64" x14ac:dyDescent="0.2">
      <c r="B74" s="357" t="s">
        <v>186</v>
      </c>
      <c r="C74" s="357"/>
      <c r="D74" s="358">
        <v>98</v>
      </c>
      <c r="E74" s="413">
        <v>44005</v>
      </c>
      <c r="F74" s="381">
        <v>1946.96</v>
      </c>
      <c r="G74" s="361" t="s">
        <v>171</v>
      </c>
      <c r="H74" s="361" t="s">
        <v>187</v>
      </c>
      <c r="I74" s="359"/>
      <c r="J74" s="386"/>
      <c r="K74" s="357" t="s">
        <v>1</v>
      </c>
      <c r="L74" s="359" t="s">
        <v>6875</v>
      </c>
      <c r="M74" s="359" t="s">
        <v>6917</v>
      </c>
      <c r="N74" s="359" t="s">
        <v>6984</v>
      </c>
      <c r="O74" s="359" t="s">
        <v>6878</v>
      </c>
      <c r="P74" s="357"/>
      <c r="Q74" s="365"/>
      <c r="R74" s="365">
        <f>ROUNDUP(Table2[[#This Row],[Acres]],0)*Table2[[#This Row],[Winning Bid]]</f>
        <v>0</v>
      </c>
      <c r="S74" s="365">
        <f>ROUNDUP('Sale Notes'!$F74,0)*($Y$4+$Y$5)+$Y$3</f>
        <v>6984.5</v>
      </c>
      <c r="T74" s="365">
        <f>ROUNDUP('Sale Notes'!$F74,0)*('Sale Notes'!$Q74+$Y$5)+$Y$3</f>
        <v>3090.5</v>
      </c>
      <c r="U74" s="357"/>
    </row>
    <row r="75" spans="2:21" ht="64" x14ac:dyDescent="0.2">
      <c r="B75" s="357" t="s">
        <v>188</v>
      </c>
      <c r="C75" s="357"/>
      <c r="D75" s="358">
        <v>99</v>
      </c>
      <c r="E75" s="413">
        <v>44005</v>
      </c>
      <c r="F75" s="381">
        <v>1947.55</v>
      </c>
      <c r="G75" s="361" t="s">
        <v>171</v>
      </c>
      <c r="H75" s="361" t="s">
        <v>189</v>
      </c>
      <c r="I75" s="359"/>
      <c r="J75" s="386"/>
      <c r="K75" s="357" t="s">
        <v>1</v>
      </c>
      <c r="L75" s="359" t="s">
        <v>6875</v>
      </c>
      <c r="M75" s="359" t="s">
        <v>6917</v>
      </c>
      <c r="N75" s="359" t="s">
        <v>6984</v>
      </c>
      <c r="O75" s="359" t="s">
        <v>6878</v>
      </c>
      <c r="P75" s="357"/>
      <c r="Q75" s="365"/>
      <c r="R75" s="365">
        <f>ROUNDUP(Table2[[#This Row],[Acres]],0)*Table2[[#This Row],[Winning Bid]]</f>
        <v>0</v>
      </c>
      <c r="S75" s="365">
        <f>ROUNDUP('Sale Notes'!$F75,0)*($Y$4+$Y$5)+$Y$3</f>
        <v>6988</v>
      </c>
      <c r="T75" s="365">
        <f>ROUNDUP('Sale Notes'!$F75,0)*('Sale Notes'!$Q75+$Y$5)+$Y$3</f>
        <v>3092</v>
      </c>
      <c r="U75" s="357"/>
    </row>
    <row r="76" spans="2:21" ht="64" x14ac:dyDescent="0.2">
      <c r="B76" s="357" t="s">
        <v>190</v>
      </c>
      <c r="C76" s="357"/>
      <c r="D76" s="358">
        <v>100</v>
      </c>
      <c r="E76" s="413">
        <v>44005</v>
      </c>
      <c r="F76" s="381">
        <v>1946.06</v>
      </c>
      <c r="G76" s="361" t="s">
        <v>171</v>
      </c>
      <c r="H76" s="361" t="s">
        <v>191</v>
      </c>
      <c r="I76" s="359"/>
      <c r="J76" s="386"/>
      <c r="K76" s="357" t="s">
        <v>1</v>
      </c>
      <c r="L76" s="359" t="s">
        <v>6875</v>
      </c>
      <c r="M76" s="359" t="s">
        <v>6911</v>
      </c>
      <c r="N76" s="359" t="s">
        <v>6984</v>
      </c>
      <c r="O76" s="359" t="s">
        <v>6878</v>
      </c>
      <c r="P76" s="357"/>
      <c r="Q76" s="365"/>
      <c r="R76" s="365">
        <f>ROUNDUP(Table2[[#This Row],[Acres]],0)*Table2[[#This Row],[Winning Bid]]</f>
        <v>0</v>
      </c>
      <c r="S76" s="365">
        <f>ROUNDUP('Sale Notes'!$F76,0)*($Y$4+$Y$5)+$Y$3</f>
        <v>6984.5</v>
      </c>
      <c r="T76" s="365">
        <f>ROUNDUP('Sale Notes'!$F76,0)*('Sale Notes'!$Q76+$Y$5)+$Y$3</f>
        <v>3090.5</v>
      </c>
      <c r="U76" s="357"/>
    </row>
    <row r="77" spans="2:21" ht="80" x14ac:dyDescent="0.2">
      <c r="B77" s="357" t="s">
        <v>192</v>
      </c>
      <c r="C77" s="357"/>
      <c r="D77" s="358">
        <v>101</v>
      </c>
      <c r="E77" s="413">
        <v>44005</v>
      </c>
      <c r="F77" s="381">
        <v>1992.2</v>
      </c>
      <c r="G77" s="361" t="s">
        <v>171</v>
      </c>
      <c r="H77" s="361" t="s">
        <v>193</v>
      </c>
      <c r="I77" s="359"/>
      <c r="J77" s="386"/>
      <c r="K77" s="357" t="s">
        <v>1</v>
      </c>
      <c r="L77" s="359" t="s">
        <v>6875</v>
      </c>
      <c r="M77" s="359" t="s">
        <v>6911</v>
      </c>
      <c r="N77" s="359" t="s">
        <v>6993</v>
      </c>
      <c r="O77" s="359" t="s">
        <v>6878</v>
      </c>
      <c r="P77" s="357"/>
      <c r="Q77" s="365"/>
      <c r="R77" s="365">
        <f>ROUNDUP(Table2[[#This Row],[Acres]],0)*Table2[[#This Row],[Winning Bid]]</f>
        <v>0</v>
      </c>
      <c r="S77" s="365">
        <f>ROUNDUP('Sale Notes'!$F77,0)*($Y$4+$Y$5)+$Y$3</f>
        <v>7145.5</v>
      </c>
      <c r="T77" s="365">
        <f>ROUNDUP('Sale Notes'!$F77,0)*('Sale Notes'!$Q77+$Y$5)+$Y$3</f>
        <v>3159.5</v>
      </c>
      <c r="U77" s="357"/>
    </row>
    <row r="78" spans="2:21" ht="80" x14ac:dyDescent="0.2">
      <c r="B78" s="357" t="s">
        <v>194</v>
      </c>
      <c r="C78" s="357"/>
      <c r="D78" s="358">
        <v>102</v>
      </c>
      <c r="E78" s="413">
        <v>44005</v>
      </c>
      <c r="F78" s="381">
        <v>1949.71</v>
      </c>
      <c r="G78" s="361" t="s">
        <v>171</v>
      </c>
      <c r="H78" s="361" t="s">
        <v>195</v>
      </c>
      <c r="I78" s="359"/>
      <c r="J78" s="386"/>
      <c r="K78" s="357" t="s">
        <v>1</v>
      </c>
      <c r="L78" s="359" t="s">
        <v>6875</v>
      </c>
      <c r="M78" s="359" t="s">
        <v>6911</v>
      </c>
      <c r="N78" s="359" t="s">
        <v>6993</v>
      </c>
      <c r="O78" s="359" t="s">
        <v>6878</v>
      </c>
      <c r="P78" s="357"/>
      <c r="Q78" s="365"/>
      <c r="R78" s="365">
        <f>ROUNDUP(Table2[[#This Row],[Acres]],0)*Table2[[#This Row],[Winning Bid]]</f>
        <v>0</v>
      </c>
      <c r="S78" s="365">
        <f>ROUNDUP('Sale Notes'!$F78,0)*($Y$4+$Y$5)+$Y$3</f>
        <v>6995</v>
      </c>
      <c r="T78" s="365">
        <f>ROUNDUP('Sale Notes'!$F78,0)*('Sale Notes'!$Q78+$Y$5)+$Y$3</f>
        <v>3095</v>
      </c>
      <c r="U78" s="357"/>
    </row>
    <row r="79" spans="2:21" ht="80" x14ac:dyDescent="0.2">
      <c r="B79" s="357" t="s">
        <v>196</v>
      </c>
      <c r="C79" s="357"/>
      <c r="D79" s="358">
        <v>37</v>
      </c>
      <c r="E79" s="413">
        <v>44005</v>
      </c>
      <c r="F79" s="381">
        <v>2554.6</v>
      </c>
      <c r="G79" s="361" t="s">
        <v>171</v>
      </c>
      <c r="H79" s="361" t="s">
        <v>197</v>
      </c>
      <c r="I79" s="359"/>
      <c r="J79" s="386"/>
      <c r="K79" s="357" t="s">
        <v>1</v>
      </c>
      <c r="L79" s="359" t="s">
        <v>6875</v>
      </c>
      <c r="M79" s="359" t="s">
        <v>6918</v>
      </c>
      <c r="N79" s="359" t="s">
        <v>6994</v>
      </c>
      <c r="O79" s="359" t="s">
        <v>6878</v>
      </c>
      <c r="P79" s="357"/>
      <c r="Q79" s="365"/>
      <c r="R79" s="365">
        <f>ROUNDUP(Table2[[#This Row],[Acres]],0)*Table2[[#This Row],[Winning Bid]]</f>
        <v>0</v>
      </c>
      <c r="S79" s="365">
        <f>ROUNDUP('Sale Notes'!$F79,0)*($Y$4+$Y$5)+$Y$3</f>
        <v>9112.5</v>
      </c>
      <c r="T79" s="365">
        <f>ROUNDUP('Sale Notes'!$F79,0)*('Sale Notes'!$Q79+$Y$5)+$Y$3</f>
        <v>4002.5</v>
      </c>
      <c r="U79" s="357"/>
    </row>
    <row r="80" spans="2:21" ht="112" x14ac:dyDescent="0.2">
      <c r="B80" s="357" t="s">
        <v>198</v>
      </c>
      <c r="C80" s="357"/>
      <c r="D80" s="358">
        <v>38</v>
      </c>
      <c r="E80" s="413">
        <v>44005</v>
      </c>
      <c r="F80" s="381">
        <v>2559.27</v>
      </c>
      <c r="G80" s="361" t="s">
        <v>171</v>
      </c>
      <c r="H80" s="361" t="s">
        <v>199</v>
      </c>
      <c r="I80" s="359"/>
      <c r="J80" s="386"/>
      <c r="K80" s="357" t="s">
        <v>1</v>
      </c>
      <c r="L80" s="359" t="s">
        <v>6875</v>
      </c>
      <c r="M80" s="359" t="s">
        <v>6918</v>
      </c>
      <c r="N80" s="359" t="s">
        <v>6990</v>
      </c>
      <c r="O80" s="359" t="s">
        <v>6878</v>
      </c>
      <c r="P80" s="357"/>
      <c r="Q80" s="365"/>
      <c r="R80" s="365">
        <f>ROUNDUP(Table2[[#This Row],[Acres]],0)*Table2[[#This Row],[Winning Bid]]</f>
        <v>0</v>
      </c>
      <c r="S80" s="365">
        <f>ROUNDUP('Sale Notes'!$F80,0)*($Y$4+$Y$5)+$Y$3</f>
        <v>9130</v>
      </c>
      <c r="T80" s="365">
        <f>ROUNDUP('Sale Notes'!$F80,0)*('Sale Notes'!$Q80+$Y$5)+$Y$3</f>
        <v>4010</v>
      </c>
      <c r="U80" s="357"/>
    </row>
    <row r="81" spans="2:21" ht="64" x14ac:dyDescent="0.2">
      <c r="B81" s="357" t="s">
        <v>200</v>
      </c>
      <c r="C81" s="357"/>
      <c r="D81" s="358">
        <v>39</v>
      </c>
      <c r="E81" s="413">
        <v>44005</v>
      </c>
      <c r="F81" s="381">
        <v>1277.01</v>
      </c>
      <c r="G81" s="361" t="s">
        <v>171</v>
      </c>
      <c r="H81" s="361" t="s">
        <v>201</v>
      </c>
      <c r="I81" s="359"/>
      <c r="J81" s="386"/>
      <c r="K81" s="357" t="s">
        <v>1</v>
      </c>
      <c r="L81" s="359" t="s">
        <v>6875</v>
      </c>
      <c r="M81" s="359" t="s">
        <v>6918</v>
      </c>
      <c r="N81" s="359" t="s">
        <v>6984</v>
      </c>
      <c r="O81" s="359" t="s">
        <v>6878</v>
      </c>
      <c r="P81" s="357"/>
      <c r="Q81" s="365"/>
      <c r="R81" s="365">
        <f>ROUNDUP(Table2[[#This Row],[Acres]],0)*Table2[[#This Row],[Winning Bid]]</f>
        <v>0</v>
      </c>
      <c r="S81" s="365">
        <f>ROUNDUP('Sale Notes'!$F81,0)*($Y$4+$Y$5)+$Y$3</f>
        <v>4643</v>
      </c>
      <c r="T81" s="365">
        <f>ROUNDUP('Sale Notes'!$F81,0)*('Sale Notes'!$Q81+$Y$5)+$Y$3</f>
        <v>2087</v>
      </c>
      <c r="U81" s="357"/>
    </row>
    <row r="82" spans="2:21" ht="96" x14ac:dyDescent="0.2">
      <c r="B82" s="357" t="s">
        <v>202</v>
      </c>
      <c r="C82" s="357"/>
      <c r="D82" s="358">
        <v>103</v>
      </c>
      <c r="E82" s="413">
        <v>44005</v>
      </c>
      <c r="F82" s="381">
        <v>1922.24</v>
      </c>
      <c r="G82" s="361" t="s">
        <v>171</v>
      </c>
      <c r="H82" s="361" t="s">
        <v>203</v>
      </c>
      <c r="I82" s="359"/>
      <c r="J82" s="386"/>
      <c r="K82" s="357" t="s">
        <v>1</v>
      </c>
      <c r="L82" s="359" t="s">
        <v>6875</v>
      </c>
      <c r="M82" s="359" t="s">
        <v>6919</v>
      </c>
      <c r="N82" s="359" t="s">
        <v>6995</v>
      </c>
      <c r="O82" s="359" t="s">
        <v>6878</v>
      </c>
      <c r="P82" s="357"/>
      <c r="Q82" s="365"/>
      <c r="R82" s="365">
        <f>ROUNDUP(Table2[[#This Row],[Acres]],0)*Table2[[#This Row],[Winning Bid]]</f>
        <v>0</v>
      </c>
      <c r="S82" s="365">
        <f>ROUNDUP('Sale Notes'!$F82,0)*($Y$4+$Y$5)+$Y$3</f>
        <v>6900.5</v>
      </c>
      <c r="T82" s="365">
        <f>ROUNDUP('Sale Notes'!$F82,0)*('Sale Notes'!$Q82+$Y$5)+$Y$3</f>
        <v>3054.5</v>
      </c>
      <c r="U82" s="357"/>
    </row>
    <row r="83" spans="2:21" ht="64" x14ac:dyDescent="0.2">
      <c r="B83" s="357" t="s">
        <v>204</v>
      </c>
      <c r="C83" s="357"/>
      <c r="D83" s="358">
        <v>104</v>
      </c>
      <c r="E83" s="413">
        <v>44005</v>
      </c>
      <c r="F83" s="381">
        <v>1946.64</v>
      </c>
      <c r="G83" s="361" t="s">
        <v>171</v>
      </c>
      <c r="H83" s="361" t="s">
        <v>205</v>
      </c>
      <c r="I83" s="359"/>
      <c r="J83" s="386"/>
      <c r="K83" s="357" t="s">
        <v>1</v>
      </c>
      <c r="L83" s="359" t="s">
        <v>6875</v>
      </c>
      <c r="M83" s="359" t="s">
        <v>6919</v>
      </c>
      <c r="N83" s="359" t="s">
        <v>6984</v>
      </c>
      <c r="O83" s="359" t="s">
        <v>6878</v>
      </c>
      <c r="P83" s="357"/>
      <c r="Q83" s="365"/>
      <c r="R83" s="365">
        <f>ROUNDUP(Table2[[#This Row],[Acres]],0)*Table2[[#This Row],[Winning Bid]]</f>
        <v>0</v>
      </c>
      <c r="S83" s="365">
        <f>ROUNDUP('Sale Notes'!$F83,0)*($Y$4+$Y$5)+$Y$3</f>
        <v>6984.5</v>
      </c>
      <c r="T83" s="365">
        <f>ROUNDUP('Sale Notes'!$F83,0)*('Sale Notes'!$Q83+$Y$5)+$Y$3</f>
        <v>3090.5</v>
      </c>
      <c r="U83" s="357"/>
    </row>
    <row r="84" spans="2:21" ht="64" x14ac:dyDescent="0.2">
      <c r="B84" s="357" t="s">
        <v>206</v>
      </c>
      <c r="C84" s="357"/>
      <c r="D84" s="358">
        <v>105</v>
      </c>
      <c r="E84" s="413">
        <v>44005</v>
      </c>
      <c r="F84" s="381">
        <v>1937.84</v>
      </c>
      <c r="G84" s="361" t="s">
        <v>171</v>
      </c>
      <c r="H84" s="361" t="s">
        <v>207</v>
      </c>
      <c r="I84" s="359"/>
      <c r="J84" s="386"/>
      <c r="K84" s="357" t="s">
        <v>1</v>
      </c>
      <c r="L84" s="359" t="s">
        <v>6875</v>
      </c>
      <c r="M84" s="359" t="s">
        <v>6919</v>
      </c>
      <c r="N84" s="359" t="s">
        <v>6984</v>
      </c>
      <c r="O84" s="359" t="s">
        <v>6878</v>
      </c>
      <c r="P84" s="357"/>
      <c r="Q84" s="365"/>
      <c r="R84" s="365">
        <f>ROUNDUP(Table2[[#This Row],[Acres]],0)*Table2[[#This Row],[Winning Bid]]</f>
        <v>0</v>
      </c>
      <c r="S84" s="365">
        <f>ROUNDUP('Sale Notes'!$F84,0)*($Y$4+$Y$5)+$Y$3</f>
        <v>6953</v>
      </c>
      <c r="T84" s="365">
        <f>ROUNDUP('Sale Notes'!$F84,0)*('Sale Notes'!$Q84+$Y$5)+$Y$3</f>
        <v>3077</v>
      </c>
      <c r="U84" s="357"/>
    </row>
    <row r="85" spans="2:21" ht="64" x14ac:dyDescent="0.2">
      <c r="B85" s="357" t="s">
        <v>208</v>
      </c>
      <c r="C85" s="357"/>
      <c r="D85" s="358">
        <v>106</v>
      </c>
      <c r="E85" s="413">
        <v>44005</v>
      </c>
      <c r="F85" s="381">
        <v>1925.68</v>
      </c>
      <c r="G85" s="361" t="s">
        <v>171</v>
      </c>
      <c r="H85" s="361" t="s">
        <v>209</v>
      </c>
      <c r="I85" s="359"/>
      <c r="J85" s="386"/>
      <c r="K85" s="357" t="s">
        <v>1</v>
      </c>
      <c r="L85" s="359" t="s">
        <v>6875</v>
      </c>
      <c r="M85" s="359" t="s">
        <v>6919</v>
      </c>
      <c r="N85" s="359" t="s">
        <v>6984</v>
      </c>
      <c r="O85" s="359" t="s">
        <v>6878</v>
      </c>
      <c r="P85" s="357"/>
      <c r="Q85" s="365"/>
      <c r="R85" s="365">
        <f>ROUNDUP(Table2[[#This Row],[Acres]],0)*Table2[[#This Row],[Winning Bid]]</f>
        <v>0</v>
      </c>
      <c r="S85" s="365">
        <f>ROUNDUP('Sale Notes'!$F85,0)*($Y$4+$Y$5)+$Y$3</f>
        <v>6911</v>
      </c>
      <c r="T85" s="365">
        <f>ROUNDUP('Sale Notes'!$F85,0)*('Sale Notes'!$Q85+$Y$5)+$Y$3</f>
        <v>3059</v>
      </c>
      <c r="U85" s="357"/>
    </row>
    <row r="86" spans="2:21" ht="64" x14ac:dyDescent="0.2">
      <c r="B86" s="357" t="s">
        <v>210</v>
      </c>
      <c r="C86" s="357"/>
      <c r="D86" s="358">
        <v>44</v>
      </c>
      <c r="E86" s="413">
        <v>44005</v>
      </c>
      <c r="F86" s="381">
        <v>1938.92</v>
      </c>
      <c r="G86" s="361" t="s">
        <v>171</v>
      </c>
      <c r="H86" s="361" t="s">
        <v>211</v>
      </c>
      <c r="I86" s="359"/>
      <c r="J86" s="386"/>
      <c r="K86" s="357" t="s">
        <v>1</v>
      </c>
      <c r="L86" s="359" t="s">
        <v>6875</v>
      </c>
      <c r="M86" s="359" t="s">
        <v>6919</v>
      </c>
      <c r="N86" s="359" t="s">
        <v>6984</v>
      </c>
      <c r="O86" s="359" t="s">
        <v>6878</v>
      </c>
      <c r="P86" s="357"/>
      <c r="Q86" s="365"/>
      <c r="R86" s="365">
        <f>ROUNDUP(Table2[[#This Row],[Acres]],0)*Table2[[#This Row],[Winning Bid]]</f>
        <v>0</v>
      </c>
      <c r="S86" s="365">
        <f>ROUNDUP('Sale Notes'!$F86,0)*($Y$4+$Y$5)+$Y$3</f>
        <v>6956.5</v>
      </c>
      <c r="T86" s="365">
        <f>ROUNDUP('Sale Notes'!$F86,0)*('Sale Notes'!$Q86+$Y$5)+$Y$3</f>
        <v>3078.5</v>
      </c>
      <c r="U86" s="357"/>
    </row>
    <row r="87" spans="2:21" ht="64" x14ac:dyDescent="0.2">
      <c r="B87" s="357" t="s">
        <v>212</v>
      </c>
      <c r="C87" s="357"/>
      <c r="D87" s="358">
        <v>107</v>
      </c>
      <c r="E87" s="413">
        <v>44005</v>
      </c>
      <c r="F87" s="381">
        <v>1947.04</v>
      </c>
      <c r="G87" s="361" t="s">
        <v>171</v>
      </c>
      <c r="H87" s="361" t="s">
        <v>213</v>
      </c>
      <c r="I87" s="359"/>
      <c r="J87" s="386"/>
      <c r="K87" s="357" t="s">
        <v>1</v>
      </c>
      <c r="L87" s="359" t="s">
        <v>6875</v>
      </c>
      <c r="M87" s="359" t="s">
        <v>6919</v>
      </c>
      <c r="N87" s="359" t="s">
        <v>6984</v>
      </c>
      <c r="O87" s="359" t="s">
        <v>6878</v>
      </c>
      <c r="P87" s="357"/>
      <c r="Q87" s="365"/>
      <c r="R87" s="365">
        <f>ROUNDUP(Table2[[#This Row],[Acres]],0)*Table2[[#This Row],[Winning Bid]]</f>
        <v>0</v>
      </c>
      <c r="S87" s="365">
        <f>ROUNDUP('Sale Notes'!$F87,0)*($Y$4+$Y$5)+$Y$3</f>
        <v>6988</v>
      </c>
      <c r="T87" s="365">
        <f>ROUNDUP('Sale Notes'!$F87,0)*('Sale Notes'!$Q87+$Y$5)+$Y$3</f>
        <v>3092</v>
      </c>
      <c r="U87" s="357"/>
    </row>
    <row r="88" spans="2:21" ht="64" x14ac:dyDescent="0.2">
      <c r="B88" s="357" t="s">
        <v>214</v>
      </c>
      <c r="C88" s="357"/>
      <c r="D88" s="358">
        <v>108</v>
      </c>
      <c r="E88" s="413">
        <v>44005</v>
      </c>
      <c r="F88" s="381">
        <v>1955.75</v>
      </c>
      <c r="G88" s="361" t="s">
        <v>171</v>
      </c>
      <c r="H88" s="361" t="s">
        <v>215</v>
      </c>
      <c r="I88" s="359"/>
      <c r="J88" s="386"/>
      <c r="K88" s="357" t="s">
        <v>1</v>
      </c>
      <c r="L88" s="359" t="s">
        <v>6875</v>
      </c>
      <c r="M88" s="359" t="s">
        <v>6920</v>
      </c>
      <c r="N88" s="359" t="s">
        <v>6984</v>
      </c>
      <c r="O88" s="359" t="s">
        <v>6878</v>
      </c>
      <c r="P88" s="357"/>
      <c r="Q88" s="365"/>
      <c r="R88" s="365">
        <f>ROUNDUP(Table2[[#This Row],[Acres]],0)*Table2[[#This Row],[Winning Bid]]</f>
        <v>0</v>
      </c>
      <c r="S88" s="365">
        <f>ROUNDUP('Sale Notes'!$F88,0)*($Y$4+$Y$5)+$Y$3</f>
        <v>7016</v>
      </c>
      <c r="T88" s="365">
        <f>ROUNDUP('Sale Notes'!$F88,0)*('Sale Notes'!$Q88+$Y$5)+$Y$3</f>
        <v>3104</v>
      </c>
      <c r="U88" s="357"/>
    </row>
    <row r="89" spans="2:21" ht="80" x14ac:dyDescent="0.2">
      <c r="B89" s="357" t="s">
        <v>216</v>
      </c>
      <c r="C89" s="357"/>
      <c r="D89" s="358">
        <v>130</v>
      </c>
      <c r="E89" s="413">
        <v>44005</v>
      </c>
      <c r="F89" s="381">
        <v>1997.46</v>
      </c>
      <c r="G89" s="361" t="s">
        <v>171</v>
      </c>
      <c r="H89" s="361" t="s">
        <v>217</v>
      </c>
      <c r="I89" s="359"/>
      <c r="J89" s="386"/>
      <c r="K89" s="357" t="s">
        <v>1</v>
      </c>
      <c r="L89" s="359" t="s">
        <v>6875</v>
      </c>
      <c r="M89" s="359" t="s">
        <v>6912</v>
      </c>
      <c r="N89" s="359" t="s">
        <v>6984</v>
      </c>
      <c r="O89" s="359" t="s">
        <v>6878</v>
      </c>
      <c r="P89" s="357"/>
      <c r="Q89" s="365"/>
      <c r="R89" s="365">
        <f>ROUNDUP(Table2[[#This Row],[Acres]],0)*Table2[[#This Row],[Winning Bid]]</f>
        <v>0</v>
      </c>
      <c r="S89" s="365">
        <f>ROUNDUP('Sale Notes'!$F89,0)*($Y$4+$Y$5)+$Y$3</f>
        <v>7163</v>
      </c>
      <c r="T89" s="365">
        <f>ROUNDUP('Sale Notes'!$F89,0)*('Sale Notes'!$Q89+$Y$5)+$Y$3</f>
        <v>3167</v>
      </c>
      <c r="U89" s="357"/>
    </row>
    <row r="90" spans="2:21" ht="160" x14ac:dyDescent="0.2">
      <c r="B90" s="357" t="s">
        <v>218</v>
      </c>
      <c r="C90" s="357"/>
      <c r="D90" s="358">
        <v>133</v>
      </c>
      <c r="E90" s="413">
        <v>44005</v>
      </c>
      <c r="F90" s="381">
        <v>1948.43</v>
      </c>
      <c r="G90" s="361" t="s">
        <v>171</v>
      </c>
      <c r="H90" s="361" t="s">
        <v>219</v>
      </c>
      <c r="I90" s="359"/>
      <c r="J90" s="386"/>
      <c r="K90" s="357" t="s">
        <v>1</v>
      </c>
      <c r="L90" s="359" t="s">
        <v>6875</v>
      </c>
      <c r="M90" s="359" t="s">
        <v>6912</v>
      </c>
      <c r="N90" s="359" t="s">
        <v>6996</v>
      </c>
      <c r="O90" s="359" t="s">
        <v>6878</v>
      </c>
      <c r="P90" s="357"/>
      <c r="Q90" s="365"/>
      <c r="R90" s="365">
        <f>ROUNDUP(Table2[[#This Row],[Acres]],0)*Table2[[#This Row],[Winning Bid]]</f>
        <v>0</v>
      </c>
      <c r="S90" s="365">
        <f>ROUNDUP('Sale Notes'!$F90,0)*($Y$4+$Y$5)+$Y$3</f>
        <v>6991.5</v>
      </c>
      <c r="T90" s="365">
        <f>ROUNDUP('Sale Notes'!$F90,0)*('Sale Notes'!$Q90+$Y$5)+$Y$3</f>
        <v>3093.5</v>
      </c>
      <c r="U90" s="357"/>
    </row>
    <row r="91" spans="2:21" ht="64" x14ac:dyDescent="0.2">
      <c r="B91" s="357" t="s">
        <v>220</v>
      </c>
      <c r="C91" s="357"/>
      <c r="D91" s="358">
        <v>109</v>
      </c>
      <c r="E91" s="413">
        <v>44005</v>
      </c>
      <c r="F91" s="381">
        <v>1956.08</v>
      </c>
      <c r="G91" s="361" t="s">
        <v>171</v>
      </c>
      <c r="H91" s="361" t="s">
        <v>221</v>
      </c>
      <c r="I91" s="359"/>
      <c r="J91" s="386"/>
      <c r="K91" s="357" t="s">
        <v>1</v>
      </c>
      <c r="L91" s="359" t="s">
        <v>6875</v>
      </c>
      <c r="M91" s="359" t="s">
        <v>6913</v>
      </c>
      <c r="N91" s="359" t="s">
        <v>6984</v>
      </c>
      <c r="O91" s="359" t="s">
        <v>6878</v>
      </c>
      <c r="P91" s="357"/>
      <c r="Q91" s="365"/>
      <c r="R91" s="365">
        <f>ROUNDUP(Table2[[#This Row],[Acres]],0)*Table2[[#This Row],[Winning Bid]]</f>
        <v>0</v>
      </c>
      <c r="S91" s="365">
        <f>ROUNDUP('Sale Notes'!$F91,0)*($Y$4+$Y$5)+$Y$3</f>
        <v>7019.5</v>
      </c>
      <c r="T91" s="365">
        <f>ROUNDUP('Sale Notes'!$F91,0)*('Sale Notes'!$Q91+$Y$5)+$Y$3</f>
        <v>3105.5</v>
      </c>
      <c r="U91" s="357"/>
    </row>
    <row r="92" spans="2:21" ht="96" x14ac:dyDescent="0.2">
      <c r="B92" s="357" t="s">
        <v>222</v>
      </c>
      <c r="C92" s="357"/>
      <c r="D92" s="358">
        <v>110</v>
      </c>
      <c r="E92" s="413">
        <v>44005</v>
      </c>
      <c r="F92" s="381">
        <v>1625.06</v>
      </c>
      <c r="G92" s="361" t="s">
        <v>171</v>
      </c>
      <c r="H92" s="361" t="s">
        <v>223</v>
      </c>
      <c r="I92" s="359"/>
      <c r="J92" s="386"/>
      <c r="K92" s="357" t="s">
        <v>1</v>
      </c>
      <c r="L92" s="359" t="s">
        <v>6875</v>
      </c>
      <c r="M92" s="359" t="s">
        <v>6912</v>
      </c>
      <c r="N92" s="359" t="s">
        <v>6996</v>
      </c>
      <c r="O92" s="359" t="s">
        <v>6878</v>
      </c>
      <c r="P92" s="357"/>
      <c r="Q92" s="365"/>
      <c r="R92" s="365">
        <f>ROUNDUP(Table2[[#This Row],[Acres]],0)*Table2[[#This Row],[Winning Bid]]</f>
        <v>0</v>
      </c>
      <c r="S92" s="365">
        <f>ROUNDUP('Sale Notes'!$F92,0)*($Y$4+$Y$5)+$Y$3</f>
        <v>5861</v>
      </c>
      <c r="T92" s="365">
        <f>ROUNDUP('Sale Notes'!$F92,0)*('Sale Notes'!$Q92+$Y$5)+$Y$3</f>
        <v>2609</v>
      </c>
      <c r="U92" s="357"/>
    </row>
    <row r="93" spans="2:21" ht="80" x14ac:dyDescent="0.2">
      <c r="B93" s="357" t="s">
        <v>224</v>
      </c>
      <c r="C93" s="357"/>
      <c r="D93" s="358">
        <v>51</v>
      </c>
      <c r="E93" s="413">
        <v>44005</v>
      </c>
      <c r="F93" s="381">
        <v>1951.12</v>
      </c>
      <c r="G93" s="361" t="s">
        <v>171</v>
      </c>
      <c r="H93" s="361" t="s">
        <v>225</v>
      </c>
      <c r="I93" s="359"/>
      <c r="J93" s="386"/>
      <c r="K93" s="357" t="s">
        <v>1</v>
      </c>
      <c r="L93" s="359" t="s">
        <v>6875</v>
      </c>
      <c r="M93" s="359" t="s">
        <v>6913</v>
      </c>
      <c r="N93" s="359" t="s">
        <v>7002</v>
      </c>
      <c r="O93" s="359" t="s">
        <v>6878</v>
      </c>
      <c r="P93" s="357"/>
      <c r="Q93" s="365"/>
      <c r="R93" s="365">
        <f>ROUNDUP(Table2[[#This Row],[Acres]],0)*Table2[[#This Row],[Winning Bid]]</f>
        <v>0</v>
      </c>
      <c r="S93" s="365">
        <f>ROUNDUP('Sale Notes'!$F93,0)*($Y$4+$Y$5)+$Y$3</f>
        <v>7002</v>
      </c>
      <c r="T93" s="365">
        <f>ROUNDUP('Sale Notes'!$F93,0)*('Sale Notes'!$Q93+$Y$5)+$Y$3</f>
        <v>3098</v>
      </c>
      <c r="U93" s="357"/>
    </row>
    <row r="94" spans="2:21" ht="64" x14ac:dyDescent="0.2">
      <c r="B94" s="357" t="s">
        <v>226</v>
      </c>
      <c r="C94" s="357"/>
      <c r="D94" s="358">
        <v>40</v>
      </c>
      <c r="E94" s="413">
        <v>44005</v>
      </c>
      <c r="F94" s="381">
        <v>1290.2</v>
      </c>
      <c r="G94" s="361" t="s">
        <v>171</v>
      </c>
      <c r="H94" s="361" t="s">
        <v>227</v>
      </c>
      <c r="I94" s="359"/>
      <c r="J94" s="386"/>
      <c r="K94" s="357" t="s">
        <v>1</v>
      </c>
      <c r="L94" s="359" t="s">
        <v>6875</v>
      </c>
      <c r="M94" s="359" t="s">
        <v>6921</v>
      </c>
      <c r="N94" s="359" t="s">
        <v>6984</v>
      </c>
      <c r="O94" s="359" t="s">
        <v>6878</v>
      </c>
      <c r="P94" s="357"/>
      <c r="Q94" s="365"/>
      <c r="R94" s="365">
        <f>ROUNDUP(Table2[[#This Row],[Acres]],0)*Table2[[#This Row],[Winning Bid]]</f>
        <v>0</v>
      </c>
      <c r="S94" s="365">
        <f>ROUNDUP('Sale Notes'!$F94,0)*($Y$4+$Y$5)+$Y$3</f>
        <v>4688.5</v>
      </c>
      <c r="T94" s="365">
        <f>ROUNDUP('Sale Notes'!$F94,0)*('Sale Notes'!$Q94+$Y$5)+$Y$3</f>
        <v>2106.5</v>
      </c>
      <c r="U94" s="357"/>
    </row>
    <row r="95" spans="2:21" ht="48" x14ac:dyDescent="0.2">
      <c r="B95" s="357" t="s">
        <v>228</v>
      </c>
      <c r="C95" s="357"/>
      <c r="D95" s="358">
        <v>111</v>
      </c>
      <c r="E95" s="413">
        <v>44005</v>
      </c>
      <c r="F95" s="381">
        <v>1287.42</v>
      </c>
      <c r="G95" s="361" t="s">
        <v>171</v>
      </c>
      <c r="H95" s="361" t="s">
        <v>229</v>
      </c>
      <c r="I95" s="359"/>
      <c r="J95" s="386"/>
      <c r="K95" s="357" t="s">
        <v>1</v>
      </c>
      <c r="L95" s="359" t="s">
        <v>6875</v>
      </c>
      <c r="M95" s="359" t="s">
        <v>6908</v>
      </c>
      <c r="N95" s="359" t="s">
        <v>6984</v>
      </c>
      <c r="O95" s="359" t="s">
        <v>6878</v>
      </c>
      <c r="P95" s="357"/>
      <c r="Q95" s="365"/>
      <c r="R95" s="365">
        <f>ROUNDUP(Table2[[#This Row],[Acres]],0)*Table2[[#This Row],[Winning Bid]]</f>
        <v>0</v>
      </c>
      <c r="S95" s="365">
        <f>ROUNDUP('Sale Notes'!$F95,0)*($Y$4+$Y$5)+$Y$3</f>
        <v>4678</v>
      </c>
      <c r="T95" s="365">
        <f>ROUNDUP('Sale Notes'!$F95,0)*('Sale Notes'!$Q95+$Y$5)+$Y$3</f>
        <v>2102</v>
      </c>
      <c r="U95" s="357"/>
    </row>
    <row r="96" spans="2:21" ht="64" x14ac:dyDescent="0.2">
      <c r="B96" s="357" t="s">
        <v>230</v>
      </c>
      <c r="C96" s="357"/>
      <c r="D96" s="358">
        <v>112</v>
      </c>
      <c r="E96" s="413">
        <v>44005</v>
      </c>
      <c r="F96" s="381">
        <v>2045.27</v>
      </c>
      <c r="G96" s="361" t="s">
        <v>171</v>
      </c>
      <c r="H96" s="361" t="s">
        <v>231</v>
      </c>
      <c r="I96" s="359"/>
      <c r="J96" s="386"/>
      <c r="K96" s="357" t="s">
        <v>1</v>
      </c>
      <c r="L96" s="359" t="s">
        <v>6875</v>
      </c>
      <c r="M96" s="359" t="s">
        <v>6881</v>
      </c>
      <c r="N96" s="359" t="s">
        <v>6984</v>
      </c>
      <c r="O96" s="359" t="s">
        <v>6878</v>
      </c>
      <c r="P96" s="357"/>
      <c r="Q96" s="365"/>
      <c r="R96" s="365">
        <f>ROUNDUP(Table2[[#This Row],[Acres]],0)*Table2[[#This Row],[Winning Bid]]</f>
        <v>0</v>
      </c>
      <c r="S96" s="365">
        <f>ROUNDUP('Sale Notes'!$F96,0)*($Y$4+$Y$5)+$Y$3</f>
        <v>7331</v>
      </c>
      <c r="T96" s="365">
        <f>ROUNDUP('Sale Notes'!$F96,0)*('Sale Notes'!$Q96+$Y$5)+$Y$3</f>
        <v>3239</v>
      </c>
      <c r="U96" s="357"/>
    </row>
    <row r="97" spans="2:21" ht="96" x14ac:dyDescent="0.2">
      <c r="B97" s="357" t="s">
        <v>232</v>
      </c>
      <c r="C97" s="357"/>
      <c r="D97" s="358">
        <v>129</v>
      </c>
      <c r="E97" s="413">
        <v>44005</v>
      </c>
      <c r="F97" s="381">
        <v>1221.28</v>
      </c>
      <c r="G97" s="361" t="s">
        <v>171</v>
      </c>
      <c r="H97" s="361" t="s">
        <v>233</v>
      </c>
      <c r="I97" s="359"/>
      <c r="J97" s="386"/>
      <c r="K97" s="357" t="s">
        <v>1</v>
      </c>
      <c r="L97" s="359" t="s">
        <v>6875</v>
      </c>
      <c r="M97" s="359" t="s">
        <v>6881</v>
      </c>
      <c r="N97" s="359" t="s">
        <v>6984</v>
      </c>
      <c r="O97" s="359" t="s">
        <v>6878</v>
      </c>
      <c r="P97" s="357"/>
      <c r="Q97" s="365"/>
      <c r="R97" s="365">
        <f>ROUNDUP(Table2[[#This Row],[Acres]],0)*Table2[[#This Row],[Winning Bid]]</f>
        <v>0</v>
      </c>
      <c r="S97" s="365">
        <f>ROUNDUP('Sale Notes'!$F97,0)*($Y$4+$Y$5)+$Y$3</f>
        <v>4447</v>
      </c>
      <c r="T97" s="365">
        <f>ROUNDUP('Sale Notes'!$F97,0)*('Sale Notes'!$Q97+$Y$5)+$Y$3</f>
        <v>2003</v>
      </c>
      <c r="U97" s="357"/>
    </row>
    <row r="98" spans="2:21" ht="64" x14ac:dyDescent="0.2">
      <c r="B98" s="357" t="s">
        <v>234</v>
      </c>
      <c r="C98" s="357"/>
      <c r="D98" s="358">
        <v>53</v>
      </c>
      <c r="E98" s="413">
        <v>44005</v>
      </c>
      <c r="F98" s="381">
        <v>1959.21</v>
      </c>
      <c r="G98" s="361" t="s">
        <v>171</v>
      </c>
      <c r="H98" s="361" t="s">
        <v>235</v>
      </c>
      <c r="I98" s="359"/>
      <c r="J98" s="386"/>
      <c r="K98" s="357" t="s">
        <v>1</v>
      </c>
      <c r="L98" s="359" t="s">
        <v>6875</v>
      </c>
      <c r="M98" s="359" t="s">
        <v>6881</v>
      </c>
      <c r="N98" s="359" t="s">
        <v>6984</v>
      </c>
      <c r="O98" s="359" t="s">
        <v>6878</v>
      </c>
      <c r="P98" s="357"/>
      <c r="Q98" s="365"/>
      <c r="R98" s="365">
        <f>ROUNDUP(Table2[[#This Row],[Acres]],0)*Table2[[#This Row],[Winning Bid]]</f>
        <v>0</v>
      </c>
      <c r="S98" s="365">
        <f>ROUNDUP('Sale Notes'!$F98,0)*($Y$4+$Y$5)+$Y$3</f>
        <v>7030</v>
      </c>
      <c r="T98" s="365">
        <f>ROUNDUP('Sale Notes'!$F98,0)*('Sale Notes'!$Q98+$Y$5)+$Y$3</f>
        <v>3110</v>
      </c>
      <c r="U98" s="357"/>
    </row>
    <row r="99" spans="2:21" ht="64" x14ac:dyDescent="0.2">
      <c r="B99" s="357" t="s">
        <v>236</v>
      </c>
      <c r="C99" s="357"/>
      <c r="D99" s="358">
        <v>54</v>
      </c>
      <c r="E99" s="413">
        <v>44005</v>
      </c>
      <c r="F99" s="381">
        <v>1961.45</v>
      </c>
      <c r="G99" s="361" t="s">
        <v>171</v>
      </c>
      <c r="H99" s="361" t="s">
        <v>237</v>
      </c>
      <c r="I99" s="359"/>
      <c r="J99" s="386"/>
      <c r="K99" s="357" t="s">
        <v>1</v>
      </c>
      <c r="L99" s="359" t="s">
        <v>6875</v>
      </c>
      <c r="M99" s="359" t="s">
        <v>6881</v>
      </c>
      <c r="N99" s="359" t="s">
        <v>6984</v>
      </c>
      <c r="O99" s="359" t="s">
        <v>6878</v>
      </c>
      <c r="P99" s="357"/>
      <c r="Q99" s="365"/>
      <c r="R99" s="365">
        <f>ROUNDUP(Table2[[#This Row],[Acres]],0)*Table2[[#This Row],[Winning Bid]]</f>
        <v>0</v>
      </c>
      <c r="S99" s="365">
        <f>ROUNDUP('Sale Notes'!$F99,0)*($Y$4+$Y$5)+$Y$3</f>
        <v>7037</v>
      </c>
      <c r="T99" s="365">
        <f>ROUNDUP('Sale Notes'!$F99,0)*('Sale Notes'!$Q99+$Y$5)+$Y$3</f>
        <v>3113</v>
      </c>
      <c r="U99" s="357"/>
    </row>
    <row r="100" spans="2:21" ht="80" x14ac:dyDescent="0.2">
      <c r="B100" s="357" t="s">
        <v>238</v>
      </c>
      <c r="C100" s="357"/>
      <c r="D100" s="358">
        <v>55</v>
      </c>
      <c r="E100" s="413">
        <v>44005</v>
      </c>
      <c r="F100" s="381">
        <v>2318.0100000000002</v>
      </c>
      <c r="G100" s="361" t="s">
        <v>171</v>
      </c>
      <c r="H100" s="361" t="s">
        <v>239</v>
      </c>
      <c r="I100" s="359"/>
      <c r="J100" s="386"/>
      <c r="K100" s="357" t="s">
        <v>1</v>
      </c>
      <c r="L100" s="359" t="s">
        <v>6875</v>
      </c>
      <c r="M100" s="359" t="s">
        <v>6881</v>
      </c>
      <c r="N100" s="359" t="s">
        <v>6984</v>
      </c>
      <c r="O100" s="359" t="s">
        <v>6878</v>
      </c>
      <c r="P100" s="357"/>
      <c r="Q100" s="365"/>
      <c r="R100" s="365">
        <f>ROUNDUP(Table2[[#This Row],[Acres]],0)*Table2[[#This Row],[Winning Bid]]</f>
        <v>0</v>
      </c>
      <c r="S100" s="365">
        <f>ROUNDUP('Sale Notes'!$F100,0)*($Y$4+$Y$5)+$Y$3</f>
        <v>8286.5</v>
      </c>
      <c r="T100" s="365">
        <f>ROUNDUP('Sale Notes'!$F100,0)*('Sale Notes'!$Q100+$Y$5)+$Y$3</f>
        <v>3648.5</v>
      </c>
      <c r="U100" s="357"/>
    </row>
    <row r="101" spans="2:21" ht="64" x14ac:dyDescent="0.2">
      <c r="B101" s="357" t="s">
        <v>240</v>
      </c>
      <c r="C101" s="357"/>
      <c r="D101" s="358">
        <v>56</v>
      </c>
      <c r="E101" s="413">
        <v>44005</v>
      </c>
      <c r="F101" s="381">
        <v>1942.19</v>
      </c>
      <c r="G101" s="361" t="s">
        <v>171</v>
      </c>
      <c r="H101" s="361" t="s">
        <v>241</v>
      </c>
      <c r="I101" s="359"/>
      <c r="J101" s="386"/>
      <c r="K101" s="357" t="s">
        <v>1</v>
      </c>
      <c r="L101" s="359" t="s">
        <v>6875</v>
      </c>
      <c r="M101" s="359" t="s">
        <v>6881</v>
      </c>
      <c r="N101" s="359" t="s">
        <v>6984</v>
      </c>
      <c r="O101" s="359" t="s">
        <v>6878</v>
      </c>
      <c r="P101" s="357"/>
      <c r="Q101" s="365"/>
      <c r="R101" s="365">
        <f>ROUNDUP(Table2[[#This Row],[Acres]],0)*Table2[[#This Row],[Winning Bid]]</f>
        <v>0</v>
      </c>
      <c r="S101" s="365">
        <f>ROUNDUP('Sale Notes'!$F101,0)*($Y$4+$Y$5)+$Y$3</f>
        <v>6970.5</v>
      </c>
      <c r="T101" s="365">
        <f>ROUNDUP('Sale Notes'!$F101,0)*('Sale Notes'!$Q101+$Y$5)+$Y$3</f>
        <v>3084.5</v>
      </c>
      <c r="U101" s="357"/>
    </row>
    <row r="102" spans="2:21" ht="64" x14ac:dyDescent="0.2">
      <c r="B102" s="357" t="s">
        <v>242</v>
      </c>
      <c r="C102" s="357"/>
      <c r="D102" s="358">
        <v>57</v>
      </c>
      <c r="E102" s="413">
        <v>44005</v>
      </c>
      <c r="F102" s="381">
        <v>2484.5500000000002</v>
      </c>
      <c r="G102" s="361" t="s">
        <v>171</v>
      </c>
      <c r="H102" s="361" t="s">
        <v>243</v>
      </c>
      <c r="I102" s="359"/>
      <c r="J102" s="386"/>
      <c r="K102" s="357" t="s">
        <v>1</v>
      </c>
      <c r="L102" s="359" t="s">
        <v>6875</v>
      </c>
      <c r="M102" s="359" t="s">
        <v>6881</v>
      </c>
      <c r="N102" s="359" t="s">
        <v>6984</v>
      </c>
      <c r="O102" s="359" t="s">
        <v>6878</v>
      </c>
      <c r="P102" s="357"/>
      <c r="Q102" s="365"/>
      <c r="R102" s="365">
        <f>ROUNDUP(Table2[[#This Row],[Acres]],0)*Table2[[#This Row],[Winning Bid]]</f>
        <v>0</v>
      </c>
      <c r="S102" s="365">
        <f>ROUNDUP('Sale Notes'!$F102,0)*($Y$4+$Y$5)+$Y$3</f>
        <v>8867.5</v>
      </c>
      <c r="T102" s="365">
        <f>ROUNDUP('Sale Notes'!$F102,0)*('Sale Notes'!$Q102+$Y$5)+$Y$3</f>
        <v>3897.5</v>
      </c>
      <c r="U102" s="357"/>
    </row>
    <row r="103" spans="2:21" ht="64" x14ac:dyDescent="0.2">
      <c r="B103" s="357" t="s">
        <v>244</v>
      </c>
      <c r="C103" s="357"/>
      <c r="D103" s="358">
        <v>58</v>
      </c>
      <c r="E103" s="413">
        <v>44005</v>
      </c>
      <c r="F103" s="381">
        <v>2066.1999999999998</v>
      </c>
      <c r="G103" s="361" t="s">
        <v>171</v>
      </c>
      <c r="H103" s="361" t="s">
        <v>245</v>
      </c>
      <c r="I103" s="359"/>
      <c r="J103" s="386"/>
      <c r="K103" s="357" t="s">
        <v>1</v>
      </c>
      <c r="L103" s="359" t="s">
        <v>6875</v>
      </c>
      <c r="M103" s="359" t="s">
        <v>6881</v>
      </c>
      <c r="N103" s="359" t="s">
        <v>6984</v>
      </c>
      <c r="O103" s="359" t="s">
        <v>6878</v>
      </c>
      <c r="P103" s="357"/>
      <c r="Q103" s="365"/>
      <c r="R103" s="365">
        <f>ROUNDUP(Table2[[#This Row],[Acres]],0)*Table2[[#This Row],[Winning Bid]]</f>
        <v>0</v>
      </c>
      <c r="S103" s="365">
        <f>ROUNDUP('Sale Notes'!$F103,0)*($Y$4+$Y$5)+$Y$3</f>
        <v>7404.5</v>
      </c>
      <c r="T103" s="365">
        <f>ROUNDUP('Sale Notes'!$F103,0)*('Sale Notes'!$Q103+$Y$5)+$Y$3</f>
        <v>3270.5</v>
      </c>
      <c r="U103" s="357"/>
    </row>
    <row r="104" spans="2:21" ht="128" x14ac:dyDescent="0.2">
      <c r="B104" s="357" t="s">
        <v>246</v>
      </c>
      <c r="C104" s="357"/>
      <c r="D104" s="358">
        <v>59</v>
      </c>
      <c r="E104" s="413">
        <v>44005</v>
      </c>
      <c r="F104" s="381">
        <v>2438.15</v>
      </c>
      <c r="G104" s="361" t="s">
        <v>180</v>
      </c>
      <c r="H104" s="361" t="s">
        <v>247</v>
      </c>
      <c r="I104" s="359"/>
      <c r="J104" s="386"/>
      <c r="K104" s="357" t="s">
        <v>1</v>
      </c>
      <c r="L104" s="359" t="s">
        <v>6875</v>
      </c>
      <c r="M104" s="359" t="s">
        <v>6923</v>
      </c>
      <c r="N104" s="359" t="s">
        <v>6984</v>
      </c>
      <c r="O104" s="359" t="s">
        <v>6878</v>
      </c>
      <c r="P104" s="357"/>
      <c r="Q104" s="365"/>
      <c r="R104" s="365">
        <f>ROUNDUP(Table2[[#This Row],[Acres]],0)*Table2[[#This Row],[Winning Bid]]</f>
        <v>0</v>
      </c>
      <c r="S104" s="365">
        <f>ROUNDUP('Sale Notes'!$F104,0)*($Y$4+$Y$5)+$Y$3</f>
        <v>8706.5</v>
      </c>
      <c r="T104" s="365">
        <f>ROUNDUP('Sale Notes'!$F104,0)*('Sale Notes'!$Q104+$Y$5)+$Y$3</f>
        <v>3828.5</v>
      </c>
      <c r="U104" s="357"/>
    </row>
    <row r="105" spans="2:21" ht="144" x14ac:dyDescent="0.2">
      <c r="B105" s="357" t="s">
        <v>248</v>
      </c>
      <c r="C105" s="357"/>
      <c r="D105" s="358">
        <v>134</v>
      </c>
      <c r="E105" s="413">
        <v>44005</v>
      </c>
      <c r="F105" s="381">
        <v>2358.89</v>
      </c>
      <c r="G105" s="361" t="s">
        <v>180</v>
      </c>
      <c r="H105" s="361" t="s">
        <v>249</v>
      </c>
      <c r="I105" s="359"/>
      <c r="J105" s="386"/>
      <c r="K105" s="357" t="s">
        <v>1</v>
      </c>
      <c r="L105" s="359" t="s">
        <v>6875</v>
      </c>
      <c r="M105" s="359" t="s">
        <v>6937</v>
      </c>
      <c r="N105" s="359" t="s">
        <v>6997</v>
      </c>
      <c r="O105" s="359" t="s">
        <v>6878</v>
      </c>
      <c r="P105" s="357"/>
      <c r="Q105" s="365"/>
      <c r="R105" s="365">
        <f>ROUNDUP(Table2[[#This Row],[Acres]],0)*Table2[[#This Row],[Winning Bid]]</f>
        <v>0</v>
      </c>
      <c r="S105" s="365">
        <f>ROUNDUP('Sale Notes'!$F105,0)*($Y$4+$Y$5)+$Y$3</f>
        <v>8426.5</v>
      </c>
      <c r="T105" s="365">
        <f>ROUNDUP('Sale Notes'!$F105,0)*('Sale Notes'!$Q105+$Y$5)+$Y$3</f>
        <v>3708.5</v>
      </c>
      <c r="U105" s="357"/>
    </row>
    <row r="106" spans="2:21" ht="144" x14ac:dyDescent="0.2">
      <c r="B106" s="357" t="s">
        <v>250</v>
      </c>
      <c r="C106" s="357"/>
      <c r="D106" s="358">
        <v>60</v>
      </c>
      <c r="E106" s="413">
        <v>44005</v>
      </c>
      <c r="F106" s="381">
        <v>2279.88</v>
      </c>
      <c r="G106" s="361" t="s">
        <v>180</v>
      </c>
      <c r="H106" s="361" t="s">
        <v>251</v>
      </c>
      <c r="I106" s="359"/>
      <c r="J106" s="386"/>
      <c r="K106" s="357" t="s">
        <v>1</v>
      </c>
      <c r="L106" s="359" t="s">
        <v>6875</v>
      </c>
      <c r="M106" s="359" t="s">
        <v>6924</v>
      </c>
      <c r="N106" s="359" t="s">
        <v>6998</v>
      </c>
      <c r="O106" s="359" t="s">
        <v>6878</v>
      </c>
      <c r="P106" s="357"/>
      <c r="Q106" s="365"/>
      <c r="R106" s="365">
        <f>ROUNDUP(Table2[[#This Row],[Acres]],0)*Table2[[#This Row],[Winning Bid]]</f>
        <v>0</v>
      </c>
      <c r="S106" s="365">
        <f>ROUNDUP('Sale Notes'!$F106,0)*($Y$4+$Y$5)+$Y$3</f>
        <v>8150</v>
      </c>
      <c r="T106" s="365">
        <f>ROUNDUP('Sale Notes'!$F106,0)*('Sale Notes'!$Q106+$Y$5)+$Y$3</f>
        <v>3590</v>
      </c>
      <c r="U106" s="357"/>
    </row>
    <row r="107" spans="2:21" ht="128" x14ac:dyDescent="0.2">
      <c r="B107" s="357" t="s">
        <v>252</v>
      </c>
      <c r="C107" s="357"/>
      <c r="D107" s="358">
        <v>61</v>
      </c>
      <c r="E107" s="413">
        <v>44005</v>
      </c>
      <c r="F107" s="381">
        <v>2557.96</v>
      </c>
      <c r="G107" s="361" t="s">
        <v>180</v>
      </c>
      <c r="H107" s="361" t="s">
        <v>253</v>
      </c>
      <c r="I107" s="359"/>
      <c r="J107" s="386"/>
      <c r="K107" s="357" t="s">
        <v>1</v>
      </c>
      <c r="L107" s="359" t="s">
        <v>6875</v>
      </c>
      <c r="M107" s="359" t="s">
        <v>6881</v>
      </c>
      <c r="N107" s="359" t="s">
        <v>6984</v>
      </c>
      <c r="O107" s="359" t="s">
        <v>6878</v>
      </c>
      <c r="P107" s="357"/>
      <c r="Q107" s="365"/>
      <c r="R107" s="365">
        <f>ROUNDUP(Table2[[#This Row],[Acres]],0)*Table2[[#This Row],[Winning Bid]]</f>
        <v>0</v>
      </c>
      <c r="S107" s="365">
        <f>ROUNDUP('Sale Notes'!$F107,0)*($Y$4+$Y$5)+$Y$3</f>
        <v>9123</v>
      </c>
      <c r="T107" s="365">
        <f>ROUNDUP('Sale Notes'!$F107,0)*('Sale Notes'!$Q107+$Y$5)+$Y$3</f>
        <v>4007</v>
      </c>
      <c r="U107" s="357"/>
    </row>
    <row r="108" spans="2:21" ht="80" x14ac:dyDescent="0.2">
      <c r="B108" s="357" t="s">
        <v>254</v>
      </c>
      <c r="C108" s="357"/>
      <c r="D108" s="358">
        <v>62</v>
      </c>
      <c r="E108" s="413">
        <v>44005</v>
      </c>
      <c r="F108" s="381">
        <v>2200</v>
      </c>
      <c r="G108" s="361" t="s">
        <v>180</v>
      </c>
      <c r="H108" s="361" t="s">
        <v>255</v>
      </c>
      <c r="I108" s="359"/>
      <c r="J108" s="386"/>
      <c r="K108" s="357" t="s">
        <v>1</v>
      </c>
      <c r="L108" s="359" t="s">
        <v>6875</v>
      </c>
      <c r="M108" s="359" t="s">
        <v>6881</v>
      </c>
      <c r="N108" s="359" t="s">
        <v>6999</v>
      </c>
      <c r="O108" s="359" t="s">
        <v>6878</v>
      </c>
      <c r="P108" s="357"/>
      <c r="Q108" s="365"/>
      <c r="R108" s="365">
        <f>ROUNDUP(Table2[[#This Row],[Acres]],0)*Table2[[#This Row],[Winning Bid]]</f>
        <v>0</v>
      </c>
      <c r="S108" s="365">
        <f>ROUNDUP('Sale Notes'!$F108,0)*($Y$4+$Y$5)+$Y$3</f>
        <v>7870</v>
      </c>
      <c r="T108" s="365">
        <f>ROUNDUP('Sale Notes'!$F108,0)*('Sale Notes'!$Q108+$Y$5)+$Y$3</f>
        <v>3470</v>
      </c>
      <c r="U108" s="357"/>
    </row>
    <row r="109" spans="2:21" ht="112" x14ac:dyDescent="0.2">
      <c r="B109" s="357" t="s">
        <v>256</v>
      </c>
      <c r="C109" s="357"/>
      <c r="D109" s="358">
        <v>135</v>
      </c>
      <c r="E109" s="413">
        <v>44005</v>
      </c>
      <c r="F109" s="381">
        <v>2039.28</v>
      </c>
      <c r="G109" s="361" t="s">
        <v>180</v>
      </c>
      <c r="H109" s="361" t="s">
        <v>257</v>
      </c>
      <c r="I109" s="359"/>
      <c r="J109" s="386"/>
      <c r="K109" s="357" t="s">
        <v>1</v>
      </c>
      <c r="L109" s="359" t="s">
        <v>6875</v>
      </c>
      <c r="M109" s="359" t="s">
        <v>6881</v>
      </c>
      <c r="N109" s="359" t="s">
        <v>7000</v>
      </c>
      <c r="O109" s="359" t="s">
        <v>6878</v>
      </c>
      <c r="P109" s="357"/>
      <c r="Q109" s="365"/>
      <c r="R109" s="365">
        <f>ROUNDUP(Table2[[#This Row],[Acres]],0)*Table2[[#This Row],[Winning Bid]]</f>
        <v>0</v>
      </c>
      <c r="S109" s="365">
        <f>ROUNDUP('Sale Notes'!$F109,0)*($Y$4+$Y$5)+$Y$3</f>
        <v>7310</v>
      </c>
      <c r="T109" s="365">
        <f>ROUNDUP('Sale Notes'!$F109,0)*('Sale Notes'!$Q109+$Y$5)+$Y$3</f>
        <v>3230</v>
      </c>
      <c r="U109" s="357"/>
    </row>
    <row r="110" spans="2:21" ht="144" x14ac:dyDescent="0.2">
      <c r="B110" s="357" t="s">
        <v>258</v>
      </c>
      <c r="C110" s="357"/>
      <c r="D110" s="358">
        <v>90</v>
      </c>
      <c r="E110" s="413">
        <v>44005</v>
      </c>
      <c r="F110" s="381">
        <v>1785.64</v>
      </c>
      <c r="G110" s="361" t="s">
        <v>180</v>
      </c>
      <c r="H110" s="361" t="s">
        <v>259</v>
      </c>
      <c r="I110" s="359"/>
      <c r="J110" s="386"/>
      <c r="K110" s="357" t="s">
        <v>1</v>
      </c>
      <c r="L110" s="359" t="s">
        <v>6875</v>
      </c>
      <c r="M110" s="359" t="s">
        <v>6881</v>
      </c>
      <c r="N110" s="359" t="s">
        <v>7001</v>
      </c>
      <c r="O110" s="359" t="s">
        <v>6878</v>
      </c>
      <c r="P110" s="357"/>
      <c r="Q110" s="365"/>
      <c r="R110" s="365">
        <f>ROUNDUP(Table2[[#This Row],[Acres]],0)*Table2[[#This Row],[Winning Bid]]</f>
        <v>0</v>
      </c>
      <c r="S110" s="365">
        <f>ROUNDUP('Sale Notes'!$F110,0)*($Y$4+$Y$5)+$Y$3</f>
        <v>6421</v>
      </c>
      <c r="T110" s="365">
        <f>ROUNDUP('Sale Notes'!$F110,0)*('Sale Notes'!$Q110+$Y$5)+$Y$3</f>
        <v>2849</v>
      </c>
      <c r="U110" s="357"/>
    </row>
    <row r="111" spans="2:21" ht="96" x14ac:dyDescent="0.2">
      <c r="B111" s="357" t="s">
        <v>260</v>
      </c>
      <c r="C111" s="357"/>
      <c r="D111" s="358">
        <v>63</v>
      </c>
      <c r="E111" s="413">
        <v>44005</v>
      </c>
      <c r="F111" s="381">
        <v>2560</v>
      </c>
      <c r="G111" s="361" t="s">
        <v>180</v>
      </c>
      <c r="H111" s="361" t="s">
        <v>261</v>
      </c>
      <c r="I111" s="359"/>
      <c r="J111" s="386"/>
      <c r="K111" s="357" t="s">
        <v>1</v>
      </c>
      <c r="L111" s="359" t="s">
        <v>6875</v>
      </c>
      <c r="M111" s="359" t="s">
        <v>6938</v>
      </c>
      <c r="N111" s="359" t="s">
        <v>7000</v>
      </c>
      <c r="O111" s="359" t="s">
        <v>6878</v>
      </c>
      <c r="P111" s="357"/>
      <c r="Q111" s="365"/>
      <c r="R111" s="365">
        <f>ROUNDUP(Table2[[#This Row],[Acres]],0)*Table2[[#This Row],[Winning Bid]]</f>
        <v>0</v>
      </c>
      <c r="S111" s="365">
        <f>ROUNDUP('Sale Notes'!$F111,0)*($Y$4+$Y$5)+$Y$3</f>
        <v>9130</v>
      </c>
      <c r="T111" s="365">
        <f>ROUNDUP('Sale Notes'!$F111,0)*('Sale Notes'!$Q111+$Y$5)+$Y$3</f>
        <v>4010</v>
      </c>
      <c r="U111" s="357"/>
    </row>
    <row r="112" spans="2:21" ht="128" x14ac:dyDescent="0.2">
      <c r="B112" s="357" t="s">
        <v>262</v>
      </c>
      <c r="C112" s="357"/>
      <c r="D112" s="358">
        <v>64</v>
      </c>
      <c r="E112" s="413">
        <v>44005</v>
      </c>
      <c r="F112" s="381">
        <v>1920</v>
      </c>
      <c r="G112" s="361" t="s">
        <v>180</v>
      </c>
      <c r="H112" s="361" t="s">
        <v>263</v>
      </c>
      <c r="I112" s="359"/>
      <c r="J112" s="386"/>
      <c r="K112" s="357" t="s">
        <v>1</v>
      </c>
      <c r="L112" s="359" t="s">
        <v>6875</v>
      </c>
      <c r="M112" s="359" t="s">
        <v>6925</v>
      </c>
      <c r="N112" s="359" t="s">
        <v>6984</v>
      </c>
      <c r="O112" s="359" t="s">
        <v>6878</v>
      </c>
      <c r="P112" s="357"/>
      <c r="Q112" s="365"/>
      <c r="R112" s="365">
        <f>ROUNDUP(Table2[[#This Row],[Acres]],0)*Table2[[#This Row],[Winning Bid]]</f>
        <v>0</v>
      </c>
      <c r="S112" s="365">
        <f>ROUNDUP('Sale Notes'!$F112,0)*($Y$4+$Y$5)+$Y$3</f>
        <v>6890</v>
      </c>
      <c r="T112" s="365">
        <f>ROUNDUP('Sale Notes'!$F112,0)*('Sale Notes'!$Q112+$Y$5)+$Y$3</f>
        <v>3050</v>
      </c>
      <c r="U112" s="357"/>
    </row>
    <row r="113" spans="2:21" ht="80" x14ac:dyDescent="0.2">
      <c r="B113" s="357" t="s">
        <v>264</v>
      </c>
      <c r="C113" s="357"/>
      <c r="D113" s="358">
        <v>65</v>
      </c>
      <c r="E113" s="413">
        <v>44005</v>
      </c>
      <c r="F113" s="381">
        <v>2400</v>
      </c>
      <c r="G113" s="361" t="s">
        <v>180</v>
      </c>
      <c r="H113" s="361" t="s">
        <v>265</v>
      </c>
      <c r="I113" s="359"/>
      <c r="J113" s="386"/>
      <c r="K113" s="357" t="s">
        <v>1</v>
      </c>
      <c r="L113" s="359" t="s">
        <v>6875</v>
      </c>
      <c r="M113" s="359" t="s">
        <v>6938</v>
      </c>
      <c r="N113" s="359" t="s">
        <v>7000</v>
      </c>
      <c r="O113" s="359" t="s">
        <v>6878</v>
      </c>
      <c r="P113" s="357"/>
      <c r="Q113" s="365"/>
      <c r="R113" s="365">
        <f>ROUNDUP(Table2[[#This Row],[Acres]],0)*Table2[[#This Row],[Winning Bid]]</f>
        <v>0</v>
      </c>
      <c r="S113" s="365">
        <f>ROUNDUP('Sale Notes'!$F113,0)*($Y$4+$Y$5)+$Y$3</f>
        <v>8570</v>
      </c>
      <c r="T113" s="365">
        <f>ROUNDUP('Sale Notes'!$F113,0)*('Sale Notes'!$Q113+$Y$5)+$Y$3</f>
        <v>3770</v>
      </c>
      <c r="U113" s="357"/>
    </row>
    <row r="114" spans="2:21" ht="80" x14ac:dyDescent="0.2">
      <c r="B114" s="357" t="s">
        <v>266</v>
      </c>
      <c r="C114" s="357"/>
      <c r="D114" s="358">
        <v>66</v>
      </c>
      <c r="E114" s="413">
        <v>44005</v>
      </c>
      <c r="F114" s="381">
        <v>1916.55</v>
      </c>
      <c r="G114" s="361" t="s">
        <v>171</v>
      </c>
      <c r="H114" s="361" t="s">
        <v>267</v>
      </c>
      <c r="I114" s="359"/>
      <c r="J114" s="386"/>
      <c r="K114" s="357" t="s">
        <v>1</v>
      </c>
      <c r="L114" s="359" t="s">
        <v>6875</v>
      </c>
      <c r="M114" s="359" t="s">
        <v>6881</v>
      </c>
      <c r="N114" s="359" t="s">
        <v>6984</v>
      </c>
      <c r="O114" s="359" t="s">
        <v>6878</v>
      </c>
      <c r="P114" s="357"/>
      <c r="Q114" s="365"/>
      <c r="R114" s="365">
        <f>ROUNDUP(Table2[[#This Row],[Acres]],0)*Table2[[#This Row],[Winning Bid]]</f>
        <v>0</v>
      </c>
      <c r="S114" s="365">
        <f>ROUNDUP('Sale Notes'!$F114,0)*($Y$4+$Y$5)+$Y$3</f>
        <v>6879.5</v>
      </c>
      <c r="T114" s="365">
        <f>ROUNDUP('Sale Notes'!$F114,0)*('Sale Notes'!$Q114+$Y$5)+$Y$3</f>
        <v>3045.5</v>
      </c>
      <c r="U114" s="357"/>
    </row>
    <row r="115" spans="2:21" ht="80" x14ac:dyDescent="0.2">
      <c r="B115" s="357" t="s">
        <v>268</v>
      </c>
      <c r="C115" s="357"/>
      <c r="D115" s="358">
        <v>67</v>
      </c>
      <c r="E115" s="413">
        <v>44005</v>
      </c>
      <c r="F115" s="381">
        <v>1199.92</v>
      </c>
      <c r="G115" s="361" t="s">
        <v>171</v>
      </c>
      <c r="H115" s="361" t="s">
        <v>269</v>
      </c>
      <c r="I115" s="359"/>
      <c r="J115" s="386"/>
      <c r="K115" s="357" t="s">
        <v>1</v>
      </c>
      <c r="L115" s="359" t="s">
        <v>6875</v>
      </c>
      <c r="M115" s="359" t="s">
        <v>6881</v>
      </c>
      <c r="N115" s="359" t="s">
        <v>6984</v>
      </c>
      <c r="O115" s="359" t="s">
        <v>6878</v>
      </c>
      <c r="P115" s="357"/>
      <c r="Q115" s="365"/>
      <c r="R115" s="365">
        <f>ROUNDUP(Table2[[#This Row],[Acres]],0)*Table2[[#This Row],[Winning Bid]]</f>
        <v>0</v>
      </c>
      <c r="S115" s="365">
        <f>ROUNDUP('Sale Notes'!$F115,0)*($Y$4+$Y$5)+$Y$3</f>
        <v>4370</v>
      </c>
      <c r="T115" s="365">
        <f>ROUNDUP('Sale Notes'!$F115,0)*('Sale Notes'!$Q115+$Y$5)+$Y$3</f>
        <v>1970</v>
      </c>
      <c r="U115" s="357"/>
    </row>
    <row r="116" spans="2:21" ht="80" x14ac:dyDescent="0.2">
      <c r="B116" s="357" t="s">
        <v>270</v>
      </c>
      <c r="C116" s="357"/>
      <c r="D116" s="358">
        <v>68</v>
      </c>
      <c r="E116" s="413">
        <v>44005</v>
      </c>
      <c r="F116" s="381">
        <v>1218.54</v>
      </c>
      <c r="G116" s="361" t="s">
        <v>171</v>
      </c>
      <c r="H116" s="361" t="s">
        <v>271</v>
      </c>
      <c r="I116" s="359"/>
      <c r="J116" s="386"/>
      <c r="K116" s="357" t="s">
        <v>1</v>
      </c>
      <c r="L116" s="359" t="s">
        <v>6875</v>
      </c>
      <c r="M116" s="359" t="s">
        <v>6881</v>
      </c>
      <c r="N116" s="359" t="s">
        <v>7002</v>
      </c>
      <c r="O116" s="359" t="s">
        <v>6878</v>
      </c>
      <c r="P116" s="357"/>
      <c r="Q116" s="365"/>
      <c r="R116" s="365">
        <f>ROUNDUP(Table2[[#This Row],[Acres]],0)*Table2[[#This Row],[Winning Bid]]</f>
        <v>0</v>
      </c>
      <c r="S116" s="365">
        <f>ROUNDUP('Sale Notes'!$F116,0)*($Y$4+$Y$5)+$Y$3</f>
        <v>4436.5</v>
      </c>
      <c r="T116" s="365">
        <f>ROUNDUP('Sale Notes'!$F116,0)*('Sale Notes'!$Q116+$Y$5)+$Y$3</f>
        <v>1998.5</v>
      </c>
      <c r="U116" s="357"/>
    </row>
    <row r="117" spans="2:21" ht="112" x14ac:dyDescent="0.2">
      <c r="B117" s="357" t="s">
        <v>272</v>
      </c>
      <c r="C117" s="357"/>
      <c r="D117" s="358">
        <v>69</v>
      </c>
      <c r="E117" s="413">
        <v>44005</v>
      </c>
      <c r="F117" s="381">
        <v>1764.88</v>
      </c>
      <c r="G117" s="361" t="s">
        <v>171</v>
      </c>
      <c r="H117" s="361" t="s">
        <v>273</v>
      </c>
      <c r="I117" s="359"/>
      <c r="J117" s="386"/>
      <c r="K117" s="357" t="s">
        <v>1</v>
      </c>
      <c r="L117" s="359" t="s">
        <v>6875</v>
      </c>
      <c r="M117" s="359" t="s">
        <v>6881</v>
      </c>
      <c r="N117" s="359" t="s">
        <v>6984</v>
      </c>
      <c r="O117" s="359" t="s">
        <v>6878</v>
      </c>
      <c r="P117" s="357"/>
      <c r="Q117" s="365"/>
      <c r="R117" s="365">
        <f>ROUNDUP(Table2[[#This Row],[Acres]],0)*Table2[[#This Row],[Winning Bid]]</f>
        <v>0</v>
      </c>
      <c r="S117" s="365">
        <f>ROUNDUP('Sale Notes'!$F117,0)*($Y$4+$Y$5)+$Y$3</f>
        <v>6347.5</v>
      </c>
      <c r="T117" s="365">
        <f>ROUNDUP('Sale Notes'!$F117,0)*('Sale Notes'!$Q117+$Y$5)+$Y$3</f>
        <v>2817.5</v>
      </c>
      <c r="U117" s="357"/>
    </row>
    <row r="118" spans="2:21" ht="80" x14ac:dyDescent="0.2">
      <c r="B118" s="357" t="s">
        <v>274</v>
      </c>
      <c r="C118" s="357"/>
      <c r="D118" s="358">
        <v>113</v>
      </c>
      <c r="E118" s="413">
        <v>44005</v>
      </c>
      <c r="F118" s="381">
        <v>1080</v>
      </c>
      <c r="G118" s="361" t="s">
        <v>171</v>
      </c>
      <c r="H118" s="361" t="s">
        <v>275</v>
      </c>
      <c r="I118" s="359"/>
      <c r="J118" s="386"/>
      <c r="K118" s="357" t="s">
        <v>1</v>
      </c>
      <c r="L118" s="359" t="s">
        <v>6875</v>
      </c>
      <c r="M118" s="359" t="s">
        <v>6881</v>
      </c>
      <c r="N118" s="359" t="s">
        <v>7002</v>
      </c>
      <c r="O118" s="359" t="s">
        <v>6878</v>
      </c>
      <c r="P118" s="357"/>
      <c r="Q118" s="365"/>
      <c r="R118" s="365">
        <f>ROUNDUP(Table2[[#This Row],[Acres]],0)*Table2[[#This Row],[Winning Bid]]</f>
        <v>0</v>
      </c>
      <c r="S118" s="365">
        <f>ROUNDUP('Sale Notes'!$F118,0)*($Y$4+$Y$5)+$Y$3</f>
        <v>3950</v>
      </c>
      <c r="T118" s="365">
        <f>ROUNDUP('Sale Notes'!$F118,0)*('Sale Notes'!$Q118+$Y$5)+$Y$3</f>
        <v>1790</v>
      </c>
      <c r="U118" s="357"/>
    </row>
    <row r="119" spans="2:21" ht="96" x14ac:dyDescent="0.2">
      <c r="B119" s="357" t="s">
        <v>276</v>
      </c>
      <c r="C119" s="357"/>
      <c r="D119" s="358">
        <v>71</v>
      </c>
      <c r="E119" s="413">
        <v>44005</v>
      </c>
      <c r="F119" s="381">
        <v>2119.92</v>
      </c>
      <c r="G119" s="361" t="s">
        <v>277</v>
      </c>
      <c r="H119" s="361" t="s">
        <v>278</v>
      </c>
      <c r="I119" s="359"/>
      <c r="J119" s="386"/>
      <c r="K119" s="357" t="s">
        <v>1</v>
      </c>
      <c r="L119" s="359" t="s">
        <v>6875</v>
      </c>
      <c r="M119" s="359" t="s">
        <v>6881</v>
      </c>
      <c r="N119" s="359" t="s">
        <v>6984</v>
      </c>
      <c r="O119" s="359" t="s">
        <v>6878</v>
      </c>
      <c r="P119" s="357"/>
      <c r="Q119" s="365"/>
      <c r="R119" s="365">
        <f>ROUNDUP(Table2[[#This Row],[Acres]],0)*Table2[[#This Row],[Winning Bid]]</f>
        <v>0</v>
      </c>
      <c r="S119" s="365">
        <f>ROUNDUP('Sale Notes'!$F119,0)*($Y$4+$Y$5)+$Y$3</f>
        <v>7590</v>
      </c>
      <c r="T119" s="365">
        <f>ROUNDUP('Sale Notes'!$F119,0)*('Sale Notes'!$Q119+$Y$5)+$Y$3</f>
        <v>3350</v>
      </c>
      <c r="U119" s="357"/>
    </row>
    <row r="120" spans="2:21" ht="32" x14ac:dyDescent="0.2">
      <c r="B120" s="357" t="s">
        <v>279</v>
      </c>
      <c r="C120" s="357"/>
      <c r="D120" s="358">
        <v>70</v>
      </c>
      <c r="E120" s="413">
        <v>44005</v>
      </c>
      <c r="F120" s="381">
        <v>640</v>
      </c>
      <c r="G120" s="361" t="s">
        <v>180</v>
      </c>
      <c r="H120" s="361" t="s">
        <v>280</v>
      </c>
      <c r="I120" s="359"/>
      <c r="J120" s="386"/>
      <c r="K120" s="357" t="s">
        <v>1</v>
      </c>
      <c r="L120" s="359" t="s">
        <v>6875</v>
      </c>
      <c r="M120" s="359" t="s">
        <v>6881</v>
      </c>
      <c r="N120" s="359" t="s">
        <v>6984</v>
      </c>
      <c r="O120" s="359" t="s">
        <v>6878</v>
      </c>
      <c r="P120" s="357"/>
      <c r="Q120" s="365"/>
      <c r="R120" s="365">
        <f>ROUNDUP(Table2[[#This Row],[Acres]],0)*Table2[[#This Row],[Winning Bid]]</f>
        <v>0</v>
      </c>
      <c r="S120" s="365">
        <f>ROUNDUP('Sale Notes'!$F120,0)*($Y$4+$Y$5)+$Y$3</f>
        <v>2410</v>
      </c>
      <c r="T120" s="365">
        <f>ROUNDUP('Sale Notes'!$F120,0)*('Sale Notes'!$Q120+$Y$5)+$Y$3</f>
        <v>1130</v>
      </c>
      <c r="U120" s="357"/>
    </row>
    <row r="121" spans="2:21" ht="256" x14ac:dyDescent="0.2">
      <c r="B121" s="357" t="s">
        <v>281</v>
      </c>
      <c r="C121" s="357"/>
      <c r="D121" s="358">
        <v>72</v>
      </c>
      <c r="E121" s="413">
        <v>44005</v>
      </c>
      <c r="F121" s="381">
        <v>1705.36</v>
      </c>
      <c r="G121" s="361" t="s">
        <v>164</v>
      </c>
      <c r="H121" s="361" t="s">
        <v>282</v>
      </c>
      <c r="I121" s="359"/>
      <c r="J121" s="386" t="s">
        <v>7026</v>
      </c>
      <c r="K121" s="357" t="s">
        <v>3</v>
      </c>
      <c r="L121" s="359" t="s">
        <v>6875</v>
      </c>
      <c r="M121" s="359" t="s">
        <v>6926</v>
      </c>
      <c r="N121" s="359" t="s">
        <v>7003</v>
      </c>
      <c r="O121" s="359" t="s">
        <v>6939</v>
      </c>
      <c r="P121" s="357"/>
      <c r="Q121" s="365"/>
      <c r="R121" s="365">
        <f>ROUNDUP(Table2[[#This Row],[Acres]],0)*Table2[[#This Row],[Winning Bid]]</f>
        <v>0</v>
      </c>
      <c r="S121" s="365">
        <f>ROUNDUP('Sale Notes'!$F121,0)*($Y$4+$Y$5)+$Y$3</f>
        <v>6141</v>
      </c>
      <c r="T121" s="365">
        <f>ROUNDUP('Sale Notes'!$F121,0)*('Sale Notes'!$Q121+$Y$5)+$Y$3</f>
        <v>2729</v>
      </c>
      <c r="U121" s="357"/>
    </row>
    <row r="122" spans="2:21" ht="256" x14ac:dyDescent="0.2">
      <c r="B122" s="357" t="s">
        <v>283</v>
      </c>
      <c r="C122" s="357"/>
      <c r="D122" s="358">
        <v>73</v>
      </c>
      <c r="E122" s="413">
        <v>44005</v>
      </c>
      <c r="F122" s="381">
        <v>1153.4100000000001</v>
      </c>
      <c r="G122" s="361" t="s">
        <v>164</v>
      </c>
      <c r="H122" s="361" t="s">
        <v>284</v>
      </c>
      <c r="I122" s="359"/>
      <c r="J122" s="386" t="s">
        <v>7026</v>
      </c>
      <c r="K122" s="357" t="s">
        <v>3</v>
      </c>
      <c r="L122" s="359" t="s">
        <v>6941</v>
      </c>
      <c r="M122" s="359" t="s">
        <v>6927</v>
      </c>
      <c r="N122" s="359" t="s">
        <v>7004</v>
      </c>
      <c r="O122" s="359" t="s">
        <v>6940</v>
      </c>
      <c r="P122" s="357"/>
      <c r="Q122" s="365"/>
      <c r="R122" s="365">
        <f>ROUNDUP(Table2[[#This Row],[Acres]],0)*Table2[[#This Row],[Winning Bid]]</f>
        <v>0</v>
      </c>
      <c r="S122" s="365">
        <f>ROUNDUP('Sale Notes'!$F122,0)*($Y$4+$Y$5)+$Y$3</f>
        <v>4209</v>
      </c>
      <c r="T122" s="365">
        <f>ROUNDUP('Sale Notes'!$F122,0)*('Sale Notes'!$Q122+$Y$5)+$Y$3</f>
        <v>1901</v>
      </c>
      <c r="U122" s="357"/>
    </row>
    <row r="123" spans="2:21" ht="256" x14ac:dyDescent="0.2">
      <c r="B123" s="357" t="s">
        <v>285</v>
      </c>
      <c r="C123" s="357"/>
      <c r="D123" s="358">
        <v>74</v>
      </c>
      <c r="E123" s="413">
        <v>44005</v>
      </c>
      <c r="F123" s="381">
        <v>2560</v>
      </c>
      <c r="G123" s="361" t="s">
        <v>164</v>
      </c>
      <c r="H123" s="361" t="s">
        <v>286</v>
      </c>
      <c r="I123" s="359"/>
      <c r="J123" s="386" t="s">
        <v>7026</v>
      </c>
      <c r="K123" s="357" t="s">
        <v>3</v>
      </c>
      <c r="L123" s="359" t="s">
        <v>6942</v>
      </c>
      <c r="M123" s="359" t="s">
        <v>6928</v>
      </c>
      <c r="N123" s="359" t="s">
        <v>7005</v>
      </c>
      <c r="O123" s="359" t="s">
        <v>6909</v>
      </c>
      <c r="P123" s="357"/>
      <c r="Q123" s="365"/>
      <c r="R123" s="365">
        <f>ROUNDUP(Table2[[#This Row],[Acres]],0)*Table2[[#This Row],[Winning Bid]]</f>
        <v>0</v>
      </c>
      <c r="S123" s="365">
        <f>ROUNDUP('Sale Notes'!$F123,0)*($Y$4+$Y$5)+$Y$3</f>
        <v>9130</v>
      </c>
      <c r="T123" s="365">
        <f>ROUNDUP('Sale Notes'!$F123,0)*('Sale Notes'!$Q123+$Y$5)+$Y$3</f>
        <v>4010</v>
      </c>
      <c r="U123" s="357"/>
    </row>
    <row r="124" spans="2:21" ht="272" x14ac:dyDescent="0.2">
      <c r="B124" s="382" t="s">
        <v>287</v>
      </c>
      <c r="C124" s="357"/>
      <c r="D124" s="358">
        <v>75</v>
      </c>
      <c r="E124" s="413">
        <v>44005</v>
      </c>
      <c r="F124" s="381">
        <v>790.81</v>
      </c>
      <c r="G124" s="361" t="s">
        <v>288</v>
      </c>
      <c r="H124" s="361" t="s">
        <v>289</v>
      </c>
      <c r="I124" s="359"/>
      <c r="J124" s="386" t="s">
        <v>618</v>
      </c>
      <c r="K124" s="357" t="s">
        <v>1</v>
      </c>
      <c r="L124" s="359" t="s">
        <v>6875</v>
      </c>
      <c r="M124" s="359" t="s">
        <v>6881</v>
      </c>
      <c r="N124" s="359" t="s">
        <v>7010</v>
      </c>
      <c r="O124" s="362" t="s">
        <v>6943</v>
      </c>
      <c r="P124" s="357"/>
      <c r="Q124" s="365"/>
      <c r="R124" s="365">
        <f>ROUNDUP(Table2[[#This Row],[Acres]],0)*Table2[[#This Row],[Winning Bid]]</f>
        <v>0</v>
      </c>
      <c r="S124" s="365">
        <f>ROUNDUP('Sale Notes'!$F124,0)*($Y$4+$Y$5)+$Y$3</f>
        <v>2938.5</v>
      </c>
      <c r="T124" s="365">
        <f>ROUNDUP('Sale Notes'!$F124,0)*('Sale Notes'!$Q124+$Y$5)+$Y$3</f>
        <v>1356.5</v>
      </c>
      <c r="U124" s="357"/>
    </row>
    <row r="125" spans="2:21" ht="272" x14ac:dyDescent="0.2">
      <c r="B125" s="382" t="s">
        <v>290</v>
      </c>
      <c r="C125" s="357"/>
      <c r="D125" s="358">
        <v>76</v>
      </c>
      <c r="E125" s="413">
        <v>44005</v>
      </c>
      <c r="F125" s="381">
        <v>920</v>
      </c>
      <c r="G125" s="361" t="s">
        <v>288</v>
      </c>
      <c r="H125" s="361" t="s">
        <v>291</v>
      </c>
      <c r="I125" s="359"/>
      <c r="J125" s="386"/>
      <c r="K125" s="357" t="s">
        <v>1</v>
      </c>
      <c r="L125" s="359" t="s">
        <v>6875</v>
      </c>
      <c r="M125" s="359" t="s">
        <v>6881</v>
      </c>
      <c r="N125" s="359" t="s">
        <v>7009</v>
      </c>
      <c r="O125" s="362" t="s">
        <v>6943</v>
      </c>
      <c r="P125" s="357"/>
      <c r="Q125" s="365"/>
      <c r="R125" s="365">
        <f>ROUNDUP(Table2[[#This Row],[Acres]],0)*Table2[[#This Row],[Winning Bid]]</f>
        <v>0</v>
      </c>
      <c r="S125" s="365">
        <f>ROUNDUP('Sale Notes'!$F125,0)*($Y$4+$Y$5)+$Y$3</f>
        <v>3390</v>
      </c>
      <c r="T125" s="365">
        <f>ROUNDUP('Sale Notes'!$F125,0)*('Sale Notes'!$Q125+$Y$5)+$Y$3</f>
        <v>1550</v>
      </c>
      <c r="U125" s="357"/>
    </row>
    <row r="126" spans="2:21" ht="380" x14ac:dyDescent="0.2">
      <c r="B126" s="382" t="s">
        <v>292</v>
      </c>
      <c r="C126" s="357"/>
      <c r="D126" s="358">
        <v>77</v>
      </c>
      <c r="E126" s="413">
        <v>44005</v>
      </c>
      <c r="F126" s="381">
        <v>640</v>
      </c>
      <c r="G126" s="361" t="s">
        <v>288</v>
      </c>
      <c r="H126" s="361" t="s">
        <v>293</v>
      </c>
      <c r="I126" s="359"/>
      <c r="J126" s="386"/>
      <c r="K126" s="357" t="s">
        <v>1</v>
      </c>
      <c r="L126" s="359" t="s">
        <v>6875</v>
      </c>
      <c r="M126" s="359" t="s">
        <v>6881</v>
      </c>
      <c r="N126" s="359" t="s">
        <v>7011</v>
      </c>
      <c r="O126" s="362" t="s">
        <v>6943</v>
      </c>
      <c r="P126" s="357"/>
      <c r="Q126" s="365"/>
      <c r="R126" s="365">
        <f>ROUNDUP(Table2[[#This Row],[Acres]],0)*Table2[[#This Row],[Winning Bid]]</f>
        <v>0</v>
      </c>
      <c r="S126" s="365">
        <f>ROUNDUP('Sale Notes'!$F126,0)*($Y$4+$Y$5)+$Y$3</f>
        <v>2410</v>
      </c>
      <c r="T126" s="365">
        <f>ROUNDUP('Sale Notes'!$F126,0)*('Sale Notes'!$Q126+$Y$5)+$Y$3</f>
        <v>1130</v>
      </c>
      <c r="U126" s="357"/>
    </row>
    <row r="127" spans="2:21" ht="395" x14ac:dyDescent="0.2">
      <c r="B127" s="382" t="s">
        <v>294</v>
      </c>
      <c r="C127" s="357"/>
      <c r="D127" s="358">
        <v>114</v>
      </c>
      <c r="E127" s="413">
        <v>44005</v>
      </c>
      <c r="F127" s="381">
        <v>320</v>
      </c>
      <c r="G127" s="361" t="s">
        <v>288</v>
      </c>
      <c r="H127" s="361" t="s">
        <v>295</v>
      </c>
      <c r="I127" s="359"/>
      <c r="J127" s="386"/>
      <c r="K127" s="357" t="s">
        <v>1</v>
      </c>
      <c r="L127" s="359" t="s">
        <v>6875</v>
      </c>
      <c r="M127" s="359" t="s">
        <v>6881</v>
      </c>
      <c r="N127" s="359" t="s">
        <v>7012</v>
      </c>
      <c r="O127" s="362" t="s">
        <v>6943</v>
      </c>
      <c r="P127" s="357"/>
      <c r="Q127" s="365"/>
      <c r="R127" s="365">
        <f>ROUNDUP(Table2[[#This Row],[Acres]],0)*Table2[[#This Row],[Winning Bid]]</f>
        <v>0</v>
      </c>
      <c r="S127" s="365">
        <f>ROUNDUP('Sale Notes'!$F127,0)*($Y$4+$Y$5)+$Y$3</f>
        <v>1290</v>
      </c>
      <c r="T127" s="365">
        <f>ROUNDUP('Sale Notes'!$F127,0)*('Sale Notes'!$Q127+$Y$5)+$Y$3</f>
        <v>650</v>
      </c>
      <c r="U127" s="357"/>
    </row>
    <row r="128" spans="2:21" ht="335" x14ac:dyDescent="0.2">
      <c r="B128" s="382" t="s">
        <v>296</v>
      </c>
      <c r="C128" s="357"/>
      <c r="D128" s="358">
        <v>78</v>
      </c>
      <c r="E128" s="413">
        <v>44005</v>
      </c>
      <c r="F128" s="381">
        <v>320</v>
      </c>
      <c r="G128" s="361" t="s">
        <v>288</v>
      </c>
      <c r="H128" s="361" t="s">
        <v>297</v>
      </c>
      <c r="I128" s="359"/>
      <c r="J128" s="386"/>
      <c r="K128" s="357" t="s">
        <v>1</v>
      </c>
      <c r="L128" s="359" t="s">
        <v>6875</v>
      </c>
      <c r="M128" s="359" t="s">
        <v>6881</v>
      </c>
      <c r="N128" s="359" t="s">
        <v>7013</v>
      </c>
      <c r="O128" s="362" t="s">
        <v>6943</v>
      </c>
      <c r="P128" s="357"/>
      <c r="Q128" s="365"/>
      <c r="R128" s="365">
        <f>ROUNDUP(Table2[[#This Row],[Acres]],0)*Table2[[#This Row],[Winning Bid]]</f>
        <v>0</v>
      </c>
      <c r="S128" s="365">
        <f>ROUNDUP('Sale Notes'!$F128,0)*($Y$4+$Y$5)+$Y$3</f>
        <v>1290</v>
      </c>
      <c r="T128" s="365">
        <f>ROUNDUP('Sale Notes'!$F128,0)*('Sale Notes'!$Q128+$Y$5)+$Y$3</f>
        <v>650</v>
      </c>
      <c r="U128" s="357"/>
    </row>
    <row r="129" spans="2:21" ht="112" x14ac:dyDescent="0.2">
      <c r="B129" s="357" t="s">
        <v>298</v>
      </c>
      <c r="C129" s="357"/>
      <c r="D129" s="358">
        <v>79</v>
      </c>
      <c r="E129" s="413">
        <v>44005</v>
      </c>
      <c r="F129" s="381">
        <v>90.78</v>
      </c>
      <c r="G129" s="361" t="s">
        <v>288</v>
      </c>
      <c r="H129" s="361" t="s">
        <v>299</v>
      </c>
      <c r="I129" s="359"/>
      <c r="J129" s="386"/>
      <c r="K129" s="357" t="s">
        <v>1</v>
      </c>
      <c r="L129" s="359" t="s">
        <v>6875</v>
      </c>
      <c r="M129" s="359" t="s">
        <v>6944</v>
      </c>
      <c r="N129" s="359" t="s">
        <v>7006</v>
      </c>
      <c r="O129" s="359" t="s">
        <v>6878</v>
      </c>
      <c r="P129" s="357"/>
      <c r="Q129" s="365"/>
      <c r="R129" s="365">
        <f>ROUNDUP(Table2[[#This Row],[Acres]],0)*Table2[[#This Row],[Winning Bid]]</f>
        <v>0</v>
      </c>
      <c r="S129" s="365">
        <f>ROUNDUP('Sale Notes'!$F129,0)*($Y$4+$Y$5)+$Y$3</f>
        <v>488.5</v>
      </c>
      <c r="T129" s="365">
        <f>ROUNDUP('Sale Notes'!$F129,0)*('Sale Notes'!$Q129+$Y$5)+$Y$3</f>
        <v>306.5</v>
      </c>
      <c r="U129" s="357"/>
    </row>
    <row r="130" spans="2:21" ht="160" x14ac:dyDescent="0.2">
      <c r="B130" s="357" t="s">
        <v>300</v>
      </c>
      <c r="C130" s="357"/>
      <c r="D130" s="358">
        <v>81</v>
      </c>
      <c r="E130" s="413">
        <v>44005</v>
      </c>
      <c r="F130" s="381">
        <v>2488.7199999999998</v>
      </c>
      <c r="G130" s="361" t="s">
        <v>164</v>
      </c>
      <c r="H130" s="361" t="s">
        <v>301</v>
      </c>
      <c r="I130" s="359"/>
      <c r="J130" s="386"/>
      <c r="K130" s="357" t="s">
        <v>1</v>
      </c>
      <c r="L130" s="359" t="s">
        <v>6875</v>
      </c>
      <c r="M130" s="359" t="s">
        <v>6929</v>
      </c>
      <c r="N130" s="359" t="s">
        <v>7014</v>
      </c>
      <c r="O130" s="359" t="s">
        <v>6878</v>
      </c>
      <c r="P130" s="357"/>
      <c r="Q130" s="365"/>
      <c r="R130" s="365">
        <f>ROUNDUP(Table2[[#This Row],[Acres]],0)*Table2[[#This Row],[Winning Bid]]</f>
        <v>0</v>
      </c>
      <c r="S130" s="365">
        <f>ROUNDUP('Sale Notes'!$F130,0)*($Y$4+$Y$5)+$Y$3</f>
        <v>8881.5</v>
      </c>
      <c r="T130" s="365">
        <f>ROUNDUP('Sale Notes'!$F130,0)*('Sale Notes'!$Q130+$Y$5)+$Y$3</f>
        <v>3903.5</v>
      </c>
      <c r="U130" s="357"/>
    </row>
    <row r="131" spans="2:21" ht="160" x14ac:dyDescent="0.2">
      <c r="B131" s="357" t="s">
        <v>302</v>
      </c>
      <c r="C131" s="357"/>
      <c r="D131" s="358">
        <v>80</v>
      </c>
      <c r="E131" s="413">
        <v>44005</v>
      </c>
      <c r="F131" s="381">
        <v>2089.5100000000002</v>
      </c>
      <c r="G131" s="361" t="s">
        <v>164</v>
      </c>
      <c r="H131" s="361" t="s">
        <v>303</v>
      </c>
      <c r="I131" s="359"/>
      <c r="J131" s="386"/>
      <c r="K131" s="357" t="s">
        <v>1</v>
      </c>
      <c r="L131" s="359" t="s">
        <v>6875</v>
      </c>
      <c r="M131" s="359" t="s">
        <v>6945</v>
      </c>
      <c r="N131" s="359" t="s">
        <v>7007</v>
      </c>
      <c r="O131" s="359" t="s">
        <v>6878</v>
      </c>
      <c r="P131" s="357"/>
      <c r="Q131" s="365"/>
      <c r="R131" s="365">
        <f>ROUNDUP(Table2[[#This Row],[Acres]],0)*Table2[[#This Row],[Winning Bid]]</f>
        <v>0</v>
      </c>
      <c r="S131" s="365">
        <f>ROUNDUP('Sale Notes'!$F131,0)*($Y$4+$Y$5)+$Y$3</f>
        <v>7485</v>
      </c>
      <c r="T131" s="365">
        <f>ROUNDUP('Sale Notes'!$F131,0)*('Sale Notes'!$Q131+$Y$5)+$Y$3</f>
        <v>3305</v>
      </c>
      <c r="U131" s="357"/>
    </row>
    <row r="132" spans="2:21" ht="112" x14ac:dyDescent="0.2">
      <c r="B132" s="357" t="s">
        <v>304</v>
      </c>
      <c r="C132" s="357"/>
      <c r="D132" s="358">
        <v>85</v>
      </c>
      <c r="E132" s="413">
        <v>44005</v>
      </c>
      <c r="F132" s="381">
        <v>2560</v>
      </c>
      <c r="G132" s="361" t="s">
        <v>164</v>
      </c>
      <c r="H132" s="361" t="s">
        <v>305</v>
      </c>
      <c r="I132" s="359"/>
      <c r="J132" s="386"/>
      <c r="K132" s="357" t="s">
        <v>1</v>
      </c>
      <c r="L132" s="359" t="s">
        <v>6875</v>
      </c>
      <c r="M132" s="359" t="s">
        <v>6929</v>
      </c>
      <c r="N132" s="359" t="s">
        <v>7008</v>
      </c>
      <c r="O132" s="359" t="s">
        <v>6878</v>
      </c>
      <c r="P132" s="357"/>
      <c r="Q132" s="365"/>
      <c r="R132" s="365">
        <f>ROUNDUP(Table2[[#This Row],[Acres]],0)*Table2[[#This Row],[Winning Bid]]</f>
        <v>0</v>
      </c>
      <c r="S132" s="365">
        <f>ROUNDUP('Sale Notes'!$F132,0)*($Y$4+$Y$5)+$Y$3</f>
        <v>9130</v>
      </c>
      <c r="T132" s="365">
        <f>ROUNDUP('Sale Notes'!$F132,0)*('Sale Notes'!$Q132+$Y$5)+$Y$3</f>
        <v>4010</v>
      </c>
      <c r="U132" s="357"/>
    </row>
    <row r="133" spans="2:21" ht="208" x14ac:dyDescent="0.2">
      <c r="B133" s="357" t="s">
        <v>306</v>
      </c>
      <c r="C133" s="357"/>
      <c r="D133" s="358">
        <v>115</v>
      </c>
      <c r="E133" s="413">
        <v>44005</v>
      </c>
      <c r="F133" s="381">
        <v>1468.68</v>
      </c>
      <c r="G133" s="361" t="s">
        <v>307</v>
      </c>
      <c r="H133" s="361" t="s">
        <v>308</v>
      </c>
      <c r="I133" s="359"/>
      <c r="J133" s="386"/>
      <c r="K133" s="357" t="s">
        <v>1</v>
      </c>
      <c r="L133" s="359" t="s">
        <v>6875</v>
      </c>
      <c r="M133" s="359" t="s">
        <v>6930</v>
      </c>
      <c r="N133" s="359" t="s">
        <v>7015</v>
      </c>
      <c r="O133" s="359" t="s">
        <v>6878</v>
      </c>
      <c r="P133" s="357"/>
      <c r="Q133" s="365"/>
      <c r="R133" s="365">
        <f>ROUNDUP(Table2[[#This Row],[Acres]],0)*Table2[[#This Row],[Winning Bid]]</f>
        <v>0</v>
      </c>
      <c r="S133" s="365">
        <f>ROUNDUP('Sale Notes'!$F133,0)*($Y$4+$Y$5)+$Y$3</f>
        <v>5311.5</v>
      </c>
      <c r="T133" s="365">
        <f>ROUNDUP('Sale Notes'!$F133,0)*('Sale Notes'!$Q133+$Y$5)+$Y$3</f>
        <v>2373.5</v>
      </c>
      <c r="U133" s="357"/>
    </row>
    <row r="134" spans="2:21" ht="176" x14ac:dyDescent="0.2">
      <c r="B134" s="357" t="s">
        <v>309</v>
      </c>
      <c r="C134" s="357"/>
      <c r="D134" s="358">
        <v>116</v>
      </c>
      <c r="E134" s="413">
        <v>44005</v>
      </c>
      <c r="F134" s="381">
        <v>1396.25</v>
      </c>
      <c r="G134" s="361" t="s">
        <v>307</v>
      </c>
      <c r="H134" s="361" t="s">
        <v>310</v>
      </c>
      <c r="I134" s="359"/>
      <c r="J134" s="386"/>
      <c r="K134" s="357" t="s">
        <v>1</v>
      </c>
      <c r="L134" s="359" t="s">
        <v>6875</v>
      </c>
      <c r="M134" s="359" t="s">
        <v>6930</v>
      </c>
      <c r="N134" s="359" t="s">
        <v>7016</v>
      </c>
      <c r="O134" s="359" t="s">
        <v>6878</v>
      </c>
      <c r="P134" s="357"/>
      <c r="Q134" s="365"/>
      <c r="R134" s="365">
        <f>ROUNDUP(Table2[[#This Row],[Acres]],0)*Table2[[#This Row],[Winning Bid]]</f>
        <v>0</v>
      </c>
      <c r="S134" s="365">
        <f>ROUNDUP('Sale Notes'!$F134,0)*($Y$4+$Y$5)+$Y$3</f>
        <v>5059.5</v>
      </c>
      <c r="T134" s="365">
        <f>ROUNDUP('Sale Notes'!$F134,0)*('Sale Notes'!$Q134+$Y$5)+$Y$3</f>
        <v>2265.5</v>
      </c>
      <c r="U134" s="357"/>
    </row>
    <row r="135" spans="2:21" ht="176" x14ac:dyDescent="0.2">
      <c r="B135" s="357" t="s">
        <v>311</v>
      </c>
      <c r="C135" s="357"/>
      <c r="D135" s="358">
        <v>82</v>
      </c>
      <c r="E135" s="413">
        <v>44005</v>
      </c>
      <c r="F135" s="381">
        <v>1000</v>
      </c>
      <c r="G135" s="361" t="s">
        <v>312</v>
      </c>
      <c r="H135" s="361" t="s">
        <v>313</v>
      </c>
      <c r="I135" s="359"/>
      <c r="J135" s="386"/>
      <c r="K135" s="357" t="s">
        <v>1</v>
      </c>
      <c r="L135" s="359" t="s">
        <v>6875</v>
      </c>
      <c r="M135" s="359" t="s">
        <v>6931</v>
      </c>
      <c r="N135" s="359" t="s">
        <v>7017</v>
      </c>
      <c r="O135" s="359" t="s">
        <v>6878</v>
      </c>
      <c r="P135" s="357"/>
      <c r="Q135" s="365"/>
      <c r="R135" s="365">
        <f>ROUNDUP(Table2[[#This Row],[Acres]],0)*Table2[[#This Row],[Winning Bid]]</f>
        <v>0</v>
      </c>
      <c r="S135" s="365">
        <f>ROUNDUP('Sale Notes'!$F135,0)*($Y$4+$Y$5)+$Y$3</f>
        <v>3670</v>
      </c>
      <c r="T135" s="365">
        <f>ROUNDUP('Sale Notes'!$F135,0)*('Sale Notes'!$Q135+$Y$5)+$Y$3</f>
        <v>1670</v>
      </c>
      <c r="U135" s="357"/>
    </row>
    <row r="136" spans="2:21" ht="160" x14ac:dyDescent="0.2">
      <c r="B136" s="357" t="s">
        <v>314</v>
      </c>
      <c r="C136" s="357"/>
      <c r="D136" s="358">
        <v>117</v>
      </c>
      <c r="E136" s="413">
        <v>44005</v>
      </c>
      <c r="F136" s="381">
        <v>2090.33</v>
      </c>
      <c r="G136" s="361" t="s">
        <v>315</v>
      </c>
      <c r="H136" s="361" t="s">
        <v>316</v>
      </c>
      <c r="I136" s="359"/>
      <c r="J136" s="386"/>
      <c r="K136" s="357" t="s">
        <v>1</v>
      </c>
      <c r="L136" s="359" t="s">
        <v>6875</v>
      </c>
      <c r="M136" s="359" t="s">
        <v>6932</v>
      </c>
      <c r="N136" s="359" t="s">
        <v>7018</v>
      </c>
      <c r="O136" s="359" t="s">
        <v>6946</v>
      </c>
      <c r="P136" s="357"/>
      <c r="Q136" s="365"/>
      <c r="R136" s="365">
        <f>ROUNDUP(Table2[[#This Row],[Acres]],0)*Table2[[#This Row],[Winning Bid]]</f>
        <v>0</v>
      </c>
      <c r="S136" s="365">
        <f>ROUNDUP('Sale Notes'!$F136,0)*($Y$4+$Y$5)+$Y$3</f>
        <v>7488.5</v>
      </c>
      <c r="T136" s="365">
        <f>ROUNDUP('Sale Notes'!$F136,0)*('Sale Notes'!$Q136+$Y$5)+$Y$3</f>
        <v>3306.5</v>
      </c>
      <c r="U136" s="357"/>
    </row>
    <row r="137" spans="2:21" ht="112" x14ac:dyDescent="0.2">
      <c r="B137" s="357" t="s">
        <v>317</v>
      </c>
      <c r="C137" s="357"/>
      <c r="D137" s="358">
        <v>83</v>
      </c>
      <c r="E137" s="413">
        <v>44005</v>
      </c>
      <c r="F137" s="381">
        <v>2206.41</v>
      </c>
      <c r="G137" s="361" t="s">
        <v>315</v>
      </c>
      <c r="H137" s="361" t="s">
        <v>318</v>
      </c>
      <c r="I137" s="359"/>
      <c r="J137" s="386"/>
      <c r="K137" s="357" t="s">
        <v>1</v>
      </c>
      <c r="L137" s="359" t="s">
        <v>6875</v>
      </c>
      <c r="M137" s="359" t="s">
        <v>6933</v>
      </c>
      <c r="N137" s="359" t="s">
        <v>7019</v>
      </c>
      <c r="O137" s="359" t="s">
        <v>6878</v>
      </c>
      <c r="P137" s="357"/>
      <c r="Q137" s="365"/>
      <c r="R137" s="365">
        <f>ROUNDUP(Table2[[#This Row],[Acres]],0)*Table2[[#This Row],[Winning Bid]]</f>
        <v>0</v>
      </c>
      <c r="S137" s="365">
        <f>ROUNDUP('Sale Notes'!$F137,0)*($Y$4+$Y$5)+$Y$3</f>
        <v>7894.5</v>
      </c>
      <c r="T137" s="365">
        <f>ROUNDUP('Sale Notes'!$F137,0)*('Sale Notes'!$Q137+$Y$5)+$Y$3</f>
        <v>3480.5</v>
      </c>
      <c r="U137" s="357"/>
    </row>
    <row r="138" spans="2:21" ht="144" x14ac:dyDescent="0.2">
      <c r="B138" s="357" t="s">
        <v>319</v>
      </c>
      <c r="C138" s="357"/>
      <c r="D138" s="358">
        <v>86</v>
      </c>
      <c r="E138" s="413">
        <v>44005</v>
      </c>
      <c r="F138" s="381">
        <v>840</v>
      </c>
      <c r="G138" s="361" t="s">
        <v>315</v>
      </c>
      <c r="H138" s="361" t="s">
        <v>320</v>
      </c>
      <c r="I138" s="359"/>
      <c r="J138" s="386"/>
      <c r="K138" s="357" t="s">
        <v>1</v>
      </c>
      <c r="L138" s="359" t="s">
        <v>6875</v>
      </c>
      <c r="M138" s="359" t="s">
        <v>6934</v>
      </c>
      <c r="N138" s="359" t="s">
        <v>7019</v>
      </c>
      <c r="O138" s="359" t="s">
        <v>6878</v>
      </c>
      <c r="P138" s="357"/>
      <c r="Q138" s="365"/>
      <c r="R138" s="365">
        <f>ROUNDUP(Table2[[#This Row],[Acres]],0)*Table2[[#This Row],[Winning Bid]]</f>
        <v>0</v>
      </c>
      <c r="S138" s="365">
        <f>ROUNDUP('Sale Notes'!$F138,0)*($Y$4+$Y$5)+$Y$3</f>
        <v>3110</v>
      </c>
      <c r="T138" s="365">
        <f>ROUNDUP('Sale Notes'!$F138,0)*('Sale Notes'!$Q138+$Y$5)+$Y$3</f>
        <v>1430</v>
      </c>
      <c r="U138" s="357"/>
    </row>
    <row r="139" spans="2:21" ht="144" x14ac:dyDescent="0.2">
      <c r="B139" s="357" t="s">
        <v>321</v>
      </c>
      <c r="C139" s="357"/>
      <c r="D139" s="358">
        <v>84</v>
      </c>
      <c r="E139" s="413">
        <v>44005</v>
      </c>
      <c r="F139" s="381">
        <v>26.52</v>
      </c>
      <c r="G139" s="361" t="s">
        <v>315</v>
      </c>
      <c r="H139" s="361" t="s">
        <v>322</v>
      </c>
      <c r="I139" s="359"/>
      <c r="J139" s="386"/>
      <c r="K139" s="357" t="s">
        <v>1</v>
      </c>
      <c r="L139" s="359" t="s">
        <v>6875</v>
      </c>
      <c r="M139" s="359" t="s">
        <v>6935</v>
      </c>
      <c r="N139" s="359" t="s">
        <v>7020</v>
      </c>
      <c r="O139" s="359" t="s">
        <v>6878</v>
      </c>
      <c r="P139" s="357"/>
      <c r="Q139" s="365"/>
      <c r="R139" s="365">
        <f>ROUNDUP(Table2[[#This Row],[Acres]],0)*Table2[[#This Row],[Winning Bid]]</f>
        <v>0</v>
      </c>
      <c r="S139" s="365">
        <f>ROUNDUP('Sale Notes'!$F139,0)*($Y$4+$Y$5)+$Y$3</f>
        <v>264.5</v>
      </c>
      <c r="T139" s="365">
        <f>ROUNDUP('Sale Notes'!$F139,0)*('Sale Notes'!$Q139+$Y$5)+$Y$3</f>
        <v>210.5</v>
      </c>
      <c r="U139" s="357"/>
    </row>
    <row r="140" spans="2:21" ht="112" x14ac:dyDescent="0.2">
      <c r="B140" s="357" t="s">
        <v>323</v>
      </c>
      <c r="C140" s="357"/>
      <c r="D140" s="358">
        <v>118</v>
      </c>
      <c r="E140" s="413">
        <v>44005</v>
      </c>
      <c r="F140" s="381">
        <v>1120</v>
      </c>
      <c r="G140" s="361" t="s">
        <v>315</v>
      </c>
      <c r="H140" s="361" t="s">
        <v>324</v>
      </c>
      <c r="I140" s="359"/>
      <c r="J140" s="386"/>
      <c r="K140" s="357" t="s">
        <v>1</v>
      </c>
      <c r="L140" s="359" t="s">
        <v>6875</v>
      </c>
      <c r="M140" s="359" t="s">
        <v>6947</v>
      </c>
      <c r="N140" s="359" t="s">
        <v>7021</v>
      </c>
      <c r="O140" s="359" t="s">
        <v>6878</v>
      </c>
      <c r="P140" s="357"/>
      <c r="Q140" s="365"/>
      <c r="R140" s="365">
        <f>ROUNDUP(Table2[[#This Row],[Acres]],0)*Table2[[#This Row],[Winning Bid]]</f>
        <v>0</v>
      </c>
      <c r="S140" s="365">
        <f>ROUNDUP('Sale Notes'!$F140,0)*($Y$4+$Y$5)+$Y$3</f>
        <v>4090</v>
      </c>
      <c r="T140" s="365">
        <f>ROUNDUP('Sale Notes'!$F140,0)*('Sale Notes'!$Q140+$Y$5)+$Y$3</f>
        <v>1850</v>
      </c>
      <c r="U140" s="357"/>
    </row>
    <row r="141" spans="2:21" ht="112" x14ac:dyDescent="0.2">
      <c r="B141" s="357" t="s">
        <v>325</v>
      </c>
      <c r="C141" s="357"/>
      <c r="D141" s="358">
        <v>88</v>
      </c>
      <c r="E141" s="413">
        <v>44005</v>
      </c>
      <c r="F141" s="381">
        <v>2440</v>
      </c>
      <c r="G141" s="361" t="s">
        <v>315</v>
      </c>
      <c r="H141" s="361" t="s">
        <v>326</v>
      </c>
      <c r="I141" s="359"/>
      <c r="J141" s="386"/>
      <c r="K141" s="357" t="s">
        <v>1</v>
      </c>
      <c r="L141" s="359" t="s">
        <v>6875</v>
      </c>
      <c r="M141" s="359" t="s">
        <v>6947</v>
      </c>
      <c r="N141" s="359" t="s">
        <v>7022</v>
      </c>
      <c r="O141" s="359" t="s">
        <v>6878</v>
      </c>
      <c r="P141" s="357"/>
      <c r="Q141" s="365"/>
      <c r="R141" s="365">
        <f>ROUNDUP(Table2[[#This Row],[Acres]],0)*Table2[[#This Row],[Winning Bid]]</f>
        <v>0</v>
      </c>
      <c r="S141" s="365">
        <f>ROUNDUP('Sale Notes'!$F141,0)*($Y$4+$Y$5)+$Y$3</f>
        <v>8710</v>
      </c>
      <c r="T141" s="365">
        <f>ROUNDUP('Sale Notes'!$F141,0)*('Sale Notes'!$Q141+$Y$5)+$Y$3</f>
        <v>3830</v>
      </c>
      <c r="U141" s="357"/>
    </row>
    <row r="142" spans="2:21" ht="144" x14ac:dyDescent="0.2">
      <c r="B142" s="312" t="s">
        <v>327</v>
      </c>
      <c r="C142" s="312"/>
      <c r="D142" s="314">
        <v>87</v>
      </c>
      <c r="E142" s="413">
        <v>44005</v>
      </c>
      <c r="F142" s="316">
        <v>2428.0300000000002</v>
      </c>
      <c r="G142" s="308" t="s">
        <v>315</v>
      </c>
      <c r="H142" s="308" t="s">
        <v>328</v>
      </c>
      <c r="I142" s="309"/>
      <c r="J142" s="387"/>
      <c r="K142" s="312" t="s">
        <v>1</v>
      </c>
      <c r="L142" s="309" t="s">
        <v>6875</v>
      </c>
      <c r="M142" s="309" t="s">
        <v>6948</v>
      </c>
      <c r="N142" s="309" t="s">
        <v>7023</v>
      </c>
      <c r="O142" s="309" t="s">
        <v>6878</v>
      </c>
      <c r="P142" s="312"/>
      <c r="Q142" s="383"/>
      <c r="R142" s="383">
        <f>ROUNDUP(Table2[[#This Row],[Acres]],0)*Table2[[#This Row],[Winning Bid]]</f>
        <v>0</v>
      </c>
      <c r="S142" s="383">
        <f>ROUNDUP('Sale Notes'!$F142,0)*($Y$4+$Y$5)+$Y$3</f>
        <v>8671.5</v>
      </c>
      <c r="T142" s="383">
        <f>ROUNDUP('Sale Notes'!$F142,0)*('Sale Notes'!$Q142+$Y$5)+$Y$3</f>
        <v>3813.5</v>
      </c>
      <c r="U142" s="312"/>
    </row>
    <row r="143" spans="2:21" x14ac:dyDescent="0.2">
      <c r="B143" s="206"/>
      <c r="C143" s="412"/>
      <c r="D143" s="412"/>
      <c r="E143" s="412"/>
      <c r="F143" s="355">
        <f>SUBTOTAL(109,Table2[Acres])</f>
        <v>169750.74999999997</v>
      </c>
      <c r="G143" s="412"/>
      <c r="H143" s="412"/>
      <c r="I143" s="412"/>
      <c r="K143" s="412"/>
      <c r="L143" s="412"/>
      <c r="M143" s="412"/>
      <c r="N143" s="412"/>
      <c r="O143" s="412"/>
      <c r="P143" s="206">
        <f>SUBTOTAL(103,Table2[Magnum Won (Y/N)])</f>
        <v>0</v>
      </c>
      <c r="Q143" s="307"/>
      <c r="R143" s="307"/>
      <c r="S143" s="307">
        <f>SUBTOTAL(109,Table2[Min Due])</f>
        <v>617232.5</v>
      </c>
      <c r="T143" s="307">
        <f>SUBTOTAL(109,Table2[Total Due])</f>
        <v>277642.5</v>
      </c>
      <c r="U143" s="206">
        <f>SUBTOTAL(103,Table2[Rough Econ Notes])</f>
        <v>0</v>
      </c>
    </row>
  </sheetData>
  <mergeCells count="3">
    <mergeCell ref="W7:Z7"/>
    <mergeCell ref="AA9:AA14"/>
    <mergeCell ref="X2:Y2"/>
  </mergeCells>
  <conditionalFormatting sqref="B7:U7 B8:G8 I8:U8 B143:U143 B29:C31 E29:U31 J30:J33 B9:U28 K29:K33 K52 D9:E142">
    <cfRule type="containsText" dxfId="62" priority="7" operator="containsText" text="~*">
      <formula>NOT(ISERROR(SEARCH("~*",B7)))</formula>
    </cfRule>
  </conditionalFormatting>
  <conditionalFormatting sqref="F8:F142">
    <cfRule type="cellIs" dxfId="61" priority="3" operator="greaterThan">
      <formula>1000</formula>
    </cfRule>
  </conditionalFormatting>
  <conditionalFormatting sqref="B8:U142">
    <cfRule type="expression" dxfId="60" priority="1">
      <formula>$K8="Warm"</formula>
    </cfRule>
    <cfRule type="expression" dxfId="59" priority="2">
      <formula>$K8="Cold"</formula>
    </cfRule>
    <cfRule type="expression" dxfId="58" priority="9">
      <formula>$K8="Hot"</formula>
    </cfRule>
  </conditionalFormatting>
  <pageMargins left="0.25" right="0.25" top="0.75" bottom="0.75" header="0.3" footer="0.3"/>
  <pageSetup scale="60"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ShowResults">
                <anchor moveWithCells="1" sizeWithCells="1">
                  <from>
                    <xdr:col>1</xdr:col>
                    <xdr:colOff>139700</xdr:colOff>
                    <xdr:row>0</xdr:row>
                    <xdr:rowOff>101600</xdr:rowOff>
                  </from>
                  <to>
                    <xdr:col>2</xdr:col>
                    <xdr:colOff>0</xdr:colOff>
                    <xdr:row>2</xdr:row>
                    <xdr:rowOff>139700</xdr:rowOff>
                  </to>
                </anchor>
              </controlPr>
            </control>
          </mc:Choice>
        </mc:AlternateContent>
        <mc:AlternateContent xmlns:mc="http://schemas.openxmlformats.org/markup-compatibility/2006">
          <mc:Choice Requires="x14">
            <control shapeId="1034" r:id="rId4" name="Button 10">
              <controlPr defaultSize="0" print="0" autoFill="0" autoPict="0" macro="[0]!ViewAll">
                <anchor moveWithCells="1" sizeWithCells="1">
                  <from>
                    <xdr:col>1</xdr:col>
                    <xdr:colOff>152400</xdr:colOff>
                    <xdr:row>2</xdr:row>
                    <xdr:rowOff>292100</xdr:rowOff>
                  </from>
                  <to>
                    <xdr:col>2</xdr:col>
                    <xdr:colOff>0</xdr:colOff>
                    <xdr:row>4</xdr:row>
                    <xdr:rowOff>88900</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2:D20"/>
  <sheetViews>
    <sheetView workbookViewId="0">
      <selection activeCell="D11" sqref="D11"/>
    </sheetView>
  </sheetViews>
  <sheetFormatPr baseColWidth="10" defaultColWidth="8.83203125" defaultRowHeight="15" x14ac:dyDescent="0.2"/>
  <cols>
    <col min="1" max="1" width="19.33203125" style="216" bestFit="1" customWidth="1"/>
    <col min="2" max="2" width="11.1640625" style="216" bestFit="1" customWidth="1"/>
    <col min="3" max="3" width="19.6640625" bestFit="1" customWidth="1"/>
    <col min="4" max="4" width="20.6640625" bestFit="1" customWidth="1"/>
  </cols>
  <sheetData>
    <row r="2" spans="1:4" x14ac:dyDescent="0.2">
      <c r="A2"/>
      <c r="B2" s="215" t="s">
        <v>6868</v>
      </c>
    </row>
    <row r="3" spans="1:4" x14ac:dyDescent="0.2">
      <c r="A3" s="215" t="s">
        <v>570</v>
      </c>
      <c r="B3" s="315" t="s">
        <v>571</v>
      </c>
      <c r="C3" s="315" t="s">
        <v>6869</v>
      </c>
      <c r="D3" s="315" t="s">
        <v>6896</v>
      </c>
    </row>
    <row r="4" spans="1:4" x14ac:dyDescent="0.2">
      <c r="A4" s="205" t="s">
        <v>29</v>
      </c>
      <c r="B4" s="305">
        <v>9368.8300000000017</v>
      </c>
      <c r="C4" s="304">
        <v>8</v>
      </c>
      <c r="D4" s="304">
        <v>8</v>
      </c>
    </row>
    <row r="5" spans="1:4" x14ac:dyDescent="0.2">
      <c r="A5" s="205" t="s">
        <v>35</v>
      </c>
      <c r="B5" s="305">
        <v>718.95</v>
      </c>
      <c r="C5" s="304">
        <v>3</v>
      </c>
      <c r="D5" s="304">
        <v>3</v>
      </c>
    </row>
    <row r="6" spans="1:4" x14ac:dyDescent="0.2">
      <c r="A6" s="205" t="s">
        <v>68</v>
      </c>
      <c r="B6" s="305">
        <v>76.95</v>
      </c>
      <c r="C6" s="304">
        <v>1</v>
      </c>
      <c r="D6" s="304">
        <v>1</v>
      </c>
    </row>
    <row r="7" spans="1:4" x14ac:dyDescent="0.2">
      <c r="A7" s="205" t="s">
        <v>71</v>
      </c>
      <c r="B7" s="305">
        <v>11055</v>
      </c>
      <c r="C7" s="304">
        <v>30</v>
      </c>
      <c r="D7" s="304"/>
    </row>
    <row r="8" spans="1:4" x14ac:dyDescent="0.2">
      <c r="A8" s="205" t="s">
        <v>90</v>
      </c>
      <c r="B8" s="305">
        <v>4707.22</v>
      </c>
      <c r="C8" s="304">
        <v>8</v>
      </c>
      <c r="D8" s="304">
        <v>8</v>
      </c>
    </row>
    <row r="9" spans="1:4" x14ac:dyDescent="0.2">
      <c r="A9" s="205" t="s">
        <v>149</v>
      </c>
      <c r="B9" s="305">
        <v>1948.65</v>
      </c>
      <c r="C9" s="304">
        <v>1</v>
      </c>
      <c r="D9" s="304">
        <v>1</v>
      </c>
    </row>
    <row r="10" spans="1:4" x14ac:dyDescent="0.2">
      <c r="A10" s="205" t="s">
        <v>152</v>
      </c>
      <c r="B10" s="305">
        <v>2383.9</v>
      </c>
      <c r="C10" s="304">
        <v>2</v>
      </c>
      <c r="D10" s="304">
        <v>2</v>
      </c>
    </row>
    <row r="11" spans="1:4" x14ac:dyDescent="0.2">
      <c r="A11" s="205" t="s">
        <v>157</v>
      </c>
      <c r="B11" s="305">
        <v>3514.5699999999997</v>
      </c>
      <c r="C11" s="304">
        <v>3</v>
      </c>
      <c r="D11" s="304">
        <v>3</v>
      </c>
    </row>
    <row r="12" spans="1:4" x14ac:dyDescent="0.2">
      <c r="A12" s="205" t="s">
        <v>164</v>
      </c>
      <c r="B12" s="305">
        <v>14599.64</v>
      </c>
      <c r="C12" s="304">
        <v>9</v>
      </c>
      <c r="D12" s="304">
        <v>9</v>
      </c>
    </row>
    <row r="13" spans="1:4" x14ac:dyDescent="0.2">
      <c r="A13" s="205" t="s">
        <v>171</v>
      </c>
      <c r="B13" s="305">
        <v>72579.589999999982</v>
      </c>
      <c r="C13" s="304">
        <v>39</v>
      </c>
      <c r="D13" s="304">
        <v>39</v>
      </c>
    </row>
    <row r="14" spans="1:4" x14ac:dyDescent="0.2">
      <c r="A14" s="205" t="s">
        <v>180</v>
      </c>
      <c r="B14" s="305">
        <v>28579.719999999998</v>
      </c>
      <c r="C14" s="304">
        <v>14</v>
      </c>
      <c r="D14" s="304">
        <v>14</v>
      </c>
    </row>
    <row r="15" spans="1:4" x14ac:dyDescent="0.2">
      <c r="A15" s="205" t="s">
        <v>277</v>
      </c>
      <c r="B15" s="305">
        <v>2119.92</v>
      </c>
      <c r="C15" s="304">
        <v>1</v>
      </c>
      <c r="D15" s="304">
        <v>1</v>
      </c>
    </row>
    <row r="16" spans="1:4" x14ac:dyDescent="0.2">
      <c r="A16" s="205" t="s">
        <v>288</v>
      </c>
      <c r="B16" s="305">
        <v>3081.59</v>
      </c>
      <c r="C16" s="304">
        <v>6</v>
      </c>
      <c r="D16" s="304">
        <v>6</v>
      </c>
    </row>
    <row r="17" spans="1:4" x14ac:dyDescent="0.2">
      <c r="A17" s="205" t="s">
        <v>307</v>
      </c>
      <c r="B17" s="305">
        <v>2864.9300000000003</v>
      </c>
      <c r="C17" s="304">
        <v>2</v>
      </c>
      <c r="D17" s="304">
        <v>2</v>
      </c>
    </row>
    <row r="18" spans="1:4" x14ac:dyDescent="0.2">
      <c r="A18" s="205" t="s">
        <v>312</v>
      </c>
      <c r="B18" s="305">
        <v>1000</v>
      </c>
      <c r="C18" s="304">
        <v>1</v>
      </c>
      <c r="D18" s="304">
        <v>1</v>
      </c>
    </row>
    <row r="19" spans="1:4" x14ac:dyDescent="0.2">
      <c r="A19" s="205" t="s">
        <v>315</v>
      </c>
      <c r="B19" s="305">
        <v>11151.29</v>
      </c>
      <c r="C19" s="304">
        <v>7</v>
      </c>
      <c r="D19" s="304">
        <v>7</v>
      </c>
    </row>
    <row r="20" spans="1:4" x14ac:dyDescent="0.2">
      <c r="A20" s="205" t="s">
        <v>572</v>
      </c>
      <c r="B20" s="305">
        <v>169750.74999999997</v>
      </c>
      <c r="C20" s="304">
        <v>135</v>
      </c>
      <c r="D20" s="304">
        <v>105</v>
      </c>
    </row>
  </sheetData>
  <pageMargins left="0.7" right="0.7" top="0.75" bottom="0.75" header="0.3" footer="0.3"/>
  <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N701"/>
  <sheetViews>
    <sheetView zoomScale="85" zoomScaleNormal="85" zoomScalePageLayoutView="85" workbookViewId="0">
      <selection activeCell="B20" sqref="B20"/>
    </sheetView>
  </sheetViews>
  <sheetFormatPr baseColWidth="10" defaultColWidth="8.83203125" defaultRowHeight="15" x14ac:dyDescent="0.2"/>
  <cols>
    <col min="1" max="1" width="22.83203125" style="216" bestFit="1" customWidth="1"/>
    <col min="2" max="2" width="53.1640625" style="216" bestFit="1" customWidth="1"/>
    <col min="3" max="3" width="22.33203125" style="216" bestFit="1" customWidth="1"/>
    <col min="4" max="4" width="23.5" style="216" bestFit="1" customWidth="1"/>
    <col min="6" max="6" width="34" style="216" customWidth="1"/>
    <col min="7" max="7" width="17.5" style="216" customWidth="1"/>
    <col min="8" max="10" width="60.33203125" style="216" customWidth="1"/>
    <col min="11" max="11" width="50.83203125" style="216" customWidth="1"/>
    <col min="12" max="12" width="96.83203125" style="216" customWidth="1"/>
    <col min="13" max="13" width="255.5" style="213" customWidth="1"/>
    <col min="14" max="14" width="19.6640625" style="216" customWidth="1"/>
  </cols>
  <sheetData>
    <row r="1" spans="1:14" s="1" customFormat="1" ht="15.75" customHeight="1" thickBot="1" x14ac:dyDescent="0.25">
      <c r="A1" s="9" t="s">
        <v>329</v>
      </c>
      <c r="B1" s="9" t="s">
        <v>330</v>
      </c>
      <c r="C1" s="9" t="s">
        <v>331</v>
      </c>
      <c r="D1" s="9" t="s">
        <v>332</v>
      </c>
      <c r="F1" s="7" t="s">
        <v>333</v>
      </c>
      <c r="G1" s="7" t="s">
        <v>334</v>
      </c>
      <c r="H1" s="7" t="s">
        <v>335</v>
      </c>
      <c r="I1" s="7" t="s">
        <v>336</v>
      </c>
      <c r="J1" s="7" t="s">
        <v>337</v>
      </c>
      <c r="K1" s="7" t="s">
        <v>338</v>
      </c>
      <c r="L1" s="7" t="s">
        <v>339</v>
      </c>
      <c r="M1" s="8" t="s">
        <v>340</v>
      </c>
      <c r="N1" s="7" t="s">
        <v>341</v>
      </c>
    </row>
    <row r="2" spans="1:14" ht="16" customHeight="1" x14ac:dyDescent="0.2">
      <c r="A2" s="208" t="s">
        <v>342</v>
      </c>
      <c r="B2" s="218" t="s">
        <v>343</v>
      </c>
      <c r="C2" s="424" t="s">
        <v>344</v>
      </c>
      <c r="D2" s="218" t="s">
        <v>345</v>
      </c>
      <c r="F2" s="3" t="str">
        <f t="shared" ref="F2:F33" si="0">IF(ISNUMBER(SEARCH("County",B2)),B2)</f>
        <v>Weld County, CO</v>
      </c>
      <c r="G2" s="3" t="b">
        <f t="shared" ref="G2:G33" si="1">IF(ISNUMBER(SEARCH("acres:",B2)),B2)</f>
        <v>0</v>
      </c>
      <c r="H2" s="3" t="b">
        <f t="shared" ref="H2:H33" si="2">IF(ISNUMBER(SEARCH("T.",B2)),B2)</f>
        <v>0</v>
      </c>
      <c r="I2" s="3" t="b">
        <f t="shared" ref="I2:I33" si="3">IF(ISNUMBER(SEARCH("Serial",A2)),A2)</f>
        <v>0</v>
      </c>
      <c r="J2" s="3" t="str">
        <f t="shared" ref="J2:J33" si="4">IF(ISNUMBER(SEARCH("Parcel ID",A2)),A2)</f>
        <v>Parcel ID: 8405</v>
      </c>
      <c r="K2" s="3" t="b">
        <f>IF(ISNUMBER(SEARCH("Sec",#REF!)),#REF!)</f>
        <v>0</v>
      </c>
      <c r="L2" s="3"/>
      <c r="M2" s="4"/>
      <c r="N2" s="3" t="b">
        <f>IF(ISNUMBER(SEARCH("WY",#REF!)),#REF!)</f>
        <v>0</v>
      </c>
    </row>
    <row r="3" spans="1:14" ht="71.25" customHeight="1" x14ac:dyDescent="0.2">
      <c r="A3" s="208" t="s">
        <v>346</v>
      </c>
      <c r="B3" s="218" t="s">
        <v>347</v>
      </c>
      <c r="C3" s="422"/>
      <c r="D3" s="218" t="s">
        <v>348</v>
      </c>
      <c r="F3" s="3" t="b">
        <f t="shared" si="0"/>
        <v>0</v>
      </c>
      <c r="G3" s="3" t="b">
        <f t="shared" si="1"/>
        <v>0</v>
      </c>
      <c r="H3" s="3" t="str">
        <f t="shared" si="2"/>
        <v>T.0080N.,R.0580W.,6TH PM </v>
      </c>
      <c r="I3" s="5" t="str">
        <f t="shared" si="3"/>
        <v>Serial #: COC79285</v>
      </c>
      <c r="J3" s="3" t="b">
        <f t="shared" si="4"/>
        <v>0</v>
      </c>
      <c r="K3" s="5" t="b">
        <f>IF(ISNUMBER(SEARCH("Sec",#REF!)),#REF!)</f>
        <v>0</v>
      </c>
      <c r="L3" s="5"/>
      <c r="M3" s="6"/>
      <c r="N3" s="5" t="b">
        <f>IF(ISNUMBER(SEARCH("WY",#REF!)),#REF!)</f>
        <v>0</v>
      </c>
    </row>
    <row r="4" spans="1:14" ht="42.75" customHeight="1" x14ac:dyDescent="0.2">
      <c r="A4" s="209" t="s">
        <v>349</v>
      </c>
      <c r="B4" s="218" t="s">
        <v>350</v>
      </c>
      <c r="C4" s="422"/>
      <c r="D4" s="218"/>
      <c r="F4" s="3" t="b">
        <f t="shared" si="0"/>
        <v>0</v>
      </c>
      <c r="G4" s="3" t="b">
        <f t="shared" si="1"/>
        <v>0</v>
      </c>
      <c r="H4" s="3" t="b">
        <f t="shared" si="2"/>
        <v>0</v>
      </c>
      <c r="I4" s="3" t="b">
        <f t="shared" si="3"/>
        <v>0</v>
      </c>
      <c r="J4" s="3" t="b">
        <f t="shared" si="4"/>
        <v>0</v>
      </c>
      <c r="K4" s="3" t="b">
        <f>IF(ISNUMBER(SEARCH("Sec",#REF!)),#REF!)</f>
        <v>0</v>
      </c>
      <c r="L4" s="3"/>
      <c r="M4" s="3"/>
      <c r="N4" s="3" t="b">
        <f>IF(ISNUMBER(SEARCH("WY",#REF!)),#REF!)</f>
        <v>0</v>
      </c>
    </row>
    <row r="5" spans="1:14" ht="85.5" customHeight="1" x14ac:dyDescent="0.2">
      <c r="A5" s="218" t="s">
        <v>351</v>
      </c>
      <c r="B5" s="210" t="s">
        <v>352</v>
      </c>
      <c r="C5" s="422"/>
      <c r="D5" s="218"/>
      <c r="F5" s="3" t="b">
        <f t="shared" si="0"/>
        <v>0</v>
      </c>
      <c r="G5" s="3" t="b">
        <f t="shared" si="1"/>
        <v>0</v>
      </c>
      <c r="H5" s="3" t="b">
        <f t="shared" si="2"/>
        <v>0</v>
      </c>
      <c r="I5" s="5" t="b">
        <f t="shared" si="3"/>
        <v>0</v>
      </c>
      <c r="J5" s="3" t="b">
        <f t="shared" si="4"/>
        <v>0</v>
      </c>
      <c r="K5" s="5" t="b">
        <f>IF(ISNUMBER(SEARCH("Sec",#REF!)),#REF!)</f>
        <v>0</v>
      </c>
      <c r="L5" s="5"/>
      <c r="M5" s="6"/>
      <c r="N5" s="5" t="b">
        <f>IF(ISNUMBER(SEARCH("WY",#REF!)),#REF!)</f>
        <v>0</v>
      </c>
    </row>
    <row r="6" spans="1:14" ht="28.5" customHeight="1" x14ac:dyDescent="0.2">
      <c r="A6" s="218"/>
      <c r="B6" s="210" t="s">
        <v>353</v>
      </c>
      <c r="C6" s="422"/>
      <c r="D6" s="218"/>
      <c r="F6" s="3" t="b">
        <f t="shared" si="0"/>
        <v>0</v>
      </c>
      <c r="G6" s="3" t="b">
        <f t="shared" si="1"/>
        <v>0</v>
      </c>
      <c r="H6" s="3" t="b">
        <f t="shared" si="2"/>
        <v>0</v>
      </c>
      <c r="I6" s="3" t="b">
        <f t="shared" si="3"/>
        <v>0</v>
      </c>
      <c r="J6" s="3" t="b">
        <f t="shared" si="4"/>
        <v>0</v>
      </c>
      <c r="K6" s="3" t="b">
        <f>IF(ISNUMBER(SEARCH("Sec",#REF!)),#REF!)</f>
        <v>0</v>
      </c>
      <c r="L6" s="3"/>
      <c r="M6" s="4"/>
      <c r="N6" s="3" t="b">
        <f>IF(ISNUMBER(SEARCH("WY",#REF!)),#REF!)</f>
        <v>0</v>
      </c>
    </row>
    <row r="7" spans="1:14" ht="28.5" customHeight="1" x14ac:dyDescent="0.2">
      <c r="A7" s="218"/>
      <c r="B7" s="218" t="s">
        <v>354</v>
      </c>
      <c r="C7" s="422"/>
      <c r="D7" s="218"/>
      <c r="F7" s="3" t="b">
        <f t="shared" si="0"/>
        <v>0</v>
      </c>
      <c r="G7" s="3" t="str">
        <f t="shared" si="1"/>
        <v>Acres: 80.00</v>
      </c>
      <c r="H7" s="3" t="b">
        <f t="shared" si="2"/>
        <v>0</v>
      </c>
      <c r="I7" s="5" t="b">
        <f t="shared" si="3"/>
        <v>0</v>
      </c>
      <c r="J7" s="3" t="b">
        <f t="shared" si="4"/>
        <v>0</v>
      </c>
      <c r="K7" s="5" t="b">
        <f>IF(ISNUMBER(SEARCH("Sec",#REF!)),#REF!)</f>
        <v>0</v>
      </c>
      <c r="L7" s="5"/>
      <c r="M7" s="6"/>
      <c r="N7" s="5" t="b">
        <f>IF(ISNUMBER(SEARCH("WY",#REF!)),#REF!)</f>
        <v>0</v>
      </c>
    </row>
    <row r="8" spans="1:14" ht="16" customHeight="1" x14ac:dyDescent="0.2">
      <c r="A8" s="211" t="s">
        <v>355</v>
      </c>
      <c r="B8" s="217" t="s">
        <v>343</v>
      </c>
      <c r="C8" s="421" t="s">
        <v>344</v>
      </c>
      <c r="D8" s="217" t="s">
        <v>345</v>
      </c>
      <c r="F8" s="3" t="str">
        <f t="shared" si="0"/>
        <v>Weld County, CO</v>
      </c>
      <c r="G8" s="3" t="b">
        <f t="shared" si="1"/>
        <v>0</v>
      </c>
      <c r="H8" s="3" t="b">
        <f t="shared" si="2"/>
        <v>0</v>
      </c>
      <c r="I8" s="3" t="b">
        <f t="shared" si="3"/>
        <v>0</v>
      </c>
      <c r="J8" s="3" t="str">
        <f t="shared" si="4"/>
        <v>Parcel ID: 8406</v>
      </c>
      <c r="K8" s="3" t="b">
        <f>IF(ISNUMBER(SEARCH("Sec",#REF!)),#REF!)</f>
        <v>0</v>
      </c>
      <c r="L8" s="3"/>
      <c r="M8" s="3"/>
      <c r="N8" s="3" t="b">
        <f>IF(ISNUMBER(SEARCH("WY",#REF!)),#REF!)</f>
        <v>0</v>
      </c>
    </row>
    <row r="9" spans="1:14" ht="71.25" customHeight="1" x14ac:dyDescent="0.2">
      <c r="A9" s="211" t="s">
        <v>356</v>
      </c>
      <c r="B9" s="217" t="s">
        <v>347</v>
      </c>
      <c r="C9" s="422"/>
      <c r="D9" s="217" t="s">
        <v>357</v>
      </c>
      <c r="F9" s="3" t="b">
        <f t="shared" si="0"/>
        <v>0</v>
      </c>
      <c r="G9" s="3" t="b">
        <f t="shared" si="1"/>
        <v>0</v>
      </c>
      <c r="H9" s="3" t="str">
        <f t="shared" si="2"/>
        <v>T.0080N.,R.0580W.,6TH PM </v>
      </c>
      <c r="I9" s="5" t="str">
        <f t="shared" si="3"/>
        <v>Serial #: COC79286</v>
      </c>
      <c r="J9" s="3" t="b">
        <f t="shared" si="4"/>
        <v>0</v>
      </c>
      <c r="K9" s="5" t="b">
        <f>IF(ISNUMBER(SEARCH("Sec",#REF!)),#REF!)</f>
        <v>0</v>
      </c>
      <c r="L9" s="5"/>
      <c r="M9" s="6"/>
      <c r="N9" s="5" t="b">
        <f>IF(ISNUMBER(SEARCH("WY",#REF!)),#REF!)</f>
        <v>0</v>
      </c>
    </row>
    <row r="10" spans="1:14" ht="57" customHeight="1" x14ac:dyDescent="0.2">
      <c r="A10" s="212" t="s">
        <v>349</v>
      </c>
      <c r="B10" s="217" t="s">
        <v>358</v>
      </c>
      <c r="C10" s="422"/>
      <c r="D10" s="217"/>
      <c r="F10" s="3" t="b">
        <f t="shared" si="0"/>
        <v>0</v>
      </c>
      <c r="G10" s="3" t="b">
        <f t="shared" si="1"/>
        <v>0</v>
      </c>
      <c r="H10" s="3" t="b">
        <f t="shared" si="2"/>
        <v>0</v>
      </c>
      <c r="I10" s="3" t="b">
        <f t="shared" si="3"/>
        <v>0</v>
      </c>
      <c r="J10" s="3" t="b">
        <f t="shared" si="4"/>
        <v>0</v>
      </c>
      <c r="K10" s="3" t="b">
        <f>IF(ISNUMBER(SEARCH("Sec",#REF!)),#REF!)</f>
        <v>0</v>
      </c>
      <c r="L10" s="3"/>
      <c r="M10" s="4"/>
      <c r="N10" s="3" t="b">
        <f>IF(ISNUMBER(SEARCH("WY",#REF!)),#REF!)</f>
        <v>0</v>
      </c>
    </row>
    <row r="11" spans="1:14" ht="114" customHeight="1" x14ac:dyDescent="0.2">
      <c r="A11" s="217" t="s">
        <v>351</v>
      </c>
      <c r="B11" s="199" t="s">
        <v>359</v>
      </c>
      <c r="C11" s="422"/>
      <c r="D11" s="217"/>
      <c r="F11" s="3" t="b">
        <f t="shared" si="0"/>
        <v>0</v>
      </c>
      <c r="G11" s="3" t="b">
        <f t="shared" si="1"/>
        <v>0</v>
      </c>
      <c r="H11" s="3" t="b">
        <f t="shared" si="2"/>
        <v>0</v>
      </c>
      <c r="I11" s="5" t="b">
        <f t="shared" si="3"/>
        <v>0</v>
      </c>
      <c r="J11" s="3" t="b">
        <f t="shared" si="4"/>
        <v>0</v>
      </c>
      <c r="K11" s="5" t="b">
        <f>IF(ISNUMBER(SEARCH("Sec",#REF!)),#REF!)</f>
        <v>0</v>
      </c>
      <c r="L11" s="5"/>
      <c r="M11" s="6"/>
      <c r="N11" s="5" t="b">
        <f>IF(ISNUMBER(SEARCH("WY",#REF!)),#REF!)</f>
        <v>0</v>
      </c>
    </row>
    <row r="12" spans="1:14" ht="71.25" customHeight="1" x14ac:dyDescent="0.2">
      <c r="A12" s="217"/>
      <c r="B12" s="199" t="s">
        <v>353</v>
      </c>
      <c r="C12" s="422"/>
      <c r="D12" s="217"/>
      <c r="F12" s="3" t="b">
        <f t="shared" si="0"/>
        <v>0</v>
      </c>
      <c r="G12" s="3" t="b">
        <f t="shared" si="1"/>
        <v>0</v>
      </c>
      <c r="H12" s="3" t="b">
        <f t="shared" si="2"/>
        <v>0</v>
      </c>
      <c r="I12" s="3" t="b">
        <f t="shared" si="3"/>
        <v>0</v>
      </c>
      <c r="J12" s="3" t="b">
        <f t="shared" si="4"/>
        <v>0</v>
      </c>
      <c r="K12" s="3" t="b">
        <f>IF(ISNUMBER(SEARCH("Sec",#REF!)),#REF!)</f>
        <v>0</v>
      </c>
      <c r="L12" s="3" t="s">
        <v>360</v>
      </c>
      <c r="M12" s="4" t="s">
        <v>361</v>
      </c>
      <c r="N12" s="3" t="b">
        <f>IF(ISNUMBER(SEARCH("WY",#REF!)),#REF!)</f>
        <v>0</v>
      </c>
    </row>
    <row r="13" spans="1:14" ht="28.5" customHeight="1" x14ac:dyDescent="0.2">
      <c r="A13" s="217"/>
      <c r="B13" s="217" t="s">
        <v>362</v>
      </c>
      <c r="C13" s="422"/>
      <c r="D13" s="217"/>
      <c r="F13" s="3" t="b">
        <f t="shared" si="0"/>
        <v>0</v>
      </c>
      <c r="G13" s="3" t="str">
        <f t="shared" si="1"/>
        <v>Acres: 160.00</v>
      </c>
      <c r="H13" s="3" t="b">
        <f t="shared" si="2"/>
        <v>0</v>
      </c>
      <c r="I13" s="5" t="b">
        <f t="shared" si="3"/>
        <v>0</v>
      </c>
      <c r="J13" s="3" t="b">
        <f t="shared" si="4"/>
        <v>0</v>
      </c>
      <c r="K13" s="5" t="b">
        <f>IF(ISNUMBER(SEARCH("Sec",#REF!)),#REF!)</f>
        <v>0</v>
      </c>
      <c r="L13" s="5"/>
      <c r="M13" s="5"/>
      <c r="N13" s="5" t="b">
        <f>IF(ISNUMBER(SEARCH("WY",#REF!)),#REF!)</f>
        <v>0</v>
      </c>
    </row>
    <row r="14" spans="1:14" ht="15" customHeight="1" x14ac:dyDescent="0.2">
      <c r="A14" s="208" t="s">
        <v>363</v>
      </c>
      <c r="B14" s="218" t="s">
        <v>343</v>
      </c>
      <c r="C14" s="423" t="s">
        <v>344</v>
      </c>
      <c r="D14" s="218" t="s">
        <v>345</v>
      </c>
      <c r="F14" s="3" t="str">
        <f t="shared" si="0"/>
        <v>Weld County, CO</v>
      </c>
      <c r="G14" s="3" t="b">
        <f t="shared" si="1"/>
        <v>0</v>
      </c>
      <c r="H14" s="3" t="b">
        <f t="shared" si="2"/>
        <v>0</v>
      </c>
      <c r="I14" s="3" t="b">
        <f t="shared" si="3"/>
        <v>0</v>
      </c>
      <c r="J14" s="3" t="str">
        <f t="shared" si="4"/>
        <v>Parcel ID: 8410</v>
      </c>
      <c r="K14" s="3" t="b">
        <f>IF(ISNUMBER(SEARCH("Sec",#REF!)),#REF!)</f>
        <v>0</v>
      </c>
      <c r="L14" s="3"/>
      <c r="M14" s="4"/>
      <c r="N14" s="3" t="b">
        <f>IF(ISNUMBER(SEARCH("WY",#REF!)),#REF!)</f>
        <v>0</v>
      </c>
    </row>
    <row r="15" spans="1:14" ht="71.25" customHeight="1" x14ac:dyDescent="0.2">
      <c r="A15" s="208" t="s">
        <v>364</v>
      </c>
      <c r="B15" s="218" t="s">
        <v>365</v>
      </c>
      <c r="C15" s="422"/>
      <c r="D15" s="218" t="s">
        <v>366</v>
      </c>
      <c r="F15" s="3" t="b">
        <f t="shared" si="0"/>
        <v>0</v>
      </c>
      <c r="G15" s="3" t="b">
        <f t="shared" si="1"/>
        <v>0</v>
      </c>
      <c r="H15" s="3" t="str">
        <f t="shared" si="2"/>
        <v>T.0110N.,R.0590W.,6TH PM </v>
      </c>
      <c r="I15" s="5" t="str">
        <f t="shared" si="3"/>
        <v>Serial #: COC79287</v>
      </c>
      <c r="J15" s="3" t="b">
        <f t="shared" si="4"/>
        <v>0</v>
      </c>
      <c r="K15" s="5" t="b">
        <f>IF(ISNUMBER(SEARCH("Sec",#REF!)),#REF!)</f>
        <v>0</v>
      </c>
      <c r="L15" s="5"/>
      <c r="M15" s="6"/>
      <c r="N15" s="5" t="b">
        <f>IF(ISNUMBER(SEARCH("WY",#REF!)),#REF!)</f>
        <v>0</v>
      </c>
    </row>
    <row r="16" spans="1:14" ht="28.5" customHeight="1" x14ac:dyDescent="0.2">
      <c r="A16" s="209" t="s">
        <v>349</v>
      </c>
      <c r="B16" s="218" t="s">
        <v>367</v>
      </c>
      <c r="C16" s="422"/>
      <c r="D16" s="218"/>
      <c r="F16" s="3" t="b">
        <f t="shared" si="0"/>
        <v>0</v>
      </c>
      <c r="G16" s="3" t="b">
        <f t="shared" si="1"/>
        <v>0</v>
      </c>
      <c r="H16" s="3" t="b">
        <f t="shared" si="2"/>
        <v>0</v>
      </c>
      <c r="I16" s="3" t="b">
        <f t="shared" si="3"/>
        <v>0</v>
      </c>
      <c r="J16" s="3" t="b">
        <f t="shared" si="4"/>
        <v>0</v>
      </c>
      <c r="K16" s="3" t="b">
        <f>IF(ISNUMBER(SEARCH("Sec",#REF!)),#REF!)</f>
        <v>0</v>
      </c>
      <c r="L16" s="3"/>
      <c r="M16" s="4"/>
      <c r="N16" s="3" t="b">
        <f>IF(ISNUMBER(SEARCH("WY",#REF!)),#REF!)</f>
        <v>0</v>
      </c>
    </row>
    <row r="17" spans="1:14" ht="57" customHeight="1" x14ac:dyDescent="0.2">
      <c r="A17" s="218" t="s">
        <v>351</v>
      </c>
      <c r="B17" s="218" t="s">
        <v>368</v>
      </c>
      <c r="C17" s="422"/>
      <c r="D17" s="218"/>
      <c r="F17" s="3" t="b">
        <f t="shared" si="0"/>
        <v>0</v>
      </c>
      <c r="G17" s="3" t="b">
        <f t="shared" si="1"/>
        <v>0</v>
      </c>
      <c r="H17" s="3" t="b">
        <f t="shared" si="2"/>
        <v>0</v>
      </c>
      <c r="I17" s="5" t="b">
        <f t="shared" si="3"/>
        <v>0</v>
      </c>
      <c r="J17" s="3" t="b">
        <f t="shared" si="4"/>
        <v>0</v>
      </c>
      <c r="K17" s="5" t="b">
        <f>IF(ISNUMBER(SEARCH("Sec",#REF!)),#REF!)</f>
        <v>0</v>
      </c>
      <c r="L17" s="5" t="s">
        <v>369</v>
      </c>
      <c r="M17" s="6" t="s">
        <v>370</v>
      </c>
      <c r="N17" s="5" t="b">
        <f>IF(ISNUMBER(SEARCH("WY",#REF!)),#REF!)</f>
        <v>0</v>
      </c>
    </row>
    <row r="18" spans="1:14" ht="28.5" customHeight="1" x14ac:dyDescent="0.2">
      <c r="A18" s="218"/>
      <c r="B18" s="218" t="s">
        <v>371</v>
      </c>
      <c r="C18" s="422"/>
      <c r="D18" s="218"/>
      <c r="F18" s="3" t="b">
        <f t="shared" si="0"/>
        <v>0</v>
      </c>
      <c r="G18" s="3" t="b">
        <f t="shared" si="1"/>
        <v>0</v>
      </c>
      <c r="H18" s="3" t="b">
        <f t="shared" si="2"/>
        <v>0</v>
      </c>
      <c r="I18" s="3" t="b">
        <f t="shared" si="3"/>
        <v>0</v>
      </c>
      <c r="J18" s="3" t="b">
        <f t="shared" si="4"/>
        <v>0</v>
      </c>
      <c r="K18" s="3" t="b">
        <f>IF(ISNUMBER(SEARCH("Sec",#REF!)),#REF!)</f>
        <v>0</v>
      </c>
      <c r="L18" s="3" t="s">
        <v>372</v>
      </c>
      <c r="M18" s="4"/>
      <c r="N18" s="3" t="b">
        <f>IF(ISNUMBER(SEARCH("WY",#REF!)),#REF!)</f>
        <v>0</v>
      </c>
    </row>
    <row r="19" spans="1:14" ht="17.25" customHeight="1" x14ac:dyDescent="0.2">
      <c r="A19" s="218"/>
      <c r="B19" s="218" t="s">
        <v>353</v>
      </c>
      <c r="C19" s="422"/>
      <c r="D19" s="218"/>
      <c r="F19" s="3" t="b">
        <f t="shared" si="0"/>
        <v>0</v>
      </c>
      <c r="G19" s="3" t="b">
        <f t="shared" si="1"/>
        <v>0</v>
      </c>
      <c r="H19" s="3" t="b">
        <f t="shared" si="2"/>
        <v>0</v>
      </c>
      <c r="I19" s="5" t="b">
        <f t="shared" si="3"/>
        <v>0</v>
      </c>
      <c r="J19" s="3" t="b">
        <f t="shared" si="4"/>
        <v>0</v>
      </c>
      <c r="K19" s="5" t="b">
        <f>IF(ISNUMBER(SEARCH("Sec",#REF!)),#REF!)</f>
        <v>0</v>
      </c>
      <c r="L19" s="5" t="s">
        <v>373</v>
      </c>
      <c r="M19" s="6"/>
      <c r="N19" s="5" t="b">
        <f>IF(ISNUMBER(SEARCH("WY",#REF!)),#REF!)</f>
        <v>0</v>
      </c>
    </row>
    <row r="20" spans="1:14" ht="71.25" customHeight="1" x14ac:dyDescent="0.2">
      <c r="A20" s="218"/>
      <c r="B20" s="218" t="s">
        <v>374</v>
      </c>
      <c r="C20" s="422"/>
      <c r="D20" s="218"/>
      <c r="F20" s="3" t="b">
        <f t="shared" si="0"/>
        <v>0</v>
      </c>
      <c r="G20" s="3" t="str">
        <f t="shared" si="1"/>
        <v>Acres: 315.64</v>
      </c>
      <c r="H20" s="3" t="b">
        <f t="shared" si="2"/>
        <v>0</v>
      </c>
      <c r="I20" s="3" t="b">
        <f t="shared" si="3"/>
        <v>0</v>
      </c>
      <c r="J20" s="3" t="b">
        <f t="shared" si="4"/>
        <v>0</v>
      </c>
      <c r="K20" s="3" t="b">
        <f>IF(ISNUMBER(SEARCH("Sec",#REF!)),#REF!)</f>
        <v>0</v>
      </c>
      <c r="L20" s="3"/>
      <c r="M20" s="3"/>
      <c r="N20" s="3" t="b">
        <f>IF(ISNUMBER(SEARCH("WY",#REF!)),#REF!)</f>
        <v>0</v>
      </c>
    </row>
    <row r="21" spans="1:14" ht="71.25" customHeight="1" x14ac:dyDescent="0.2">
      <c r="A21" s="211" t="s">
        <v>375</v>
      </c>
      <c r="B21" s="217" t="s">
        <v>343</v>
      </c>
      <c r="C21" s="421" t="s">
        <v>344</v>
      </c>
      <c r="D21" s="217" t="s">
        <v>345</v>
      </c>
      <c r="F21" s="3" t="str">
        <f t="shared" si="0"/>
        <v>Weld County, CO</v>
      </c>
      <c r="G21" s="3" t="b">
        <f t="shared" si="1"/>
        <v>0</v>
      </c>
      <c r="H21" s="3" t="b">
        <f t="shared" si="2"/>
        <v>0</v>
      </c>
      <c r="I21" s="5" t="b">
        <f t="shared" si="3"/>
        <v>0</v>
      </c>
      <c r="J21" s="3" t="str">
        <f t="shared" si="4"/>
        <v>Parcel ID: 8347</v>
      </c>
      <c r="K21" s="5" t="b">
        <f>IF(ISNUMBER(SEARCH("Sec",#REF!)),#REF!)</f>
        <v>0</v>
      </c>
      <c r="L21" s="5"/>
      <c r="M21" s="6"/>
      <c r="N21" s="5" t="b">
        <f>IF(ISNUMBER(SEARCH("WY",#REF!)),#REF!)</f>
        <v>0</v>
      </c>
    </row>
    <row r="22" spans="1:14" ht="85.5" customHeight="1" x14ac:dyDescent="0.2">
      <c r="A22" s="211" t="s">
        <v>376</v>
      </c>
      <c r="B22" s="217" t="s">
        <v>377</v>
      </c>
      <c r="C22" s="422"/>
      <c r="D22" s="217" t="s">
        <v>378</v>
      </c>
      <c r="F22" s="3" t="b">
        <f t="shared" si="0"/>
        <v>0</v>
      </c>
      <c r="G22" s="3" t="b">
        <f t="shared" si="1"/>
        <v>0</v>
      </c>
      <c r="H22" s="3" t="str">
        <f t="shared" si="2"/>
        <v>T.0090N.,R.0600W.,6TH PM </v>
      </c>
      <c r="I22" s="3" t="str">
        <f t="shared" si="3"/>
        <v>Serial #: COC79288</v>
      </c>
      <c r="J22" s="3" t="b">
        <f t="shared" si="4"/>
        <v>0</v>
      </c>
      <c r="K22" s="3" t="b">
        <f>IF(ISNUMBER(SEARCH("Sec",#REF!)),#REF!)</f>
        <v>0</v>
      </c>
      <c r="L22" s="3"/>
      <c r="M22" s="4"/>
      <c r="N22" s="3" t="b">
        <f>IF(ISNUMBER(SEARCH("WY",#REF!)),#REF!)</f>
        <v>0</v>
      </c>
    </row>
    <row r="23" spans="1:14" ht="28.5" customHeight="1" x14ac:dyDescent="0.2">
      <c r="A23" s="212" t="s">
        <v>349</v>
      </c>
      <c r="B23" s="217" t="s">
        <v>379</v>
      </c>
      <c r="C23" s="422"/>
      <c r="D23" s="217"/>
      <c r="F23" s="3" t="b">
        <f t="shared" si="0"/>
        <v>0</v>
      </c>
      <c r="G23" s="3" t="b">
        <f t="shared" si="1"/>
        <v>0</v>
      </c>
      <c r="H23" s="3" t="b">
        <f t="shared" si="2"/>
        <v>0</v>
      </c>
      <c r="I23" s="5" t="b">
        <f t="shared" si="3"/>
        <v>0</v>
      </c>
      <c r="J23" s="3" t="b">
        <f t="shared" si="4"/>
        <v>0</v>
      </c>
      <c r="K23" s="5" t="b">
        <f>IF(ISNUMBER(SEARCH("Sec",#REF!)),#REF!)</f>
        <v>0</v>
      </c>
      <c r="L23" s="5" t="s">
        <v>380</v>
      </c>
      <c r="M23" s="6" t="s">
        <v>381</v>
      </c>
      <c r="N23" s="5" t="b">
        <f>IF(ISNUMBER(SEARCH("WY",#REF!)),#REF!)</f>
        <v>0</v>
      </c>
    </row>
    <row r="24" spans="1:14" x14ac:dyDescent="0.2">
      <c r="A24" s="217" t="s">
        <v>351</v>
      </c>
      <c r="B24" s="199" t="s">
        <v>382</v>
      </c>
      <c r="C24" s="422"/>
      <c r="D24" s="217"/>
      <c r="F24" s="3" t="b">
        <f t="shared" si="0"/>
        <v>0</v>
      </c>
      <c r="G24" s="3" t="b">
        <f t="shared" si="1"/>
        <v>0</v>
      </c>
      <c r="H24" s="3" t="b">
        <f t="shared" si="2"/>
        <v>0</v>
      </c>
      <c r="I24" s="3" t="b">
        <f t="shared" si="3"/>
        <v>0</v>
      </c>
      <c r="J24" s="3" t="b">
        <f t="shared" si="4"/>
        <v>0</v>
      </c>
      <c r="K24" s="3" t="b">
        <f>IF(ISNUMBER(SEARCH("Sec",#REF!)),#REF!)</f>
        <v>0</v>
      </c>
      <c r="L24" s="3"/>
      <c r="M24" s="3"/>
      <c r="N24" s="3" t="b">
        <f>IF(ISNUMBER(SEARCH("WY",#REF!)),#REF!)</f>
        <v>0</v>
      </c>
    </row>
    <row r="25" spans="1:14" ht="71.25" customHeight="1" x14ac:dyDescent="0.2">
      <c r="A25" s="217"/>
      <c r="B25" s="199" t="s">
        <v>353</v>
      </c>
      <c r="C25" s="422"/>
      <c r="D25" s="217"/>
      <c r="F25" s="3" t="b">
        <f t="shared" si="0"/>
        <v>0</v>
      </c>
      <c r="G25" s="3" t="b">
        <f t="shared" si="1"/>
        <v>0</v>
      </c>
      <c r="H25" s="3" t="b">
        <f t="shared" si="2"/>
        <v>0</v>
      </c>
      <c r="I25" s="5" t="b">
        <f t="shared" si="3"/>
        <v>0</v>
      </c>
      <c r="J25" s="3" t="b">
        <f t="shared" si="4"/>
        <v>0</v>
      </c>
      <c r="K25" s="5" t="b">
        <f>IF(ISNUMBER(SEARCH("Sec",#REF!)),#REF!)</f>
        <v>0</v>
      </c>
      <c r="L25" s="5"/>
      <c r="M25" s="6"/>
      <c r="N25" s="5" t="b">
        <f>IF(ISNUMBER(SEARCH("WY",#REF!)),#REF!)</f>
        <v>0</v>
      </c>
    </row>
    <row r="26" spans="1:14" ht="42.75" customHeight="1" x14ac:dyDescent="0.2">
      <c r="A26" s="217"/>
      <c r="B26" s="217" t="s">
        <v>383</v>
      </c>
      <c r="C26" s="422"/>
      <c r="D26" s="217"/>
      <c r="F26" s="3" t="b">
        <f t="shared" si="0"/>
        <v>0</v>
      </c>
      <c r="G26" s="3" t="str">
        <f t="shared" si="1"/>
        <v>Acres: 320.00</v>
      </c>
      <c r="H26" s="3" t="b">
        <f t="shared" si="2"/>
        <v>0</v>
      </c>
      <c r="I26" s="3" t="b">
        <f t="shared" si="3"/>
        <v>0</v>
      </c>
      <c r="J26" s="3" t="b">
        <f t="shared" si="4"/>
        <v>0</v>
      </c>
      <c r="K26" s="3" t="b">
        <f>IF(ISNUMBER(SEARCH("Sec",#REF!)),#REF!)</f>
        <v>0</v>
      </c>
      <c r="L26" s="3"/>
      <c r="M26" s="4"/>
      <c r="N26" s="3" t="b">
        <f>IF(ISNUMBER(SEARCH("WY",#REF!)),#REF!)</f>
        <v>0</v>
      </c>
    </row>
    <row r="27" spans="1:14" ht="99.75" customHeight="1" x14ac:dyDescent="0.2">
      <c r="A27" s="208" t="s">
        <v>384</v>
      </c>
      <c r="B27" s="218" t="s">
        <v>343</v>
      </c>
      <c r="C27" s="423" t="s">
        <v>344</v>
      </c>
      <c r="D27" s="218" t="s">
        <v>345</v>
      </c>
      <c r="F27" s="3" t="str">
        <f t="shared" si="0"/>
        <v>Weld County, CO</v>
      </c>
      <c r="G27" s="3" t="b">
        <f t="shared" si="1"/>
        <v>0</v>
      </c>
      <c r="H27" s="3" t="b">
        <f t="shared" si="2"/>
        <v>0</v>
      </c>
      <c r="I27" s="5" t="b">
        <f t="shared" si="3"/>
        <v>0</v>
      </c>
      <c r="J27" s="3" t="str">
        <f t="shared" si="4"/>
        <v>Parcel ID: 8411</v>
      </c>
      <c r="K27" s="5" t="b">
        <f>IF(ISNUMBER(SEARCH("Sec",#REF!)),#REF!)</f>
        <v>0</v>
      </c>
      <c r="L27" s="5"/>
      <c r="M27" s="6"/>
      <c r="N27" s="5" t="b">
        <f>IF(ISNUMBER(SEARCH("WY",#REF!)),#REF!)</f>
        <v>0</v>
      </c>
    </row>
    <row r="28" spans="1:14" ht="57" customHeight="1" x14ac:dyDescent="0.2">
      <c r="A28" s="208" t="s">
        <v>385</v>
      </c>
      <c r="B28" s="218" t="s">
        <v>386</v>
      </c>
      <c r="C28" s="422"/>
      <c r="D28" s="218" t="s">
        <v>387</v>
      </c>
      <c r="F28" s="3" t="b">
        <f t="shared" si="0"/>
        <v>0</v>
      </c>
      <c r="G28" s="3" t="b">
        <f t="shared" si="1"/>
        <v>0</v>
      </c>
      <c r="H28" s="3" t="str">
        <f t="shared" si="2"/>
        <v>T.0110N.,R.0600W.,6TH PM </v>
      </c>
      <c r="I28" s="3" t="str">
        <f t="shared" si="3"/>
        <v>Serial #: COC79289</v>
      </c>
      <c r="J28" s="3" t="b">
        <f t="shared" si="4"/>
        <v>0</v>
      </c>
      <c r="K28" s="3" t="b">
        <f>IF(ISNUMBER(SEARCH("Sec",#REF!)),#REF!)</f>
        <v>0</v>
      </c>
      <c r="L28" s="3" t="s">
        <v>388</v>
      </c>
      <c r="M28" s="4" t="s">
        <v>388</v>
      </c>
      <c r="N28" s="3" t="b">
        <f>IF(ISNUMBER(SEARCH("WY",#REF!)),#REF!)</f>
        <v>0</v>
      </c>
    </row>
    <row r="29" spans="1:14" ht="28.5" customHeight="1" x14ac:dyDescent="0.2">
      <c r="A29" s="209" t="s">
        <v>349</v>
      </c>
      <c r="B29" s="218" t="s">
        <v>389</v>
      </c>
      <c r="C29" s="422"/>
      <c r="D29" s="218"/>
      <c r="F29" s="3" t="b">
        <f t="shared" si="0"/>
        <v>0</v>
      </c>
      <c r="G29" s="3" t="b">
        <f t="shared" si="1"/>
        <v>0</v>
      </c>
      <c r="H29" s="3" t="b">
        <f t="shared" si="2"/>
        <v>0</v>
      </c>
      <c r="I29" s="5" t="b">
        <f t="shared" si="3"/>
        <v>0</v>
      </c>
      <c r="J29" s="3" t="b">
        <f t="shared" si="4"/>
        <v>0</v>
      </c>
      <c r="K29" s="5" t="b">
        <f>IF(ISNUMBER(SEARCH("Sec",#REF!)),#REF!)</f>
        <v>0</v>
      </c>
      <c r="L29" s="5"/>
      <c r="M29" s="6"/>
      <c r="N29" s="5" t="b">
        <f>IF(ISNUMBER(SEARCH("WY",#REF!)),#REF!)</f>
        <v>0</v>
      </c>
    </row>
    <row r="30" spans="1:14" ht="15" customHeight="1" x14ac:dyDescent="0.2">
      <c r="A30" s="218" t="s">
        <v>351</v>
      </c>
      <c r="B30" s="210" t="s">
        <v>390</v>
      </c>
      <c r="C30" s="422"/>
      <c r="D30" s="218"/>
      <c r="F30" s="3" t="b">
        <f t="shared" si="0"/>
        <v>0</v>
      </c>
      <c r="G30" s="3" t="b">
        <f t="shared" si="1"/>
        <v>0</v>
      </c>
      <c r="H30" s="3" t="b">
        <f t="shared" si="2"/>
        <v>0</v>
      </c>
      <c r="I30" s="3" t="b">
        <f t="shared" si="3"/>
        <v>0</v>
      </c>
      <c r="J30" s="3" t="b">
        <f t="shared" si="4"/>
        <v>0</v>
      </c>
      <c r="K30" s="3" t="b">
        <f>IF(ISNUMBER(SEARCH("Sec",#REF!)),#REF!)</f>
        <v>0</v>
      </c>
      <c r="L30" s="3"/>
      <c r="M30" s="4"/>
      <c r="N30" s="3" t="b">
        <f>IF(ISNUMBER(SEARCH("WY",#REF!)),#REF!)</f>
        <v>0</v>
      </c>
    </row>
    <row r="31" spans="1:14" ht="71.25" customHeight="1" x14ac:dyDescent="0.2">
      <c r="A31" s="218"/>
      <c r="B31" s="210" t="s">
        <v>353</v>
      </c>
      <c r="C31" s="422"/>
      <c r="D31" s="218"/>
      <c r="F31" s="3" t="b">
        <f t="shared" si="0"/>
        <v>0</v>
      </c>
      <c r="G31" s="3" t="b">
        <f t="shared" si="1"/>
        <v>0</v>
      </c>
      <c r="H31" s="3" t="b">
        <f t="shared" si="2"/>
        <v>0</v>
      </c>
      <c r="I31" s="5" t="b">
        <f t="shared" si="3"/>
        <v>0</v>
      </c>
      <c r="J31" s="3" t="b">
        <f t="shared" si="4"/>
        <v>0</v>
      </c>
      <c r="K31" s="5" t="b">
        <f>IF(ISNUMBER(SEARCH("Sec",#REF!)),#REF!)</f>
        <v>0</v>
      </c>
      <c r="L31" s="5"/>
      <c r="M31" s="6"/>
      <c r="N31" s="5" t="b">
        <f>IF(ISNUMBER(SEARCH("WY",#REF!)),#REF!)</f>
        <v>0</v>
      </c>
    </row>
    <row r="32" spans="1:14" ht="28.5" customHeight="1" x14ac:dyDescent="0.2">
      <c r="A32" s="218"/>
      <c r="B32" s="218" t="s">
        <v>383</v>
      </c>
      <c r="C32" s="422"/>
      <c r="D32" s="218"/>
      <c r="F32" s="3" t="b">
        <f t="shared" si="0"/>
        <v>0</v>
      </c>
      <c r="G32" s="3" t="str">
        <f t="shared" si="1"/>
        <v>Acres: 320.00</v>
      </c>
      <c r="H32" s="3" t="b">
        <f t="shared" si="2"/>
        <v>0</v>
      </c>
      <c r="I32" s="3" t="b">
        <f t="shared" si="3"/>
        <v>0</v>
      </c>
      <c r="J32" s="3" t="b">
        <f t="shared" si="4"/>
        <v>0</v>
      </c>
      <c r="K32" s="3" t="b">
        <f>IF(ISNUMBER(SEARCH("Sec",#REF!)),#REF!)</f>
        <v>0</v>
      </c>
      <c r="L32" s="3" t="s">
        <v>391</v>
      </c>
      <c r="M32" s="4" t="s">
        <v>391</v>
      </c>
      <c r="N32" s="3" t="b">
        <f>IF(ISNUMBER(SEARCH("WY",#REF!)),#REF!)</f>
        <v>0</v>
      </c>
    </row>
    <row r="33" spans="1:14" ht="28.5" customHeight="1" x14ac:dyDescent="0.2">
      <c r="A33" s="211" t="s">
        <v>392</v>
      </c>
      <c r="B33" s="217" t="s">
        <v>343</v>
      </c>
      <c r="C33" s="421" t="s">
        <v>344</v>
      </c>
      <c r="D33" s="217" t="s">
        <v>345</v>
      </c>
      <c r="F33" s="3" t="str">
        <f t="shared" si="0"/>
        <v>Weld County, CO</v>
      </c>
      <c r="G33" s="3" t="b">
        <f t="shared" si="1"/>
        <v>0</v>
      </c>
      <c r="H33" s="3" t="b">
        <f t="shared" si="2"/>
        <v>0</v>
      </c>
      <c r="I33" s="5" t="b">
        <f t="shared" si="3"/>
        <v>0</v>
      </c>
      <c r="J33" s="3" t="str">
        <f t="shared" si="4"/>
        <v>Parcel ID: 8412</v>
      </c>
      <c r="K33" s="5" t="b">
        <f>IF(ISNUMBER(SEARCH("Sec",#REF!)),#REF!)</f>
        <v>0</v>
      </c>
      <c r="L33" s="5"/>
      <c r="M33" s="5"/>
      <c r="N33" s="5" t="b">
        <f>IF(ISNUMBER(SEARCH("WY",#REF!)),#REF!)</f>
        <v>0</v>
      </c>
    </row>
    <row r="34" spans="1:14" ht="42.75" customHeight="1" x14ac:dyDescent="0.2">
      <c r="A34" s="211" t="s">
        <v>393</v>
      </c>
      <c r="B34" s="217" t="s">
        <v>394</v>
      </c>
      <c r="C34" s="422"/>
      <c r="D34" s="217" t="s">
        <v>395</v>
      </c>
      <c r="F34" s="3" t="b">
        <f t="shared" ref="F34:F65" si="5">IF(ISNUMBER(SEARCH("County",B34)),B34)</f>
        <v>0</v>
      </c>
      <c r="G34" s="3" t="b">
        <f t="shared" ref="G34:G65" si="6">IF(ISNUMBER(SEARCH("acres:",B34)),B34)</f>
        <v>0</v>
      </c>
      <c r="H34" s="3" t="str">
        <f t="shared" ref="H34:H65" si="7">IF(ISNUMBER(SEARCH("T.",B34)),B34)</f>
        <v>T.0110N.,R.0610W.,6TH PM </v>
      </c>
      <c r="I34" s="3" t="str">
        <f t="shared" ref="I34:I65" si="8">IF(ISNUMBER(SEARCH("Serial",A34)),A34)</f>
        <v>Serial #: COC79290</v>
      </c>
      <c r="J34" s="3" t="b">
        <f t="shared" ref="J34:J65" si="9">IF(ISNUMBER(SEARCH("Parcel ID",A34)),A34)</f>
        <v>0</v>
      </c>
      <c r="K34" s="3" t="b">
        <f>IF(ISNUMBER(SEARCH("Sec",#REF!)),#REF!)</f>
        <v>0</v>
      </c>
      <c r="L34" s="3"/>
      <c r="M34" s="4"/>
      <c r="N34" s="3" t="b">
        <f>IF(ISNUMBER(SEARCH("WY",#REF!)),#REF!)</f>
        <v>0</v>
      </c>
    </row>
    <row r="35" spans="1:14" ht="15" customHeight="1" x14ac:dyDescent="0.2">
      <c r="A35" s="212" t="s">
        <v>349</v>
      </c>
      <c r="B35" s="217" t="s">
        <v>396</v>
      </c>
      <c r="C35" s="422"/>
      <c r="D35" s="217"/>
      <c r="F35" s="3" t="b">
        <f t="shared" si="5"/>
        <v>0</v>
      </c>
      <c r="G35" s="3" t="b">
        <f t="shared" si="6"/>
        <v>0</v>
      </c>
      <c r="H35" s="3" t="b">
        <f t="shared" si="7"/>
        <v>0</v>
      </c>
      <c r="I35" s="5" t="b">
        <f t="shared" si="8"/>
        <v>0</v>
      </c>
      <c r="J35" s="3" t="b">
        <f t="shared" si="9"/>
        <v>0</v>
      </c>
      <c r="K35" s="5" t="b">
        <f>IF(ISNUMBER(SEARCH("Sec",#REF!)),#REF!)</f>
        <v>0</v>
      </c>
      <c r="L35" s="5"/>
      <c r="M35" s="6"/>
      <c r="N35" s="5" t="b">
        <f>IF(ISNUMBER(SEARCH("WY",#REF!)),#REF!)</f>
        <v>0</v>
      </c>
    </row>
    <row r="36" spans="1:14" ht="71.25" customHeight="1" x14ac:dyDescent="0.2">
      <c r="A36" s="217" t="s">
        <v>351</v>
      </c>
      <c r="B36" s="199" t="s">
        <v>382</v>
      </c>
      <c r="C36" s="422"/>
      <c r="D36" s="217"/>
      <c r="F36" s="3" t="b">
        <f t="shared" si="5"/>
        <v>0</v>
      </c>
      <c r="G36" s="3" t="b">
        <f t="shared" si="6"/>
        <v>0</v>
      </c>
      <c r="H36" s="3" t="b">
        <f t="shared" si="7"/>
        <v>0</v>
      </c>
      <c r="I36" s="3" t="b">
        <f t="shared" si="8"/>
        <v>0</v>
      </c>
      <c r="J36" s="3" t="b">
        <f t="shared" si="9"/>
        <v>0</v>
      </c>
      <c r="K36" s="3" t="b">
        <f>IF(ISNUMBER(SEARCH("Sec",#REF!)),#REF!)</f>
        <v>0</v>
      </c>
      <c r="L36" s="3" t="s">
        <v>397</v>
      </c>
      <c r="M36" s="4" t="s">
        <v>398</v>
      </c>
      <c r="N36" s="3" t="b">
        <f>IF(ISNUMBER(SEARCH("WY",#REF!)),#REF!)</f>
        <v>0</v>
      </c>
    </row>
    <row r="37" spans="1:14" ht="57" customHeight="1" x14ac:dyDescent="0.2">
      <c r="A37" s="217"/>
      <c r="B37" s="199" t="s">
        <v>353</v>
      </c>
      <c r="C37" s="422"/>
      <c r="D37" s="217"/>
      <c r="F37" s="3" t="b">
        <f t="shared" si="5"/>
        <v>0</v>
      </c>
      <c r="G37" s="3" t="b">
        <f t="shared" si="6"/>
        <v>0</v>
      </c>
      <c r="H37" s="3" t="b">
        <f t="shared" si="7"/>
        <v>0</v>
      </c>
      <c r="I37" s="5" t="b">
        <f t="shared" si="8"/>
        <v>0</v>
      </c>
      <c r="J37" s="3" t="b">
        <f t="shared" si="9"/>
        <v>0</v>
      </c>
      <c r="K37" s="5" t="b">
        <f>IF(ISNUMBER(SEARCH("Sec",#REF!)),#REF!)</f>
        <v>0</v>
      </c>
      <c r="L37" s="5"/>
      <c r="M37" s="5"/>
      <c r="N37" s="5" t="b">
        <f>IF(ISNUMBER(SEARCH("WY",#REF!)),#REF!)</f>
        <v>0</v>
      </c>
    </row>
    <row r="38" spans="1:14" ht="28.5" customHeight="1" x14ac:dyDescent="0.2">
      <c r="A38" s="217"/>
      <c r="B38" s="217" t="s">
        <v>383</v>
      </c>
      <c r="C38" s="422"/>
      <c r="D38" s="217"/>
      <c r="F38" s="3" t="b">
        <f t="shared" si="5"/>
        <v>0</v>
      </c>
      <c r="G38" s="3" t="str">
        <f t="shared" si="6"/>
        <v>Acres: 320.00</v>
      </c>
      <c r="H38" s="3" t="b">
        <f t="shared" si="7"/>
        <v>0</v>
      </c>
      <c r="I38" s="3" t="b">
        <f t="shared" si="8"/>
        <v>0</v>
      </c>
      <c r="J38" s="3" t="b">
        <f t="shared" si="9"/>
        <v>0</v>
      </c>
      <c r="K38" s="3" t="b">
        <f>IF(ISNUMBER(SEARCH("Sec",#REF!)),#REF!)</f>
        <v>0</v>
      </c>
      <c r="L38" s="3" t="s">
        <v>399</v>
      </c>
      <c r="M38" s="4"/>
      <c r="N38" s="3" t="b">
        <f>IF(ISNUMBER(SEARCH("WY",#REF!)),#REF!)</f>
        <v>0</v>
      </c>
    </row>
    <row r="39" spans="1:14" ht="15" customHeight="1" x14ac:dyDescent="0.2">
      <c r="A39" s="208" t="s">
        <v>400</v>
      </c>
      <c r="B39" s="218" t="s">
        <v>401</v>
      </c>
      <c r="C39" s="423" t="s">
        <v>344</v>
      </c>
      <c r="D39" s="218" t="s">
        <v>345</v>
      </c>
      <c r="F39" s="3" t="str">
        <f t="shared" si="5"/>
        <v>Mesa County, CO</v>
      </c>
      <c r="G39" s="3" t="b">
        <f t="shared" si="6"/>
        <v>0</v>
      </c>
      <c r="H39" s="3" t="b">
        <f t="shared" si="7"/>
        <v>0</v>
      </c>
      <c r="I39" s="5" t="b">
        <f t="shared" si="8"/>
        <v>0</v>
      </c>
      <c r="J39" s="3" t="str">
        <f t="shared" si="9"/>
        <v>Parcel ID: 8136</v>
      </c>
      <c r="K39" s="5" t="b">
        <f>IF(ISNUMBER(SEARCH("Sec",#REF!)),#REF!)</f>
        <v>0</v>
      </c>
      <c r="L39" s="5"/>
      <c r="M39" s="6"/>
      <c r="N39" s="5" t="b">
        <f>IF(ISNUMBER(SEARCH("WY",#REF!)),#REF!)</f>
        <v>0</v>
      </c>
    </row>
    <row r="40" spans="1:14" ht="71.25" customHeight="1" x14ac:dyDescent="0.2">
      <c r="A40" s="208" t="s">
        <v>402</v>
      </c>
      <c r="B40" s="218" t="s">
        <v>403</v>
      </c>
      <c r="C40" s="422"/>
      <c r="D40" s="218" t="s">
        <v>404</v>
      </c>
      <c r="F40" s="3" t="b">
        <f t="shared" si="5"/>
        <v>0</v>
      </c>
      <c r="G40" s="3" t="b">
        <f t="shared" si="6"/>
        <v>0</v>
      </c>
      <c r="H40" s="3" t="str">
        <f t="shared" si="7"/>
        <v>T.0090S.,R.0940W.,6TH PM </v>
      </c>
      <c r="I40" s="3" t="str">
        <f t="shared" si="8"/>
        <v>Serial #: COC79300</v>
      </c>
      <c r="J40" s="3" t="b">
        <f t="shared" si="9"/>
        <v>0</v>
      </c>
      <c r="K40" s="3" t="b">
        <f>IF(ISNUMBER(SEARCH("Sec",#REF!)),#REF!)</f>
        <v>0</v>
      </c>
      <c r="L40" s="3"/>
      <c r="M40" s="4"/>
      <c r="N40" s="3" t="b">
        <f>IF(ISNUMBER(SEARCH("WY",#REF!)),#REF!)</f>
        <v>0</v>
      </c>
    </row>
    <row r="41" spans="1:14" ht="85.5" customHeight="1" x14ac:dyDescent="0.2">
      <c r="A41" s="209" t="s">
        <v>349</v>
      </c>
      <c r="B41" s="218" t="s">
        <v>405</v>
      </c>
      <c r="C41" s="422"/>
      <c r="D41" s="218"/>
      <c r="F41" s="3" t="b">
        <f t="shared" si="5"/>
        <v>0</v>
      </c>
      <c r="G41" s="3" t="b">
        <f t="shared" si="6"/>
        <v>0</v>
      </c>
      <c r="H41" s="3" t="b">
        <f t="shared" si="7"/>
        <v>0</v>
      </c>
      <c r="I41" s="5" t="b">
        <f t="shared" si="8"/>
        <v>0</v>
      </c>
      <c r="J41" s="3" t="b">
        <f t="shared" si="9"/>
        <v>0</v>
      </c>
      <c r="K41" s="5" t="b">
        <f>IF(ISNUMBER(SEARCH("Sec",#REF!)),#REF!)</f>
        <v>0</v>
      </c>
      <c r="L41" s="5"/>
      <c r="M41" s="6"/>
      <c r="N41" s="5" t="b">
        <f>IF(ISNUMBER(SEARCH("WY",#REF!)),#REF!)</f>
        <v>0</v>
      </c>
    </row>
    <row r="42" spans="1:14" ht="99.75" customHeight="1" x14ac:dyDescent="0.2">
      <c r="A42" s="218" t="s">
        <v>351</v>
      </c>
      <c r="B42" s="218" t="s">
        <v>406</v>
      </c>
      <c r="C42" s="422"/>
      <c r="D42" s="218"/>
      <c r="F42" s="3" t="b">
        <f t="shared" si="5"/>
        <v>0</v>
      </c>
      <c r="G42" s="3" t="b">
        <f t="shared" si="6"/>
        <v>0</v>
      </c>
      <c r="H42" s="3" t="b">
        <f t="shared" si="7"/>
        <v>0</v>
      </c>
      <c r="I42" s="3" t="b">
        <f t="shared" si="8"/>
        <v>0</v>
      </c>
      <c r="J42" s="3" t="b">
        <f t="shared" si="9"/>
        <v>0</v>
      </c>
      <c r="K42" s="3" t="b">
        <f>IF(ISNUMBER(SEARCH("Sec",#REF!)),#REF!)</f>
        <v>0</v>
      </c>
      <c r="L42" s="3"/>
      <c r="M42" s="3"/>
      <c r="N42" s="3" t="b">
        <f>IF(ISNUMBER(SEARCH("WY",#REF!)),#REF!)</f>
        <v>0</v>
      </c>
    </row>
    <row r="43" spans="1:14" ht="28.5" customHeight="1" x14ac:dyDescent="0.2">
      <c r="A43" s="218"/>
      <c r="B43" s="218" t="s">
        <v>407</v>
      </c>
      <c r="C43" s="422"/>
      <c r="D43" s="218"/>
      <c r="F43" s="3" t="b">
        <f t="shared" si="5"/>
        <v>0</v>
      </c>
      <c r="G43" s="3" t="str">
        <f t="shared" si="6"/>
        <v>Acres: 164.73</v>
      </c>
      <c r="H43" s="3" t="b">
        <f t="shared" si="7"/>
        <v>0</v>
      </c>
      <c r="I43" s="5" t="b">
        <f t="shared" si="8"/>
        <v>0</v>
      </c>
      <c r="J43" s="3" t="b">
        <f t="shared" si="9"/>
        <v>0</v>
      </c>
      <c r="K43" s="5" t="b">
        <f>IF(ISNUMBER(SEARCH("Sec",#REF!)),#REF!)</f>
        <v>0</v>
      </c>
      <c r="L43" s="5" t="s">
        <v>408</v>
      </c>
      <c r="M43" s="6"/>
      <c r="N43" s="5" t="b">
        <f>IF(ISNUMBER(SEARCH("WY",#REF!)),#REF!)</f>
        <v>0</v>
      </c>
    </row>
    <row r="44" spans="1:14" ht="15" customHeight="1" x14ac:dyDescent="0.2">
      <c r="A44" s="211" t="s">
        <v>409</v>
      </c>
      <c r="B44" s="217" t="s">
        <v>401</v>
      </c>
      <c r="C44" s="421" t="s">
        <v>344</v>
      </c>
      <c r="D44" s="217" t="s">
        <v>345</v>
      </c>
      <c r="F44" s="3" t="str">
        <f t="shared" si="5"/>
        <v>Mesa County, CO</v>
      </c>
      <c r="G44" s="3" t="b">
        <f t="shared" si="6"/>
        <v>0</v>
      </c>
      <c r="H44" s="3" t="b">
        <f t="shared" si="7"/>
        <v>0</v>
      </c>
      <c r="I44" s="3" t="b">
        <f t="shared" si="8"/>
        <v>0</v>
      </c>
      <c r="J44" s="3" t="str">
        <f t="shared" si="9"/>
        <v>Parcel ID: 8137</v>
      </c>
      <c r="K44" s="3" t="b">
        <f>IF(ISNUMBER(SEARCH("Sec",#REF!)),#REF!)</f>
        <v>0</v>
      </c>
      <c r="L44" s="3" t="s">
        <v>410</v>
      </c>
      <c r="M44" s="4"/>
      <c r="N44" s="3" t="b">
        <f>IF(ISNUMBER(SEARCH("WY",#REF!)),#REF!)</f>
        <v>0</v>
      </c>
    </row>
    <row r="45" spans="1:14" ht="71.25" customHeight="1" x14ac:dyDescent="0.2">
      <c r="A45" s="211" t="s">
        <v>411</v>
      </c>
      <c r="B45" s="217" t="s">
        <v>403</v>
      </c>
      <c r="C45" s="422"/>
      <c r="D45" s="217" t="s">
        <v>412</v>
      </c>
      <c r="F45" s="3" t="b">
        <f t="shared" si="5"/>
        <v>0</v>
      </c>
      <c r="G45" s="3" t="b">
        <f t="shared" si="6"/>
        <v>0</v>
      </c>
      <c r="H45" s="3" t="str">
        <f t="shared" si="7"/>
        <v>T.0090S.,R.0940W.,6TH PM </v>
      </c>
      <c r="I45" s="5" t="str">
        <f t="shared" si="8"/>
        <v>Serial #: COC79301</v>
      </c>
      <c r="J45" s="3" t="b">
        <f t="shared" si="9"/>
        <v>0</v>
      </c>
      <c r="K45" s="5" t="b">
        <f>IF(ISNUMBER(SEARCH("Sec",#REF!)),#REF!)</f>
        <v>0</v>
      </c>
      <c r="L45" s="5" t="s">
        <v>413</v>
      </c>
      <c r="M45" s="6"/>
      <c r="N45" s="5" t="b">
        <f>IF(ISNUMBER(SEARCH("WY",#REF!)),#REF!)</f>
        <v>0</v>
      </c>
    </row>
    <row r="46" spans="1:14" ht="42.75" customHeight="1" x14ac:dyDescent="0.2">
      <c r="A46" s="212" t="s">
        <v>349</v>
      </c>
      <c r="B46" s="217" t="s">
        <v>414</v>
      </c>
      <c r="C46" s="422"/>
      <c r="D46" s="217"/>
      <c r="F46" s="3" t="b">
        <f t="shared" si="5"/>
        <v>0</v>
      </c>
      <c r="G46" s="3" t="b">
        <f t="shared" si="6"/>
        <v>0</v>
      </c>
      <c r="H46" s="3" t="b">
        <f t="shared" si="7"/>
        <v>0</v>
      </c>
      <c r="I46" s="3" t="b">
        <f t="shared" si="8"/>
        <v>0</v>
      </c>
      <c r="J46" s="3" t="b">
        <f t="shared" si="9"/>
        <v>0</v>
      </c>
      <c r="K46" s="3" t="b">
        <f>IF(ISNUMBER(SEARCH("Sec",#REF!)),#REF!)</f>
        <v>0</v>
      </c>
      <c r="L46" s="3" t="s">
        <v>415</v>
      </c>
      <c r="M46" s="4"/>
      <c r="N46" s="3" t="b">
        <f>IF(ISNUMBER(SEARCH("WY",#REF!)),#REF!)</f>
        <v>0</v>
      </c>
    </row>
    <row r="47" spans="1:14" ht="71.25" customHeight="1" x14ac:dyDescent="0.2">
      <c r="A47" s="217" t="s">
        <v>351</v>
      </c>
      <c r="B47" s="217" t="s">
        <v>416</v>
      </c>
      <c r="C47" s="422"/>
      <c r="D47" s="217"/>
      <c r="F47" s="3" t="b">
        <f t="shared" si="5"/>
        <v>0</v>
      </c>
      <c r="G47" s="3" t="str">
        <f t="shared" si="6"/>
        <v>Acres: 40.00</v>
      </c>
      <c r="H47" s="3" t="b">
        <f t="shared" si="7"/>
        <v>0</v>
      </c>
      <c r="I47" s="5" t="b">
        <f t="shared" si="8"/>
        <v>0</v>
      </c>
      <c r="J47" s="3" t="b">
        <f t="shared" si="9"/>
        <v>0</v>
      </c>
      <c r="K47" s="5" t="b">
        <f>IF(ISNUMBER(SEARCH("Sec",#REF!)),#REF!)</f>
        <v>0</v>
      </c>
      <c r="L47" s="5" t="s">
        <v>417</v>
      </c>
      <c r="M47" s="6"/>
      <c r="N47" s="5" t="b">
        <f>IF(ISNUMBER(SEARCH("WY",#REF!)),#REF!)</f>
        <v>0</v>
      </c>
    </row>
    <row r="48" spans="1:14" ht="42.75" customHeight="1" x14ac:dyDescent="0.2">
      <c r="A48" s="208" t="s">
        <v>418</v>
      </c>
      <c r="B48" s="218" t="s">
        <v>419</v>
      </c>
      <c r="C48" s="423" t="s">
        <v>344</v>
      </c>
      <c r="D48" s="218" t="s">
        <v>345</v>
      </c>
      <c r="F48" s="3" t="str">
        <f t="shared" si="5"/>
        <v>Rio Blanco County, CO</v>
      </c>
      <c r="G48" s="3" t="b">
        <f t="shared" si="6"/>
        <v>0</v>
      </c>
      <c r="H48" s="3" t="b">
        <f t="shared" si="7"/>
        <v>0</v>
      </c>
      <c r="I48" s="3" t="b">
        <f t="shared" si="8"/>
        <v>0</v>
      </c>
      <c r="J48" s="3" t="str">
        <f t="shared" si="9"/>
        <v>Parcel ID: 8353</v>
      </c>
      <c r="K48" s="3" t="b">
        <f>IF(ISNUMBER(SEARCH("Sec",#REF!)),#REF!)</f>
        <v>0</v>
      </c>
      <c r="L48" s="3" t="s">
        <v>420</v>
      </c>
      <c r="M48" s="4"/>
      <c r="N48" s="3" t="b">
        <f>IF(ISNUMBER(SEARCH("WY",#REF!)),#REF!)</f>
        <v>0</v>
      </c>
    </row>
    <row r="49" spans="1:14" ht="85.5" customHeight="1" x14ac:dyDescent="0.2">
      <c r="A49" s="208" t="s">
        <v>421</v>
      </c>
      <c r="B49" s="218" t="s">
        <v>422</v>
      </c>
      <c r="C49" s="422"/>
      <c r="D49" s="218" t="s">
        <v>423</v>
      </c>
      <c r="F49" s="3" t="b">
        <f t="shared" si="5"/>
        <v>0</v>
      </c>
      <c r="G49" s="3" t="b">
        <f t="shared" si="6"/>
        <v>0</v>
      </c>
      <c r="H49" s="3" t="str">
        <f t="shared" si="7"/>
        <v>T.0030S.,R.0970W.,6TH PM </v>
      </c>
      <c r="I49" s="5" t="str">
        <f t="shared" si="8"/>
        <v>Serial #: COC79305</v>
      </c>
      <c r="J49" s="3" t="b">
        <f t="shared" si="9"/>
        <v>0</v>
      </c>
      <c r="K49" s="5" t="b">
        <f>IF(ISNUMBER(SEARCH("Sec",#REF!)),#REF!)</f>
        <v>0</v>
      </c>
      <c r="L49" s="5"/>
      <c r="M49" s="5"/>
      <c r="N49" s="5" t="b">
        <f>IF(ISNUMBER(SEARCH("WY",#REF!)),#REF!)</f>
        <v>0</v>
      </c>
    </row>
    <row r="50" spans="1:14" ht="85.5" customHeight="1" x14ac:dyDescent="0.2">
      <c r="A50" s="209" t="s">
        <v>349</v>
      </c>
      <c r="B50" s="218" t="s">
        <v>424</v>
      </c>
      <c r="C50" s="422"/>
      <c r="D50" s="218"/>
      <c r="F50" s="3" t="b">
        <f t="shared" si="5"/>
        <v>0</v>
      </c>
      <c r="G50" s="3" t="b">
        <f t="shared" si="6"/>
        <v>0</v>
      </c>
      <c r="H50" s="3" t="b">
        <f t="shared" si="7"/>
        <v>0</v>
      </c>
      <c r="I50" s="3" t="b">
        <f t="shared" si="8"/>
        <v>0</v>
      </c>
      <c r="J50" s="3" t="b">
        <f t="shared" si="9"/>
        <v>0</v>
      </c>
      <c r="K50" s="3" t="b">
        <f>IF(ISNUMBER(SEARCH("Sec",#REF!)),#REF!)</f>
        <v>0</v>
      </c>
      <c r="L50" s="3"/>
      <c r="M50" s="4"/>
      <c r="N50" s="3" t="b">
        <f>IF(ISNUMBER(SEARCH("WY",#REF!)),#REF!)</f>
        <v>0</v>
      </c>
    </row>
    <row r="51" spans="1:14" ht="28.5" customHeight="1" x14ac:dyDescent="0.2">
      <c r="A51" s="218" t="s">
        <v>351</v>
      </c>
      <c r="B51" s="218" t="s">
        <v>425</v>
      </c>
      <c r="C51" s="422"/>
      <c r="D51" s="218"/>
      <c r="F51" s="3" t="b">
        <f t="shared" si="5"/>
        <v>0</v>
      </c>
      <c r="G51" s="3" t="b">
        <f t="shared" si="6"/>
        <v>0</v>
      </c>
      <c r="H51" s="3" t="b">
        <f t="shared" si="7"/>
        <v>0</v>
      </c>
      <c r="I51" s="5" t="b">
        <f t="shared" si="8"/>
        <v>0</v>
      </c>
      <c r="J51" s="3" t="b">
        <f t="shared" si="9"/>
        <v>0</v>
      </c>
      <c r="K51" s="5" t="b">
        <f>IF(ISNUMBER(SEARCH("Sec",#REF!)),#REF!)</f>
        <v>0</v>
      </c>
      <c r="L51" s="5"/>
      <c r="M51" s="6"/>
      <c r="N51" s="5" t="b">
        <f>IF(ISNUMBER(SEARCH("WY",#REF!)),#REF!)</f>
        <v>0</v>
      </c>
    </row>
    <row r="52" spans="1:14" ht="57" customHeight="1" x14ac:dyDescent="0.2">
      <c r="A52" s="218"/>
      <c r="B52" s="218" t="s">
        <v>426</v>
      </c>
      <c r="C52" s="422"/>
      <c r="D52" s="218"/>
      <c r="F52" s="3" t="b">
        <f t="shared" si="5"/>
        <v>0</v>
      </c>
      <c r="G52" s="3" t="str">
        <f t="shared" si="6"/>
        <v>Acres: 960.00</v>
      </c>
      <c r="H52" s="3" t="b">
        <f t="shared" si="7"/>
        <v>0</v>
      </c>
      <c r="I52" s="3" t="b">
        <f t="shared" si="8"/>
        <v>0</v>
      </c>
      <c r="J52" s="3" t="b">
        <f t="shared" si="9"/>
        <v>0</v>
      </c>
      <c r="K52" s="3" t="b">
        <f>IF(ISNUMBER(SEARCH("Sec",#REF!)),#REF!)</f>
        <v>0</v>
      </c>
      <c r="L52" s="3"/>
      <c r="M52" s="4"/>
      <c r="N52" s="3" t="b">
        <f>IF(ISNUMBER(SEARCH("WY",#REF!)),#REF!)</f>
        <v>0</v>
      </c>
    </row>
    <row r="53" spans="1:14" ht="85.5" customHeight="1" x14ac:dyDescent="0.2">
      <c r="A53" s="211" t="s">
        <v>427</v>
      </c>
      <c r="B53" s="217" t="s">
        <v>343</v>
      </c>
      <c r="C53" s="421" t="s">
        <v>344</v>
      </c>
      <c r="D53" s="217" t="s">
        <v>345</v>
      </c>
      <c r="F53" s="3" t="str">
        <f t="shared" si="5"/>
        <v>Weld County, CO</v>
      </c>
      <c r="G53" s="3" t="b">
        <f t="shared" si="6"/>
        <v>0</v>
      </c>
      <c r="H53" s="3" t="b">
        <f t="shared" si="7"/>
        <v>0</v>
      </c>
      <c r="I53" s="5" t="b">
        <f t="shared" si="8"/>
        <v>0</v>
      </c>
      <c r="J53" s="3" t="str">
        <f t="shared" si="9"/>
        <v>Parcel ID: 8408</v>
      </c>
      <c r="K53" s="5" t="b">
        <f>IF(ISNUMBER(SEARCH("Sec",#REF!)),#REF!)</f>
        <v>0</v>
      </c>
      <c r="L53" s="5" t="s">
        <v>428</v>
      </c>
      <c r="M53" s="6" t="s">
        <v>429</v>
      </c>
      <c r="N53" s="5" t="b">
        <f>IF(ISNUMBER(SEARCH("WY",#REF!)),#REF!)</f>
        <v>0</v>
      </c>
    </row>
    <row r="54" spans="1:14" ht="57" customHeight="1" x14ac:dyDescent="0.2">
      <c r="A54" s="211" t="s">
        <v>430</v>
      </c>
      <c r="B54" s="217" t="s">
        <v>431</v>
      </c>
      <c r="C54" s="422"/>
      <c r="D54" s="217" t="s">
        <v>432</v>
      </c>
      <c r="F54" s="3" t="b">
        <f t="shared" si="5"/>
        <v>0</v>
      </c>
      <c r="G54" s="3" t="b">
        <f t="shared" si="6"/>
        <v>0</v>
      </c>
      <c r="H54" s="3" t="str">
        <f t="shared" si="7"/>
        <v>T.0100N.,R.0590W.,6TH PM </v>
      </c>
      <c r="I54" s="3" t="str">
        <f t="shared" si="8"/>
        <v>Serial #: COC79320</v>
      </c>
      <c r="J54" s="3" t="b">
        <f t="shared" si="9"/>
        <v>0</v>
      </c>
      <c r="K54" s="3" t="b">
        <f>IF(ISNUMBER(SEARCH("Sec",#REF!)),#REF!)</f>
        <v>0</v>
      </c>
      <c r="L54" s="3"/>
      <c r="M54" s="3"/>
      <c r="N54" s="3" t="b">
        <f>IF(ISNUMBER(SEARCH("WY",#REF!)),#REF!)</f>
        <v>0</v>
      </c>
    </row>
    <row r="55" spans="1:14" ht="99.75" customHeight="1" x14ac:dyDescent="0.2">
      <c r="A55" s="212" t="s">
        <v>349</v>
      </c>
      <c r="B55" s="217" t="s">
        <v>433</v>
      </c>
      <c r="C55" s="422"/>
      <c r="D55" s="217"/>
      <c r="F55" s="3" t="b">
        <f t="shared" si="5"/>
        <v>0</v>
      </c>
      <c r="G55" s="3" t="b">
        <f t="shared" si="6"/>
        <v>0</v>
      </c>
      <c r="H55" s="3" t="b">
        <f t="shared" si="7"/>
        <v>0</v>
      </c>
      <c r="I55" s="5" t="b">
        <f t="shared" si="8"/>
        <v>0</v>
      </c>
      <c r="J55" s="3" t="b">
        <f t="shared" si="9"/>
        <v>0</v>
      </c>
      <c r="K55" s="5" t="b">
        <f>IF(ISNUMBER(SEARCH("Sec",#REF!)),#REF!)</f>
        <v>0</v>
      </c>
      <c r="L55" s="5" t="s">
        <v>434</v>
      </c>
      <c r="M55" s="6"/>
      <c r="N55" s="5" t="b">
        <f>IF(ISNUMBER(SEARCH("WY",#REF!)),#REF!)</f>
        <v>0</v>
      </c>
    </row>
    <row r="56" spans="1:14" ht="42.75" customHeight="1" x14ac:dyDescent="0.2">
      <c r="A56" s="217" t="s">
        <v>351</v>
      </c>
      <c r="B56" s="217" t="s">
        <v>435</v>
      </c>
      <c r="C56" s="422"/>
      <c r="D56" s="217"/>
      <c r="F56" s="3" t="b">
        <f t="shared" si="5"/>
        <v>0</v>
      </c>
      <c r="G56" s="3" t="b">
        <f t="shared" si="6"/>
        <v>0</v>
      </c>
      <c r="H56" s="3" t="b">
        <f t="shared" si="7"/>
        <v>0</v>
      </c>
      <c r="I56" s="3" t="b">
        <f t="shared" si="8"/>
        <v>0</v>
      </c>
      <c r="J56" s="3" t="b">
        <f t="shared" si="9"/>
        <v>0</v>
      </c>
      <c r="K56" s="3" t="b">
        <f>IF(ISNUMBER(SEARCH("Sec",#REF!)),#REF!)</f>
        <v>0</v>
      </c>
      <c r="L56" s="3" t="s">
        <v>436</v>
      </c>
      <c r="M56" s="4"/>
      <c r="N56" s="3" t="b">
        <f>IF(ISNUMBER(SEARCH("WY",#REF!)),#REF!)</f>
        <v>0</v>
      </c>
    </row>
    <row r="57" spans="1:14" ht="15" customHeight="1" x14ac:dyDescent="0.2">
      <c r="A57" s="217"/>
      <c r="B57" s="217" t="s">
        <v>437</v>
      </c>
      <c r="C57" s="422"/>
      <c r="D57" s="217"/>
      <c r="F57" s="3" t="b">
        <f t="shared" si="5"/>
        <v>0</v>
      </c>
      <c r="G57" s="3" t="b">
        <f t="shared" si="6"/>
        <v>0</v>
      </c>
      <c r="H57" s="3" t="b">
        <f t="shared" si="7"/>
        <v>0</v>
      </c>
      <c r="I57" s="5" t="b">
        <f t="shared" si="8"/>
        <v>0</v>
      </c>
      <c r="J57" s="3" t="b">
        <f t="shared" si="9"/>
        <v>0</v>
      </c>
      <c r="K57" s="5" t="b">
        <f>IF(ISNUMBER(SEARCH("Sec",#REF!)),#REF!)</f>
        <v>0</v>
      </c>
      <c r="L57" s="5"/>
      <c r="M57" s="6"/>
      <c r="N57" s="5" t="b">
        <f>IF(ISNUMBER(SEARCH("WY",#REF!)),#REF!)</f>
        <v>0</v>
      </c>
    </row>
    <row r="58" spans="1:14" ht="71.25" customHeight="1" x14ac:dyDescent="0.2">
      <c r="A58" s="217"/>
      <c r="B58" s="217" t="s">
        <v>438</v>
      </c>
      <c r="C58" s="422"/>
      <c r="D58" s="217"/>
      <c r="F58" s="3" t="b">
        <f t="shared" si="5"/>
        <v>0</v>
      </c>
      <c r="G58" s="3" t="b">
        <f t="shared" si="6"/>
        <v>0</v>
      </c>
      <c r="H58" s="3" t="b">
        <f t="shared" si="7"/>
        <v>0</v>
      </c>
      <c r="I58" s="3" t="b">
        <f t="shared" si="8"/>
        <v>0</v>
      </c>
      <c r="J58" s="3" t="b">
        <f t="shared" si="9"/>
        <v>0</v>
      </c>
      <c r="K58" s="3" t="b">
        <f>IF(ISNUMBER(SEARCH("Sec",#REF!)),#REF!)</f>
        <v>0</v>
      </c>
      <c r="L58" s="3"/>
      <c r="M58" s="4"/>
      <c r="N58" s="3" t="b">
        <f>IF(ISNUMBER(SEARCH("WY",#REF!)),#REF!)</f>
        <v>0</v>
      </c>
    </row>
    <row r="59" spans="1:14" ht="57" customHeight="1" x14ac:dyDescent="0.2">
      <c r="A59" s="217"/>
      <c r="B59" s="217" t="s">
        <v>439</v>
      </c>
      <c r="C59" s="422"/>
      <c r="D59" s="217"/>
      <c r="F59" s="3" t="b">
        <f t="shared" si="5"/>
        <v>0</v>
      </c>
      <c r="G59" s="3" t="str">
        <f t="shared" si="6"/>
        <v>Acres: 456.44</v>
      </c>
      <c r="H59" s="3" t="b">
        <f t="shared" si="7"/>
        <v>0</v>
      </c>
      <c r="I59" s="5" t="b">
        <f t="shared" si="8"/>
        <v>0</v>
      </c>
      <c r="J59" s="3" t="b">
        <f t="shared" si="9"/>
        <v>0</v>
      </c>
      <c r="K59" s="5" t="b">
        <f>IF(ISNUMBER(SEARCH("Sec",#REF!)),#REF!)</f>
        <v>0</v>
      </c>
      <c r="L59" s="5"/>
      <c r="M59" s="6"/>
      <c r="N59" s="5" t="b">
        <f>IF(ISNUMBER(SEARCH("WY",#REF!)),#REF!)</f>
        <v>0</v>
      </c>
    </row>
    <row r="60" spans="1:14" ht="42.75" customHeight="1" x14ac:dyDescent="0.2">
      <c r="A60" s="208" t="s">
        <v>440</v>
      </c>
      <c r="B60" s="218" t="s">
        <v>343</v>
      </c>
      <c r="C60" s="423" t="s">
        <v>344</v>
      </c>
      <c r="D60" s="218" t="s">
        <v>345</v>
      </c>
      <c r="F60" s="3" t="str">
        <f t="shared" si="5"/>
        <v>Weld County, CO</v>
      </c>
      <c r="G60" s="3" t="b">
        <f t="shared" si="6"/>
        <v>0</v>
      </c>
      <c r="H60" s="3" t="b">
        <f t="shared" si="7"/>
        <v>0</v>
      </c>
      <c r="I60" s="3" t="b">
        <f t="shared" si="8"/>
        <v>0</v>
      </c>
      <c r="J60" s="3" t="str">
        <f t="shared" si="9"/>
        <v>Parcel ID: 8407</v>
      </c>
      <c r="K60" s="3" t="b">
        <f>IF(ISNUMBER(SEARCH("Sec",#REF!)),#REF!)</f>
        <v>0</v>
      </c>
      <c r="L60" s="3" t="s">
        <v>441</v>
      </c>
      <c r="M60" s="4" t="s">
        <v>442</v>
      </c>
      <c r="N60" s="3" t="b">
        <f>IF(ISNUMBER(SEARCH("WY",#REF!)),#REF!)</f>
        <v>0</v>
      </c>
    </row>
    <row r="61" spans="1:14" ht="42.75" customHeight="1" x14ac:dyDescent="0.2">
      <c r="A61" s="208" t="s">
        <v>443</v>
      </c>
      <c r="B61" s="218" t="s">
        <v>377</v>
      </c>
      <c r="C61" s="422"/>
      <c r="D61" s="218" t="s">
        <v>444</v>
      </c>
      <c r="F61" s="3" t="b">
        <f t="shared" si="5"/>
        <v>0</v>
      </c>
      <c r="G61" s="3" t="b">
        <f t="shared" si="6"/>
        <v>0</v>
      </c>
      <c r="H61" s="3" t="str">
        <f t="shared" si="7"/>
        <v>T.0090N.,R.0600W.,6TH PM </v>
      </c>
      <c r="I61" s="5" t="str">
        <f t="shared" si="8"/>
        <v>Serial #: COC79321</v>
      </c>
      <c r="J61" s="3" t="b">
        <f t="shared" si="9"/>
        <v>0</v>
      </c>
      <c r="K61" s="5" t="b">
        <f>IF(ISNUMBER(SEARCH("Sec",#REF!)),#REF!)</f>
        <v>0</v>
      </c>
      <c r="L61" s="5" t="s">
        <v>445</v>
      </c>
      <c r="M61" s="6"/>
      <c r="N61" s="5" t="b">
        <f>IF(ISNUMBER(SEARCH("WY",#REF!)),#REF!)</f>
        <v>0</v>
      </c>
    </row>
    <row r="62" spans="1:14" ht="28.5" customHeight="1" x14ac:dyDescent="0.2">
      <c r="A62" s="209" t="s">
        <v>349</v>
      </c>
      <c r="B62" s="218" t="s">
        <v>446</v>
      </c>
      <c r="C62" s="422"/>
      <c r="D62" s="218"/>
      <c r="F62" s="3" t="b">
        <f t="shared" si="5"/>
        <v>0</v>
      </c>
      <c r="G62" s="3" t="b">
        <f t="shared" si="6"/>
        <v>0</v>
      </c>
      <c r="H62" s="3" t="b">
        <f t="shared" si="7"/>
        <v>0</v>
      </c>
      <c r="I62" s="3" t="b">
        <f t="shared" si="8"/>
        <v>0</v>
      </c>
      <c r="J62" s="3" t="b">
        <f t="shared" si="9"/>
        <v>0</v>
      </c>
      <c r="K62" s="3" t="b">
        <f>IF(ISNUMBER(SEARCH("Sec",#REF!)),#REF!)</f>
        <v>0</v>
      </c>
      <c r="L62" s="3" t="s">
        <v>447</v>
      </c>
      <c r="M62" s="4"/>
      <c r="N62" s="3" t="b">
        <f>IF(ISNUMBER(SEARCH("WY",#REF!)),#REF!)</f>
        <v>0</v>
      </c>
    </row>
    <row r="63" spans="1:14" x14ac:dyDescent="0.2">
      <c r="A63" s="218" t="s">
        <v>351</v>
      </c>
      <c r="B63" s="218" t="s">
        <v>354</v>
      </c>
      <c r="C63" s="422"/>
      <c r="D63" s="218"/>
      <c r="F63" s="3" t="b">
        <f t="shared" si="5"/>
        <v>0</v>
      </c>
      <c r="G63" s="3" t="str">
        <f t="shared" si="6"/>
        <v>Acres: 80.00</v>
      </c>
      <c r="H63" s="3" t="b">
        <f t="shared" si="7"/>
        <v>0</v>
      </c>
      <c r="I63" s="5" t="b">
        <f t="shared" si="8"/>
        <v>0</v>
      </c>
      <c r="J63" s="3" t="b">
        <f t="shared" si="9"/>
        <v>0</v>
      </c>
      <c r="K63" s="5" t="b">
        <f>IF(ISNUMBER(SEARCH("Sec",#REF!)),#REF!)</f>
        <v>0</v>
      </c>
      <c r="L63" s="5"/>
      <c r="M63" s="5"/>
      <c r="N63" s="5" t="b">
        <f>IF(ISNUMBER(SEARCH("WY",#REF!)),#REF!)</f>
        <v>0</v>
      </c>
    </row>
    <row r="64" spans="1:14" ht="71.25" customHeight="1" x14ac:dyDescent="0.2">
      <c r="A64" s="211" t="s">
        <v>448</v>
      </c>
      <c r="B64" s="217" t="s">
        <v>343</v>
      </c>
      <c r="C64" s="421" t="s">
        <v>344</v>
      </c>
      <c r="D64" s="217" t="s">
        <v>345</v>
      </c>
      <c r="F64" s="3" t="str">
        <f t="shared" si="5"/>
        <v>Weld County, CO</v>
      </c>
      <c r="G64" s="3" t="b">
        <f t="shared" si="6"/>
        <v>0</v>
      </c>
      <c r="H64" s="3" t="b">
        <f t="shared" si="7"/>
        <v>0</v>
      </c>
      <c r="I64" s="3" t="b">
        <f t="shared" si="8"/>
        <v>0</v>
      </c>
      <c r="J64" s="3" t="str">
        <f t="shared" si="9"/>
        <v>Parcel ID: 8373</v>
      </c>
      <c r="K64" s="3" t="b">
        <f>IF(ISNUMBER(SEARCH("Sec",#REF!)),#REF!)</f>
        <v>0</v>
      </c>
      <c r="L64" s="3"/>
      <c r="M64" s="4"/>
      <c r="N64" s="3" t="b">
        <f>IF(ISNUMBER(SEARCH("WY",#REF!)),#REF!)</f>
        <v>0</v>
      </c>
    </row>
    <row r="65" spans="1:14" ht="114" customHeight="1" x14ac:dyDescent="0.2">
      <c r="A65" s="211" t="s">
        <v>449</v>
      </c>
      <c r="B65" s="217" t="s">
        <v>450</v>
      </c>
      <c r="C65" s="422"/>
      <c r="D65" s="217" t="s">
        <v>451</v>
      </c>
      <c r="F65" s="3" t="b">
        <f t="shared" si="5"/>
        <v>0</v>
      </c>
      <c r="G65" s="3" t="b">
        <f t="shared" si="6"/>
        <v>0</v>
      </c>
      <c r="H65" s="3" t="str">
        <f t="shared" si="7"/>
        <v>T.0040N.,R.0610W.,6TH PM </v>
      </c>
      <c r="I65" s="5" t="str">
        <f t="shared" si="8"/>
        <v>Serial #: COC79322</v>
      </c>
      <c r="J65" s="3" t="b">
        <f t="shared" si="9"/>
        <v>0</v>
      </c>
      <c r="K65" s="5" t="b">
        <f>IF(ISNUMBER(SEARCH("Sec",#REF!)),#REF!)</f>
        <v>0</v>
      </c>
      <c r="L65" s="5"/>
      <c r="M65" s="6"/>
      <c r="N65" s="5" t="b">
        <f>IF(ISNUMBER(SEARCH("WY",#REF!)),#REF!)</f>
        <v>0</v>
      </c>
    </row>
    <row r="66" spans="1:14" ht="99.75" customHeight="1" x14ac:dyDescent="0.2">
      <c r="A66" s="212" t="s">
        <v>349</v>
      </c>
      <c r="B66" s="217" t="s">
        <v>452</v>
      </c>
      <c r="C66" s="422"/>
      <c r="D66" s="217"/>
      <c r="F66" s="3" t="b">
        <f t="shared" ref="F66:F97" si="10">IF(ISNUMBER(SEARCH("County",B66)),B66)</f>
        <v>0</v>
      </c>
      <c r="G66" s="3" t="b">
        <f t="shared" ref="G66:G97" si="11">IF(ISNUMBER(SEARCH("acres:",B66)),B66)</f>
        <v>0</v>
      </c>
      <c r="H66" s="3" t="b">
        <f t="shared" ref="H66:H97" si="12">IF(ISNUMBER(SEARCH("T.",B66)),B66)</f>
        <v>0</v>
      </c>
      <c r="I66" s="3" t="b">
        <f t="shared" ref="I66:I97" si="13">IF(ISNUMBER(SEARCH("Serial",A66)),A66)</f>
        <v>0</v>
      </c>
      <c r="J66" s="3" t="b">
        <f t="shared" ref="J66:J97" si="14">IF(ISNUMBER(SEARCH("Parcel ID",A66)),A66)</f>
        <v>0</v>
      </c>
      <c r="K66" s="3" t="b">
        <f>IF(ISNUMBER(SEARCH("Sec",#REF!)),#REF!)</f>
        <v>0</v>
      </c>
      <c r="L66" s="3" t="s">
        <v>453</v>
      </c>
      <c r="M66" s="4" t="s">
        <v>453</v>
      </c>
      <c r="N66" s="3" t="b">
        <f>IF(ISNUMBER(SEARCH("WY",#REF!)),#REF!)</f>
        <v>0</v>
      </c>
    </row>
    <row r="67" spans="1:14" ht="42.75" customHeight="1" x14ac:dyDescent="0.2">
      <c r="A67" s="217" t="s">
        <v>351</v>
      </c>
      <c r="B67" s="217" t="s">
        <v>454</v>
      </c>
      <c r="C67" s="422"/>
      <c r="D67" s="217"/>
      <c r="F67" s="3" t="b">
        <f t="shared" si="10"/>
        <v>0</v>
      </c>
      <c r="G67" s="3" t="b">
        <f t="shared" si="11"/>
        <v>0</v>
      </c>
      <c r="H67" s="3" t="b">
        <f t="shared" si="12"/>
        <v>0</v>
      </c>
      <c r="I67" s="5" t="b">
        <f t="shared" si="13"/>
        <v>0</v>
      </c>
      <c r="J67" s="3" t="b">
        <f t="shared" si="14"/>
        <v>0</v>
      </c>
      <c r="K67" s="5" t="b">
        <f>IF(ISNUMBER(SEARCH("Sec",#REF!)),#REF!)</f>
        <v>0</v>
      </c>
      <c r="L67" s="5"/>
      <c r="M67" s="6"/>
      <c r="N67" s="5" t="b">
        <f>IF(ISNUMBER(SEARCH("WY",#REF!)),#REF!)</f>
        <v>0</v>
      </c>
    </row>
    <row r="68" spans="1:14" ht="42.75" customHeight="1" x14ac:dyDescent="0.2">
      <c r="A68" s="217"/>
      <c r="B68" s="217" t="s">
        <v>455</v>
      </c>
      <c r="C68" s="422"/>
      <c r="D68" s="217"/>
      <c r="F68" s="3" t="b">
        <f t="shared" si="10"/>
        <v>0</v>
      </c>
      <c r="G68" s="3" t="str">
        <f t="shared" si="11"/>
        <v>Acres: 1.49</v>
      </c>
      <c r="H68" s="3" t="b">
        <f t="shared" si="12"/>
        <v>0</v>
      </c>
      <c r="I68" s="3" t="b">
        <f t="shared" si="13"/>
        <v>0</v>
      </c>
      <c r="J68" s="3" t="b">
        <f t="shared" si="14"/>
        <v>0</v>
      </c>
      <c r="K68" s="3" t="b">
        <f>IF(ISNUMBER(SEARCH("Sec",#REF!)),#REF!)</f>
        <v>0</v>
      </c>
      <c r="L68" s="3"/>
      <c r="M68" s="4"/>
      <c r="N68" s="3" t="b">
        <f>IF(ISNUMBER(SEARCH("WY",#REF!)),#REF!)</f>
        <v>0</v>
      </c>
    </row>
    <row r="69" spans="1:14" ht="17.25" customHeight="1" x14ac:dyDescent="0.2">
      <c r="A69" s="208" t="s">
        <v>456</v>
      </c>
      <c r="B69" s="218" t="s">
        <v>343</v>
      </c>
      <c r="C69" s="423" t="s">
        <v>344</v>
      </c>
      <c r="D69" s="218" t="s">
        <v>345</v>
      </c>
      <c r="F69" s="3" t="str">
        <f t="shared" si="10"/>
        <v>Weld County, CO</v>
      </c>
      <c r="G69" s="3" t="b">
        <f t="shared" si="11"/>
        <v>0</v>
      </c>
      <c r="H69" s="3" t="b">
        <f t="shared" si="12"/>
        <v>0</v>
      </c>
      <c r="I69" s="5" t="b">
        <f t="shared" si="13"/>
        <v>0</v>
      </c>
      <c r="J69" s="3" t="str">
        <f t="shared" si="14"/>
        <v>Parcel ID: 8409</v>
      </c>
      <c r="K69" s="5" t="b">
        <f>IF(ISNUMBER(SEARCH("Sec",#REF!)),#REF!)</f>
        <v>0</v>
      </c>
      <c r="L69" s="5"/>
      <c r="M69" s="6"/>
      <c r="N69" s="5" t="b">
        <f>IF(ISNUMBER(SEARCH("WY",#REF!)),#REF!)</f>
        <v>0</v>
      </c>
    </row>
    <row r="70" spans="1:14" ht="71.25" customHeight="1" x14ac:dyDescent="0.2">
      <c r="A70" s="208" t="s">
        <v>457</v>
      </c>
      <c r="B70" s="218" t="s">
        <v>458</v>
      </c>
      <c r="C70" s="422"/>
      <c r="D70" s="218" t="s">
        <v>459</v>
      </c>
      <c r="F70" s="3" t="b">
        <f t="shared" si="10"/>
        <v>0</v>
      </c>
      <c r="G70" s="3" t="b">
        <f t="shared" si="11"/>
        <v>0</v>
      </c>
      <c r="H70" s="3" t="str">
        <f t="shared" si="12"/>
        <v>T.0100N.,R.0610W.,6TH PM </v>
      </c>
      <c r="I70" s="3" t="str">
        <f t="shared" si="13"/>
        <v>Serial #: COC79323</v>
      </c>
      <c r="J70" s="3" t="b">
        <f t="shared" si="14"/>
        <v>0</v>
      </c>
      <c r="K70" s="3" t="b">
        <f>IF(ISNUMBER(SEARCH("Sec",#REF!)),#REF!)</f>
        <v>0</v>
      </c>
      <c r="L70" s="3"/>
      <c r="M70" s="3"/>
      <c r="N70" s="3" t="b">
        <f>IF(ISNUMBER(SEARCH("WY",#REF!)),#REF!)</f>
        <v>0</v>
      </c>
    </row>
    <row r="71" spans="1:14" ht="85.5" customHeight="1" x14ac:dyDescent="0.2">
      <c r="A71" s="209" t="s">
        <v>349</v>
      </c>
      <c r="B71" s="218" t="s">
        <v>460</v>
      </c>
      <c r="C71" s="422"/>
      <c r="D71" s="218"/>
      <c r="F71" s="3" t="b">
        <f t="shared" si="10"/>
        <v>0</v>
      </c>
      <c r="G71" s="3" t="b">
        <f t="shared" si="11"/>
        <v>0</v>
      </c>
      <c r="H71" s="3" t="b">
        <f t="shared" si="12"/>
        <v>0</v>
      </c>
      <c r="I71" s="5" t="b">
        <f t="shared" si="13"/>
        <v>0</v>
      </c>
      <c r="J71" s="3" t="b">
        <f t="shared" si="14"/>
        <v>0</v>
      </c>
      <c r="K71" s="5" t="b">
        <f>IF(ISNUMBER(SEARCH("Sec",#REF!)),#REF!)</f>
        <v>0</v>
      </c>
      <c r="L71" s="5"/>
      <c r="M71" s="6"/>
      <c r="N71" s="5" t="b">
        <f>IF(ISNUMBER(SEARCH("WY",#REF!)),#REF!)</f>
        <v>0</v>
      </c>
    </row>
    <row r="72" spans="1:14" ht="28.5" customHeight="1" x14ac:dyDescent="0.2">
      <c r="A72" s="218" t="s">
        <v>351</v>
      </c>
      <c r="B72" s="218" t="s">
        <v>461</v>
      </c>
      <c r="C72" s="422"/>
      <c r="D72" s="218"/>
      <c r="F72" s="3" t="b">
        <f t="shared" si="10"/>
        <v>0</v>
      </c>
      <c r="G72" s="3" t="str">
        <f t="shared" si="11"/>
        <v>Acres: 120.00</v>
      </c>
      <c r="H72" s="3" t="b">
        <f t="shared" si="12"/>
        <v>0</v>
      </c>
      <c r="I72" s="3" t="b">
        <f t="shared" si="13"/>
        <v>0</v>
      </c>
      <c r="J72" s="3" t="b">
        <f t="shared" si="14"/>
        <v>0</v>
      </c>
      <c r="K72" s="3" t="b">
        <f>IF(ISNUMBER(SEARCH("Sec",#REF!)),#REF!)</f>
        <v>0</v>
      </c>
      <c r="L72" s="3"/>
      <c r="M72" s="4"/>
      <c r="N72" s="3" t="b">
        <f>IF(ISNUMBER(SEARCH("WY",#REF!)),#REF!)</f>
        <v>0</v>
      </c>
    </row>
    <row r="73" spans="1:14" ht="57" customHeight="1" x14ac:dyDescent="0.2">
      <c r="A73" s="211" t="s">
        <v>462</v>
      </c>
      <c r="B73" s="217" t="s">
        <v>463</v>
      </c>
      <c r="C73" s="421" t="s">
        <v>344</v>
      </c>
      <c r="D73" s="217" t="s">
        <v>345</v>
      </c>
      <c r="F73" s="3" t="str">
        <f t="shared" si="10"/>
        <v>Jackson County, CO</v>
      </c>
      <c r="G73" s="3" t="b">
        <f t="shared" si="11"/>
        <v>0</v>
      </c>
      <c r="H73" s="3" t="b">
        <f t="shared" si="12"/>
        <v>0</v>
      </c>
      <c r="I73" s="5" t="b">
        <f t="shared" si="13"/>
        <v>0</v>
      </c>
      <c r="J73" s="3" t="str">
        <f t="shared" si="14"/>
        <v>Parcel ID: 8257</v>
      </c>
      <c r="K73" s="5" t="b">
        <f>IF(ISNUMBER(SEARCH("Sec",#REF!)),#REF!)</f>
        <v>0</v>
      </c>
      <c r="L73" s="5"/>
      <c r="M73" s="6"/>
      <c r="N73" s="5" t="b">
        <f>IF(ISNUMBER(SEARCH("WY",#REF!)),#REF!)</f>
        <v>0</v>
      </c>
    </row>
    <row r="74" spans="1:14" ht="85.5" customHeight="1" x14ac:dyDescent="0.2">
      <c r="A74" s="211" t="s">
        <v>464</v>
      </c>
      <c r="B74" s="217" t="s">
        <v>465</v>
      </c>
      <c r="C74" s="422"/>
      <c r="D74" s="217" t="s">
        <v>466</v>
      </c>
      <c r="F74" s="3" t="b">
        <f t="shared" si="10"/>
        <v>0</v>
      </c>
      <c r="G74" s="3" t="b">
        <f t="shared" si="11"/>
        <v>0</v>
      </c>
      <c r="H74" s="3" t="str">
        <f t="shared" si="12"/>
        <v>T.0050N.,R.0770W.,6TH PM </v>
      </c>
      <c r="I74" s="3" t="str">
        <f t="shared" si="13"/>
        <v>Serial #: COC79324</v>
      </c>
      <c r="J74" s="3" t="b">
        <f t="shared" si="14"/>
        <v>0</v>
      </c>
      <c r="K74" s="3" t="b">
        <f>IF(ISNUMBER(SEARCH("Sec",#REF!)),#REF!)</f>
        <v>0</v>
      </c>
      <c r="L74" s="3" t="s">
        <v>467</v>
      </c>
      <c r="M74" s="4" t="s">
        <v>468</v>
      </c>
      <c r="N74" s="3" t="b">
        <f>IF(ISNUMBER(SEARCH("WY",#REF!)),#REF!)</f>
        <v>0</v>
      </c>
    </row>
    <row r="75" spans="1:14" ht="57" customHeight="1" x14ac:dyDescent="0.2">
      <c r="A75" s="212" t="s">
        <v>349</v>
      </c>
      <c r="B75" s="217" t="s">
        <v>469</v>
      </c>
      <c r="C75" s="422"/>
      <c r="D75" s="217"/>
      <c r="F75" s="3" t="b">
        <f t="shared" si="10"/>
        <v>0</v>
      </c>
      <c r="G75" s="3" t="b">
        <f t="shared" si="11"/>
        <v>0</v>
      </c>
      <c r="H75" s="3" t="b">
        <f t="shared" si="12"/>
        <v>0</v>
      </c>
      <c r="I75" s="5" t="b">
        <f t="shared" si="13"/>
        <v>0</v>
      </c>
      <c r="J75" s="3" t="b">
        <f t="shared" si="14"/>
        <v>0</v>
      </c>
      <c r="K75" s="5" t="b">
        <f>IF(ISNUMBER(SEARCH("Sec",#REF!)),#REF!)</f>
        <v>0</v>
      </c>
      <c r="L75" s="5"/>
      <c r="M75" s="5"/>
      <c r="N75" s="5" t="b">
        <f>IF(ISNUMBER(SEARCH("WY",#REF!)),#REF!)</f>
        <v>0</v>
      </c>
    </row>
    <row r="76" spans="1:14" ht="57" customHeight="1" x14ac:dyDescent="0.2">
      <c r="A76" s="217" t="s">
        <v>351</v>
      </c>
      <c r="B76" s="217" t="s">
        <v>470</v>
      </c>
      <c r="C76" s="422"/>
      <c r="D76" s="217"/>
      <c r="F76" s="3" t="b">
        <f t="shared" si="10"/>
        <v>0</v>
      </c>
      <c r="G76" s="3" t="b">
        <f t="shared" si="11"/>
        <v>0</v>
      </c>
      <c r="H76" s="3" t="b">
        <f t="shared" si="12"/>
        <v>0</v>
      </c>
      <c r="I76" s="3" t="b">
        <f t="shared" si="13"/>
        <v>0</v>
      </c>
      <c r="J76" s="3" t="b">
        <f t="shared" si="14"/>
        <v>0</v>
      </c>
      <c r="K76" s="3" t="b">
        <f>IF(ISNUMBER(SEARCH("Sec",#REF!)),#REF!)</f>
        <v>0</v>
      </c>
      <c r="L76" s="3"/>
      <c r="M76" s="4"/>
      <c r="N76" s="3" t="b">
        <f>IF(ISNUMBER(SEARCH("WY",#REF!)),#REF!)</f>
        <v>0</v>
      </c>
    </row>
    <row r="77" spans="1:14" ht="57" customHeight="1" x14ac:dyDescent="0.2">
      <c r="A77" s="217"/>
      <c r="B77" s="217" t="s">
        <v>471</v>
      </c>
      <c r="C77" s="422"/>
      <c r="D77" s="217"/>
      <c r="F77" s="3" t="b">
        <f t="shared" si="10"/>
        <v>0</v>
      </c>
      <c r="G77" s="3" t="str">
        <f t="shared" si="11"/>
        <v>Acres: 160.21</v>
      </c>
      <c r="H77" s="3" t="b">
        <f t="shared" si="12"/>
        <v>0</v>
      </c>
      <c r="I77" s="5" t="b">
        <f t="shared" si="13"/>
        <v>0</v>
      </c>
      <c r="J77" s="3" t="b">
        <f t="shared" si="14"/>
        <v>0</v>
      </c>
      <c r="K77" s="5" t="b">
        <f>IF(ISNUMBER(SEARCH("Sec",#REF!)),#REF!)</f>
        <v>0</v>
      </c>
      <c r="L77" s="5"/>
      <c r="M77" s="6"/>
      <c r="N77" s="5" t="b">
        <f>IF(ISNUMBER(SEARCH("WY",#REF!)),#REF!)</f>
        <v>0</v>
      </c>
    </row>
    <row r="78" spans="1:14" ht="114" customHeight="1" x14ac:dyDescent="0.2">
      <c r="A78" s="208" t="s">
        <v>472</v>
      </c>
      <c r="B78" s="218" t="s">
        <v>463</v>
      </c>
      <c r="C78" s="423" t="s">
        <v>344</v>
      </c>
      <c r="D78" s="218" t="s">
        <v>345</v>
      </c>
      <c r="F78" s="3" t="str">
        <f t="shared" si="10"/>
        <v>Jackson County, CO</v>
      </c>
      <c r="G78" s="3" t="b">
        <f t="shared" si="11"/>
        <v>0</v>
      </c>
      <c r="H78" s="3" t="b">
        <f t="shared" si="12"/>
        <v>0</v>
      </c>
      <c r="I78" s="3" t="b">
        <f t="shared" si="13"/>
        <v>0</v>
      </c>
      <c r="J78" s="3" t="str">
        <f t="shared" si="14"/>
        <v>Parcel ID: 8298</v>
      </c>
      <c r="K78" s="3" t="b">
        <f>IF(ISNUMBER(SEARCH("Sec",#REF!)),#REF!)</f>
        <v>0</v>
      </c>
      <c r="L78" s="3"/>
      <c r="M78" s="4"/>
      <c r="N78" s="3" t="b">
        <f>IF(ISNUMBER(SEARCH("WY",#REF!)),#REF!)</f>
        <v>0</v>
      </c>
    </row>
    <row r="79" spans="1:14" ht="28.5" customHeight="1" x14ac:dyDescent="0.2">
      <c r="A79" s="208" t="s">
        <v>473</v>
      </c>
      <c r="B79" s="218" t="s">
        <v>474</v>
      </c>
      <c r="C79" s="422"/>
      <c r="D79" s="218" t="s">
        <v>475</v>
      </c>
      <c r="F79" s="3" t="b">
        <f t="shared" si="10"/>
        <v>0</v>
      </c>
      <c r="G79" s="3" t="b">
        <f t="shared" si="11"/>
        <v>0</v>
      </c>
      <c r="H79" s="3" t="str">
        <f t="shared" si="12"/>
        <v>T.0080N.,R.0770W.,6TH PM </v>
      </c>
      <c r="I79" s="5" t="str">
        <f t="shared" si="13"/>
        <v>Serial #: COC79325</v>
      </c>
      <c r="J79" s="3" t="b">
        <f t="shared" si="14"/>
        <v>0</v>
      </c>
      <c r="K79" s="5" t="b">
        <f>IF(ISNUMBER(SEARCH("Sec",#REF!)),#REF!)</f>
        <v>0</v>
      </c>
      <c r="L79" s="5" t="s">
        <v>476</v>
      </c>
      <c r="M79" s="6" t="s">
        <v>477</v>
      </c>
      <c r="N79" s="5" t="b">
        <f>IF(ISNUMBER(SEARCH("WY",#REF!)),#REF!)</f>
        <v>0</v>
      </c>
    </row>
    <row r="80" spans="1:14" ht="57" customHeight="1" x14ac:dyDescent="0.2">
      <c r="A80" s="209" t="s">
        <v>349</v>
      </c>
      <c r="B80" s="218" t="s">
        <v>478</v>
      </c>
      <c r="C80" s="422"/>
      <c r="D80" s="218"/>
      <c r="F80" s="3" t="b">
        <f t="shared" si="10"/>
        <v>0</v>
      </c>
      <c r="G80" s="3" t="b">
        <f t="shared" si="11"/>
        <v>0</v>
      </c>
      <c r="H80" s="3" t="b">
        <f t="shared" si="12"/>
        <v>0</v>
      </c>
      <c r="I80" s="3" t="b">
        <f t="shared" si="13"/>
        <v>0</v>
      </c>
      <c r="J80" s="3" t="b">
        <f t="shared" si="14"/>
        <v>0</v>
      </c>
      <c r="K80" s="3" t="b">
        <f>IF(ISNUMBER(SEARCH("Sec",#REF!)),#REF!)</f>
        <v>0</v>
      </c>
      <c r="L80" s="3"/>
      <c r="M80" s="3"/>
      <c r="N80" s="3" t="b">
        <f>IF(ISNUMBER(SEARCH("WY",#REF!)),#REF!)</f>
        <v>0</v>
      </c>
    </row>
    <row r="81" spans="1:14" ht="28.5" customHeight="1" x14ac:dyDescent="0.2">
      <c r="A81" s="218" t="s">
        <v>351</v>
      </c>
      <c r="B81" s="218" t="s">
        <v>479</v>
      </c>
      <c r="C81" s="422"/>
      <c r="D81" s="218"/>
      <c r="F81" s="3" t="b">
        <f t="shared" si="10"/>
        <v>0</v>
      </c>
      <c r="G81" s="3" t="b">
        <f t="shared" si="11"/>
        <v>0</v>
      </c>
      <c r="H81" s="3" t="b">
        <f t="shared" si="12"/>
        <v>0</v>
      </c>
      <c r="I81" s="5" t="b">
        <f t="shared" si="13"/>
        <v>0</v>
      </c>
      <c r="J81" s="3" t="b">
        <f t="shared" si="14"/>
        <v>0</v>
      </c>
      <c r="K81" s="5" t="b">
        <f>IF(ISNUMBER(SEARCH("Sec",#REF!)),#REF!)</f>
        <v>0</v>
      </c>
      <c r="L81" s="5"/>
      <c r="M81" s="6"/>
      <c r="N81" s="5" t="b">
        <f>IF(ISNUMBER(SEARCH("WY",#REF!)),#REF!)</f>
        <v>0</v>
      </c>
    </row>
    <row r="82" spans="1:14" ht="15" customHeight="1" x14ac:dyDescent="0.2">
      <c r="A82" s="218"/>
      <c r="B82" s="218" t="s">
        <v>461</v>
      </c>
      <c r="C82" s="422"/>
      <c r="D82" s="218"/>
      <c r="F82" s="3" t="b">
        <f t="shared" si="10"/>
        <v>0</v>
      </c>
      <c r="G82" s="3" t="str">
        <f t="shared" si="11"/>
        <v>Acres: 120.00</v>
      </c>
      <c r="H82" s="3" t="b">
        <f t="shared" si="12"/>
        <v>0</v>
      </c>
      <c r="I82" s="3" t="b">
        <f t="shared" si="13"/>
        <v>0</v>
      </c>
      <c r="J82" s="3" t="b">
        <f t="shared" si="14"/>
        <v>0</v>
      </c>
      <c r="K82" s="3" t="b">
        <f>IF(ISNUMBER(SEARCH("Sec",#REF!)),#REF!)</f>
        <v>0</v>
      </c>
      <c r="L82" s="3"/>
      <c r="M82" s="4"/>
      <c r="N82" s="3" t="b">
        <f>IF(ISNUMBER(SEARCH("WY",#REF!)),#REF!)</f>
        <v>0</v>
      </c>
    </row>
    <row r="83" spans="1:14" ht="71.25" customHeight="1" x14ac:dyDescent="0.2">
      <c r="A83" s="211" t="s">
        <v>480</v>
      </c>
      <c r="B83" s="217" t="s">
        <v>463</v>
      </c>
      <c r="C83" s="421" t="s">
        <v>344</v>
      </c>
      <c r="D83" s="217" t="s">
        <v>345</v>
      </c>
      <c r="F83" s="3" t="str">
        <f t="shared" si="10"/>
        <v>Jackson County, CO</v>
      </c>
      <c r="G83" s="3" t="b">
        <f t="shared" si="11"/>
        <v>0</v>
      </c>
      <c r="H83" s="3" t="b">
        <f t="shared" si="12"/>
        <v>0</v>
      </c>
      <c r="I83" s="5" t="b">
        <f t="shared" si="13"/>
        <v>0</v>
      </c>
      <c r="J83" s="3" t="str">
        <f t="shared" si="14"/>
        <v>Parcel ID: 8258</v>
      </c>
      <c r="K83" s="5" t="b">
        <f>IF(ISNUMBER(SEARCH("Sec",#REF!)),#REF!)</f>
        <v>0</v>
      </c>
      <c r="L83" s="5"/>
      <c r="M83" s="6"/>
      <c r="N83" s="5" t="b">
        <f>IF(ISNUMBER(SEARCH("WY",#REF!)),#REF!)</f>
        <v>0</v>
      </c>
    </row>
    <row r="84" spans="1:14" ht="42.75" customHeight="1" x14ac:dyDescent="0.2">
      <c r="A84" s="211" t="s">
        <v>481</v>
      </c>
      <c r="B84" s="217" t="s">
        <v>482</v>
      </c>
      <c r="C84" s="422"/>
      <c r="D84" s="217" t="s">
        <v>483</v>
      </c>
      <c r="F84" s="3" t="b">
        <f t="shared" si="10"/>
        <v>0</v>
      </c>
      <c r="G84" s="3" t="b">
        <f t="shared" si="11"/>
        <v>0</v>
      </c>
      <c r="H84" s="3" t="str">
        <f t="shared" si="12"/>
        <v>T.0050N.,R.0780W.,6TH PM </v>
      </c>
      <c r="I84" s="3" t="str">
        <f t="shared" si="13"/>
        <v>Serial #: COC79326</v>
      </c>
      <c r="J84" s="3" t="b">
        <f t="shared" si="14"/>
        <v>0</v>
      </c>
      <c r="K84" s="3" t="b">
        <f>IF(ISNUMBER(SEARCH("Sec",#REF!)),#REF!)</f>
        <v>0</v>
      </c>
      <c r="L84" s="3" t="s">
        <v>484</v>
      </c>
      <c r="M84" s="4" t="s">
        <v>485</v>
      </c>
      <c r="N84" s="3" t="b">
        <f>IF(ISNUMBER(SEARCH("WY",#REF!)),#REF!)</f>
        <v>0</v>
      </c>
    </row>
    <row r="85" spans="1:14" ht="42.75" customHeight="1" x14ac:dyDescent="0.2">
      <c r="A85" s="212" t="s">
        <v>349</v>
      </c>
      <c r="B85" s="217" t="s">
        <v>486</v>
      </c>
      <c r="C85" s="422"/>
      <c r="D85" s="217"/>
      <c r="F85" s="3" t="b">
        <f t="shared" si="10"/>
        <v>0</v>
      </c>
      <c r="G85" s="3" t="b">
        <f t="shared" si="11"/>
        <v>0</v>
      </c>
      <c r="H85" s="3" t="b">
        <f t="shared" si="12"/>
        <v>0</v>
      </c>
      <c r="I85" s="5" t="b">
        <f t="shared" si="13"/>
        <v>0</v>
      </c>
      <c r="J85" s="3" t="b">
        <f t="shared" si="14"/>
        <v>0</v>
      </c>
      <c r="K85" s="5" t="b">
        <f>IF(ISNUMBER(SEARCH("Sec",#REF!)),#REF!)</f>
        <v>0</v>
      </c>
      <c r="L85" s="5" t="s">
        <v>487</v>
      </c>
      <c r="M85" s="6"/>
      <c r="N85" s="5" t="b">
        <f>IF(ISNUMBER(SEARCH("WY",#REF!)),#REF!)</f>
        <v>0</v>
      </c>
    </row>
    <row r="86" spans="1:14" ht="42.75" customHeight="1" x14ac:dyDescent="0.2">
      <c r="A86" s="217" t="s">
        <v>351</v>
      </c>
      <c r="B86" s="217" t="s">
        <v>416</v>
      </c>
      <c r="C86" s="422"/>
      <c r="D86" s="217"/>
      <c r="F86" s="3" t="b">
        <f t="shared" si="10"/>
        <v>0</v>
      </c>
      <c r="G86" s="3" t="str">
        <f t="shared" si="11"/>
        <v>Acres: 40.00</v>
      </c>
      <c r="H86" s="3" t="b">
        <f t="shared" si="12"/>
        <v>0</v>
      </c>
      <c r="I86" s="3" t="b">
        <f t="shared" si="13"/>
        <v>0</v>
      </c>
      <c r="J86" s="3" t="b">
        <f t="shared" si="14"/>
        <v>0</v>
      </c>
      <c r="K86" s="3" t="b">
        <f>IF(ISNUMBER(SEARCH("Sec",#REF!)),#REF!)</f>
        <v>0</v>
      </c>
      <c r="L86" s="3"/>
      <c r="M86" s="4"/>
      <c r="N86" s="3" t="b">
        <f>IF(ISNUMBER(SEARCH("WY",#REF!)),#REF!)</f>
        <v>0</v>
      </c>
    </row>
    <row r="87" spans="1:14" ht="57" customHeight="1" x14ac:dyDescent="0.2">
      <c r="A87" s="208" t="s">
        <v>488</v>
      </c>
      <c r="B87" s="218" t="s">
        <v>463</v>
      </c>
      <c r="C87" s="423" t="s">
        <v>344</v>
      </c>
      <c r="D87" s="218" t="s">
        <v>345</v>
      </c>
      <c r="F87" s="3" t="str">
        <f t="shared" si="10"/>
        <v>Jackson County, CO</v>
      </c>
      <c r="G87" s="3" t="b">
        <f t="shared" si="11"/>
        <v>0</v>
      </c>
      <c r="H87" s="3" t="b">
        <f t="shared" si="12"/>
        <v>0</v>
      </c>
      <c r="I87" s="5" t="b">
        <f t="shared" si="13"/>
        <v>0</v>
      </c>
      <c r="J87" s="3" t="str">
        <f t="shared" si="14"/>
        <v>Parcel ID: 8290</v>
      </c>
      <c r="K87" s="5" t="b">
        <f>IF(ISNUMBER(SEARCH("Sec",#REF!)),#REF!)</f>
        <v>0</v>
      </c>
      <c r="L87" s="5"/>
      <c r="M87" s="6"/>
      <c r="N87" s="5" t="b">
        <f>IF(ISNUMBER(SEARCH("WY",#REF!)),#REF!)</f>
        <v>0</v>
      </c>
    </row>
    <row r="88" spans="1:14" ht="99.75" customHeight="1" x14ac:dyDescent="0.2">
      <c r="A88" s="208" t="s">
        <v>489</v>
      </c>
      <c r="B88" s="218" t="s">
        <v>490</v>
      </c>
      <c r="C88" s="422"/>
      <c r="D88" s="218" t="s">
        <v>491</v>
      </c>
      <c r="F88" s="3" t="b">
        <f t="shared" si="10"/>
        <v>0</v>
      </c>
      <c r="G88" s="3" t="b">
        <f t="shared" si="11"/>
        <v>0</v>
      </c>
      <c r="H88" s="3" t="str">
        <f t="shared" si="12"/>
        <v>T.0060N.,R.0780W.,6TH PM </v>
      </c>
      <c r="I88" s="3" t="str">
        <f t="shared" si="13"/>
        <v>Serial #: COC79327</v>
      </c>
      <c r="J88" s="3" t="b">
        <f t="shared" si="14"/>
        <v>0</v>
      </c>
      <c r="K88" s="3" t="b">
        <f>IF(ISNUMBER(SEARCH("Sec",#REF!)),#REF!)</f>
        <v>0</v>
      </c>
      <c r="L88" s="3"/>
      <c r="M88" s="4"/>
      <c r="N88" s="3" t="b">
        <f>IF(ISNUMBER(SEARCH("WY",#REF!)),#REF!)</f>
        <v>0</v>
      </c>
    </row>
    <row r="89" spans="1:14" ht="28.5" customHeight="1" x14ac:dyDescent="0.2">
      <c r="A89" s="209" t="s">
        <v>349</v>
      </c>
      <c r="B89" s="218" t="s">
        <v>492</v>
      </c>
      <c r="C89" s="422"/>
      <c r="D89" s="218"/>
      <c r="F89" s="3" t="b">
        <f t="shared" si="10"/>
        <v>0</v>
      </c>
      <c r="G89" s="3" t="b">
        <f t="shared" si="11"/>
        <v>0</v>
      </c>
      <c r="H89" s="3" t="b">
        <f t="shared" si="12"/>
        <v>0</v>
      </c>
      <c r="I89" s="5" t="b">
        <f t="shared" si="13"/>
        <v>0</v>
      </c>
      <c r="J89" s="3" t="b">
        <f t="shared" si="14"/>
        <v>0</v>
      </c>
      <c r="K89" s="5" t="b">
        <f>IF(ISNUMBER(SEARCH("Sec",#REF!)),#REF!)</f>
        <v>0</v>
      </c>
      <c r="L89" s="5" t="s">
        <v>493</v>
      </c>
      <c r="M89" s="6" t="s">
        <v>493</v>
      </c>
      <c r="N89" s="5" t="b">
        <f>IF(ISNUMBER(SEARCH("WY",#REF!)),#REF!)</f>
        <v>0</v>
      </c>
    </row>
    <row r="90" spans="1:14" ht="57" customHeight="1" x14ac:dyDescent="0.2">
      <c r="A90" s="218" t="s">
        <v>351</v>
      </c>
      <c r="B90" s="218" t="s">
        <v>494</v>
      </c>
      <c r="C90" s="422"/>
      <c r="D90" s="218"/>
      <c r="F90" s="3" t="b">
        <f t="shared" si="10"/>
        <v>0</v>
      </c>
      <c r="G90" s="3" t="b">
        <f t="shared" si="11"/>
        <v>0</v>
      </c>
      <c r="H90" s="3" t="b">
        <f t="shared" si="12"/>
        <v>0</v>
      </c>
      <c r="I90" s="3" t="b">
        <f t="shared" si="13"/>
        <v>0</v>
      </c>
      <c r="J90" s="3" t="b">
        <f t="shared" si="14"/>
        <v>0</v>
      </c>
      <c r="K90" s="3" t="b">
        <f>IF(ISNUMBER(SEARCH("Sec",#REF!)),#REF!)</f>
        <v>0</v>
      </c>
      <c r="L90" s="3"/>
      <c r="M90" s="4"/>
      <c r="N90" s="3" t="b">
        <f>IF(ISNUMBER(SEARCH("WY",#REF!)),#REF!)</f>
        <v>0</v>
      </c>
    </row>
    <row r="91" spans="1:14" ht="28.5" customHeight="1" x14ac:dyDescent="0.2">
      <c r="A91" s="218"/>
      <c r="B91" s="218" t="s">
        <v>495</v>
      </c>
      <c r="C91" s="422"/>
      <c r="D91" s="218"/>
      <c r="F91" s="3" t="b">
        <f t="shared" si="10"/>
        <v>0</v>
      </c>
      <c r="G91" s="3" t="b">
        <f t="shared" si="11"/>
        <v>0</v>
      </c>
      <c r="H91" s="3" t="b">
        <f t="shared" si="12"/>
        <v>0</v>
      </c>
      <c r="I91" s="5" t="b">
        <f t="shared" si="13"/>
        <v>0</v>
      </c>
      <c r="J91" s="3" t="b">
        <f t="shared" si="14"/>
        <v>0</v>
      </c>
      <c r="K91" s="5" t="b">
        <f>IF(ISNUMBER(SEARCH("Sec",#REF!)),#REF!)</f>
        <v>0</v>
      </c>
      <c r="L91" s="5"/>
      <c r="M91" s="6"/>
      <c r="N91" s="5" t="b">
        <f>IF(ISNUMBER(SEARCH("WY",#REF!)),#REF!)</f>
        <v>0</v>
      </c>
    </row>
    <row r="92" spans="1:14" x14ac:dyDescent="0.2">
      <c r="A92" s="218"/>
      <c r="B92" s="218" t="s">
        <v>496</v>
      </c>
      <c r="C92" s="422"/>
      <c r="D92" s="218"/>
      <c r="F92" s="3" t="b">
        <f t="shared" si="10"/>
        <v>0</v>
      </c>
      <c r="G92" s="3" t="b">
        <f t="shared" si="11"/>
        <v>0</v>
      </c>
      <c r="H92" s="3" t="b">
        <f t="shared" si="12"/>
        <v>0</v>
      </c>
      <c r="I92" s="3" t="b">
        <f t="shared" si="13"/>
        <v>0</v>
      </c>
      <c r="J92" s="3" t="b">
        <f t="shared" si="14"/>
        <v>0</v>
      </c>
      <c r="K92" s="3" t="b">
        <f>IF(ISNUMBER(SEARCH("Sec",#REF!)),#REF!)</f>
        <v>0</v>
      </c>
      <c r="L92" s="3"/>
      <c r="M92" s="3"/>
      <c r="N92" s="3" t="b">
        <f>IF(ISNUMBER(SEARCH("WY",#REF!)),#REF!)</f>
        <v>0</v>
      </c>
    </row>
    <row r="93" spans="1:14" ht="71.25" customHeight="1" x14ac:dyDescent="0.2">
      <c r="A93" s="218"/>
      <c r="B93" s="218" t="s">
        <v>497</v>
      </c>
      <c r="C93" s="422"/>
      <c r="D93" s="218"/>
      <c r="F93" s="3" t="b">
        <f t="shared" si="10"/>
        <v>0</v>
      </c>
      <c r="G93" s="3" t="b">
        <f t="shared" si="11"/>
        <v>0</v>
      </c>
      <c r="H93" s="3" t="b">
        <f t="shared" si="12"/>
        <v>0</v>
      </c>
      <c r="I93" s="5" t="b">
        <f t="shared" si="13"/>
        <v>0</v>
      </c>
      <c r="J93" s="3" t="b">
        <f t="shared" si="14"/>
        <v>0</v>
      </c>
      <c r="K93" s="5" t="b">
        <f>IF(ISNUMBER(SEARCH("Sec",#REF!)),#REF!)</f>
        <v>0</v>
      </c>
      <c r="L93" s="5" t="s">
        <v>498</v>
      </c>
      <c r="M93" s="6" t="s">
        <v>499</v>
      </c>
      <c r="N93" s="5" t="b">
        <f>IF(ISNUMBER(SEARCH("WY",#REF!)),#REF!)</f>
        <v>0</v>
      </c>
    </row>
    <row r="94" spans="1:14" ht="42.75" customHeight="1" x14ac:dyDescent="0.2">
      <c r="A94" s="218"/>
      <c r="B94" s="218" t="s">
        <v>500</v>
      </c>
      <c r="C94" s="422"/>
      <c r="D94" s="218"/>
      <c r="F94" s="3" t="b">
        <f t="shared" si="10"/>
        <v>0</v>
      </c>
      <c r="G94" s="3" t="str">
        <f t="shared" si="11"/>
        <v>Acres: 1,360.00</v>
      </c>
      <c r="H94" s="3" t="b">
        <f t="shared" si="12"/>
        <v>0</v>
      </c>
      <c r="I94" s="3" t="b">
        <f t="shared" si="13"/>
        <v>0</v>
      </c>
      <c r="J94" s="3" t="b">
        <f t="shared" si="14"/>
        <v>0</v>
      </c>
      <c r="K94" s="3" t="b">
        <f>IF(ISNUMBER(SEARCH("Sec",#REF!)),#REF!)</f>
        <v>0</v>
      </c>
      <c r="L94" s="3" t="s">
        <v>501</v>
      </c>
      <c r="M94" s="4"/>
      <c r="N94" s="3" t="b">
        <f>IF(ISNUMBER(SEARCH("WY",#REF!)),#REF!)</f>
        <v>0</v>
      </c>
    </row>
    <row r="95" spans="1:14" ht="85.5" customHeight="1" x14ac:dyDescent="0.2">
      <c r="A95" s="211" t="s">
        <v>502</v>
      </c>
      <c r="B95" s="217" t="s">
        <v>503</v>
      </c>
      <c r="C95" s="421" t="s">
        <v>344</v>
      </c>
      <c r="D95" s="217" t="s">
        <v>345</v>
      </c>
      <c r="F95" s="3" t="str">
        <f t="shared" si="10"/>
        <v>Routt County, CO</v>
      </c>
      <c r="G95" s="3" t="b">
        <f t="shared" si="11"/>
        <v>0</v>
      </c>
      <c r="H95" s="3" t="b">
        <f t="shared" si="12"/>
        <v>0</v>
      </c>
      <c r="I95" s="5" t="b">
        <f t="shared" si="13"/>
        <v>0</v>
      </c>
      <c r="J95" s="3" t="str">
        <f t="shared" si="14"/>
        <v>Parcel ID: 8222</v>
      </c>
      <c r="K95" s="5" t="b">
        <f>IF(ISNUMBER(SEARCH("Sec",#REF!)),#REF!)</f>
        <v>0</v>
      </c>
      <c r="L95" s="5"/>
      <c r="M95" s="6"/>
      <c r="N95" s="5" t="b">
        <f>IF(ISNUMBER(SEARCH("WY",#REF!)),#REF!)</f>
        <v>0</v>
      </c>
    </row>
    <row r="96" spans="1:14" ht="32" customHeight="1" x14ac:dyDescent="0.2">
      <c r="A96" s="211" t="s">
        <v>504</v>
      </c>
      <c r="B96" s="217" t="s">
        <v>505</v>
      </c>
      <c r="C96" s="422"/>
      <c r="D96" s="217" t="s">
        <v>506</v>
      </c>
      <c r="F96" s="3" t="b">
        <f t="shared" si="10"/>
        <v>0</v>
      </c>
      <c r="G96" s="3" t="b">
        <f t="shared" si="11"/>
        <v>0</v>
      </c>
      <c r="H96" s="3" t="str">
        <f t="shared" si="12"/>
        <v>T.0030N.,R.0870W.,6TH PM </v>
      </c>
      <c r="I96" s="3" t="str">
        <f t="shared" si="13"/>
        <v>Serial #: COC79330</v>
      </c>
      <c r="J96" s="3" t="b">
        <f t="shared" si="14"/>
        <v>0</v>
      </c>
      <c r="K96" s="3" t="b">
        <f>IF(ISNUMBER(SEARCH("Sec",#REF!)),#REF!)</f>
        <v>0</v>
      </c>
      <c r="L96" s="3"/>
      <c r="M96" s="3"/>
      <c r="N96" s="3" t="b">
        <f>IF(ISNUMBER(SEARCH("WY",#REF!)),#REF!)</f>
        <v>0</v>
      </c>
    </row>
    <row r="97" spans="1:14" ht="28.5" customHeight="1" x14ac:dyDescent="0.2">
      <c r="A97" s="212" t="s">
        <v>349</v>
      </c>
      <c r="B97" s="217" t="s">
        <v>507</v>
      </c>
      <c r="C97" s="422"/>
      <c r="D97" s="217"/>
      <c r="F97" s="3" t="b">
        <f t="shared" si="10"/>
        <v>0</v>
      </c>
      <c r="G97" s="3" t="b">
        <f t="shared" si="11"/>
        <v>0</v>
      </c>
      <c r="H97" s="3" t="b">
        <f t="shared" si="12"/>
        <v>0</v>
      </c>
      <c r="I97" s="5" t="b">
        <f t="shared" si="13"/>
        <v>0</v>
      </c>
      <c r="J97" s="3" t="b">
        <f t="shared" si="14"/>
        <v>0</v>
      </c>
      <c r="K97" s="5" t="b">
        <f>IF(ISNUMBER(SEARCH("Sec",#REF!)),#REF!)</f>
        <v>0</v>
      </c>
      <c r="L97" s="5"/>
      <c r="M97" s="6"/>
      <c r="N97" s="5" t="b">
        <f>IF(ISNUMBER(SEARCH("WY",#REF!)),#REF!)</f>
        <v>0</v>
      </c>
    </row>
    <row r="98" spans="1:14" ht="15" customHeight="1" x14ac:dyDescent="0.2">
      <c r="A98" s="217" t="s">
        <v>351</v>
      </c>
      <c r="B98" s="217" t="s">
        <v>508</v>
      </c>
      <c r="C98" s="422"/>
      <c r="D98" s="217"/>
      <c r="F98" s="3" t="b">
        <f t="shared" ref="F98:F129" si="15">IF(ISNUMBER(SEARCH("County",B98)),B98)</f>
        <v>0</v>
      </c>
      <c r="G98" s="3" t="b">
        <f t="shared" ref="G98:G129" si="16">IF(ISNUMBER(SEARCH("acres:",B98)),B98)</f>
        <v>0</v>
      </c>
      <c r="H98" s="3" t="b">
        <f t="shared" ref="H98:H129" si="17">IF(ISNUMBER(SEARCH("T.",B98)),B98)</f>
        <v>0</v>
      </c>
      <c r="I98" s="3" t="b">
        <f t="shared" ref="I98:I129" si="18">IF(ISNUMBER(SEARCH("Serial",A98)),A98)</f>
        <v>0</v>
      </c>
      <c r="J98" s="3" t="b">
        <f t="shared" ref="J98:J129" si="19">IF(ISNUMBER(SEARCH("Parcel ID",A98)),A98)</f>
        <v>0</v>
      </c>
      <c r="K98" s="3" t="b">
        <f>IF(ISNUMBER(SEARCH("Sec",#REF!)),#REF!)</f>
        <v>0</v>
      </c>
      <c r="L98" s="3" t="s">
        <v>509</v>
      </c>
      <c r="M98" s="4" t="s">
        <v>510</v>
      </c>
      <c r="N98" s="3" t="b">
        <f>IF(ISNUMBER(SEARCH("WY",#REF!)),#REF!)</f>
        <v>0</v>
      </c>
    </row>
    <row r="99" spans="1:14" ht="71.25" customHeight="1" x14ac:dyDescent="0.2">
      <c r="A99" s="217"/>
      <c r="B99" s="217" t="s">
        <v>511</v>
      </c>
      <c r="C99" s="422"/>
      <c r="D99" s="217"/>
      <c r="F99" s="3" t="b">
        <f t="shared" si="15"/>
        <v>0</v>
      </c>
      <c r="G99" s="3" t="b">
        <f t="shared" si="16"/>
        <v>0</v>
      </c>
      <c r="H99" s="3" t="str">
        <f t="shared" si="17"/>
        <v>T.0040N.,R.0870W.,6TH PM </v>
      </c>
      <c r="I99" s="5" t="b">
        <f t="shared" si="18"/>
        <v>0</v>
      </c>
      <c r="J99" s="3" t="b">
        <f t="shared" si="19"/>
        <v>0</v>
      </c>
      <c r="K99" s="5" t="b">
        <f>IF(ISNUMBER(SEARCH("Sec",#REF!)),#REF!)</f>
        <v>0</v>
      </c>
      <c r="L99" s="5" t="s">
        <v>512</v>
      </c>
      <c r="M99" s="6"/>
      <c r="N99" s="5" t="b">
        <f>IF(ISNUMBER(SEARCH("WY",#REF!)),#REF!)</f>
        <v>0</v>
      </c>
    </row>
    <row r="100" spans="1:14" ht="42.75" customHeight="1" x14ac:dyDescent="0.2">
      <c r="A100" s="217"/>
      <c r="B100" s="217" t="s">
        <v>513</v>
      </c>
      <c r="C100" s="422"/>
      <c r="D100" s="217"/>
      <c r="F100" s="3" t="b">
        <f t="shared" si="15"/>
        <v>0</v>
      </c>
      <c r="G100" s="3" t="b">
        <f t="shared" si="16"/>
        <v>0</v>
      </c>
      <c r="H100" s="3" t="b">
        <f t="shared" si="17"/>
        <v>0</v>
      </c>
      <c r="I100" s="3" t="b">
        <f t="shared" si="18"/>
        <v>0</v>
      </c>
      <c r="J100" s="3" t="b">
        <f t="shared" si="19"/>
        <v>0</v>
      </c>
      <c r="K100" s="3" t="b">
        <f>IF(ISNUMBER(SEARCH("Sec",#REF!)),#REF!)</f>
        <v>0</v>
      </c>
      <c r="L100" s="3"/>
      <c r="M100" s="4"/>
      <c r="N100" s="3" t="b">
        <f>IF(ISNUMBER(SEARCH("WY",#REF!)),#REF!)</f>
        <v>0</v>
      </c>
    </row>
    <row r="101" spans="1:14" ht="57" customHeight="1" x14ac:dyDescent="0.2">
      <c r="A101" s="217"/>
      <c r="B101" s="217" t="s">
        <v>514</v>
      </c>
      <c r="C101" s="422"/>
      <c r="D101" s="217"/>
      <c r="F101" s="3" t="b">
        <f t="shared" si="15"/>
        <v>0</v>
      </c>
      <c r="G101" s="3" t="str">
        <f t="shared" si="16"/>
        <v>Acres: 1,371.66</v>
      </c>
      <c r="H101" s="3" t="b">
        <f t="shared" si="17"/>
        <v>0</v>
      </c>
      <c r="I101" s="5" t="b">
        <f t="shared" si="18"/>
        <v>0</v>
      </c>
      <c r="J101" s="3" t="b">
        <f t="shared" si="19"/>
        <v>0</v>
      </c>
      <c r="K101" s="5" t="b">
        <f>IF(ISNUMBER(SEARCH("Sec",#REF!)),#REF!)</f>
        <v>0</v>
      </c>
      <c r="L101" s="5"/>
      <c r="M101" s="6"/>
      <c r="N101" s="5" t="b">
        <f>IF(ISNUMBER(SEARCH("WY",#REF!)),#REF!)</f>
        <v>0</v>
      </c>
    </row>
    <row r="102" spans="1:14" ht="71.25" customHeight="1" x14ac:dyDescent="0.2">
      <c r="A102" s="208" t="s">
        <v>515</v>
      </c>
      <c r="B102" s="218" t="s">
        <v>503</v>
      </c>
      <c r="C102" s="423" t="s">
        <v>344</v>
      </c>
      <c r="D102" s="218" t="s">
        <v>345</v>
      </c>
      <c r="F102" s="3" t="str">
        <f t="shared" si="15"/>
        <v>Routt County, CO</v>
      </c>
      <c r="G102" s="3" t="b">
        <f t="shared" si="16"/>
        <v>0</v>
      </c>
      <c r="H102" s="3" t="b">
        <f t="shared" si="17"/>
        <v>0</v>
      </c>
      <c r="I102" s="3" t="b">
        <f t="shared" si="18"/>
        <v>0</v>
      </c>
      <c r="J102" s="3" t="str">
        <f t="shared" si="19"/>
        <v>Parcel ID: 8243</v>
      </c>
      <c r="K102" s="3" t="b">
        <f>IF(ISNUMBER(SEARCH("Sec",#REF!)),#REF!)</f>
        <v>0</v>
      </c>
      <c r="L102" s="3"/>
      <c r="M102" s="3"/>
      <c r="N102" s="3" t="b">
        <f>IF(ISNUMBER(SEARCH("WY",#REF!)),#REF!)</f>
        <v>0</v>
      </c>
    </row>
    <row r="103" spans="1:14" ht="28.5" customHeight="1" x14ac:dyDescent="0.2">
      <c r="A103" s="208" t="s">
        <v>516</v>
      </c>
      <c r="B103" s="218" t="s">
        <v>511</v>
      </c>
      <c r="C103" s="422"/>
      <c r="D103" s="218" t="s">
        <v>517</v>
      </c>
      <c r="F103" s="3" t="b">
        <f t="shared" si="15"/>
        <v>0</v>
      </c>
      <c r="G103" s="3" t="b">
        <f t="shared" si="16"/>
        <v>0</v>
      </c>
      <c r="H103" s="3" t="str">
        <f t="shared" si="17"/>
        <v>T.0040N.,R.0870W.,6TH PM </v>
      </c>
      <c r="I103" s="5" t="str">
        <f t="shared" si="18"/>
        <v>Serial #: COC79331</v>
      </c>
      <c r="J103" s="3" t="b">
        <f t="shared" si="19"/>
        <v>0</v>
      </c>
      <c r="K103" s="5" t="b">
        <f>IF(ISNUMBER(SEARCH("Sec",#REF!)),#REF!)</f>
        <v>0</v>
      </c>
      <c r="L103" s="5" t="s">
        <v>518</v>
      </c>
      <c r="M103" s="6" t="s">
        <v>519</v>
      </c>
      <c r="N103" s="5" t="b">
        <f>IF(ISNUMBER(SEARCH("WY",#REF!)),#REF!)</f>
        <v>0</v>
      </c>
    </row>
    <row r="104" spans="1:14" ht="15" customHeight="1" x14ac:dyDescent="0.2">
      <c r="A104" s="209" t="s">
        <v>349</v>
      </c>
      <c r="B104" s="218" t="s">
        <v>520</v>
      </c>
      <c r="C104" s="422"/>
      <c r="D104" s="218"/>
      <c r="F104" s="3" t="b">
        <f t="shared" si="15"/>
        <v>0</v>
      </c>
      <c r="G104" s="3" t="b">
        <f t="shared" si="16"/>
        <v>0</v>
      </c>
      <c r="H104" s="3" t="b">
        <f t="shared" si="17"/>
        <v>0</v>
      </c>
      <c r="I104" s="3" t="b">
        <f t="shared" si="18"/>
        <v>0</v>
      </c>
      <c r="J104" s="3" t="b">
        <f t="shared" si="19"/>
        <v>0</v>
      </c>
      <c r="K104" s="3" t="b">
        <f>IF(ISNUMBER(SEARCH("Sec",#REF!)),#REF!)</f>
        <v>0</v>
      </c>
      <c r="L104" s="3" t="s">
        <v>521</v>
      </c>
      <c r="M104" s="4"/>
      <c r="N104" s="3" t="b">
        <f>IF(ISNUMBER(SEARCH("WY",#REF!)),#REF!)</f>
        <v>0</v>
      </c>
    </row>
    <row r="105" spans="1:14" ht="71.25" customHeight="1" x14ac:dyDescent="0.2">
      <c r="A105" s="218" t="s">
        <v>351</v>
      </c>
      <c r="B105" s="218" t="s">
        <v>522</v>
      </c>
      <c r="C105" s="422"/>
      <c r="D105" s="218"/>
      <c r="F105" s="3" t="b">
        <f t="shared" si="15"/>
        <v>0</v>
      </c>
      <c r="G105" s="3" t="str">
        <f t="shared" si="16"/>
        <v>Acres: 480.00</v>
      </c>
      <c r="H105" s="3" t="b">
        <f t="shared" si="17"/>
        <v>0</v>
      </c>
      <c r="I105" s="5" t="b">
        <f t="shared" si="18"/>
        <v>0</v>
      </c>
      <c r="J105" s="3" t="b">
        <f t="shared" si="19"/>
        <v>0</v>
      </c>
      <c r="K105" s="5" t="b">
        <f>IF(ISNUMBER(SEARCH("Sec",#REF!)),#REF!)</f>
        <v>0</v>
      </c>
      <c r="L105" s="5" t="s">
        <v>523</v>
      </c>
      <c r="M105" s="6"/>
      <c r="N105" s="5" t="b">
        <f>IF(ISNUMBER(SEARCH("WY",#REF!)),#REF!)</f>
        <v>0</v>
      </c>
    </row>
    <row r="106" spans="1:14" ht="42.75" customHeight="1" x14ac:dyDescent="0.2">
      <c r="A106" s="211" t="s">
        <v>524</v>
      </c>
      <c r="B106" s="217" t="s">
        <v>419</v>
      </c>
      <c r="C106" s="425" t="s">
        <v>344</v>
      </c>
      <c r="D106" s="217" t="s">
        <v>345</v>
      </c>
      <c r="F106" s="3" t="str">
        <f t="shared" si="15"/>
        <v>Rio Blanco County, CO</v>
      </c>
      <c r="G106" s="3" t="b">
        <f t="shared" si="16"/>
        <v>0</v>
      </c>
      <c r="H106" s="3" t="b">
        <f t="shared" si="17"/>
        <v>0</v>
      </c>
      <c r="I106" s="3" t="b">
        <f t="shared" si="18"/>
        <v>0</v>
      </c>
      <c r="J106" s="3" t="str">
        <f t="shared" si="19"/>
        <v>Parcel ID: 8394</v>
      </c>
      <c r="K106" s="3" t="b">
        <f>IF(ISNUMBER(SEARCH("Sec",#REF!)),#REF!)</f>
        <v>0</v>
      </c>
      <c r="L106" s="3"/>
      <c r="M106" s="3"/>
      <c r="N106" s="3" t="b">
        <f>IF(ISNUMBER(SEARCH("WY",#REF!)),#REF!)</f>
        <v>0</v>
      </c>
    </row>
    <row r="107" spans="1:14" ht="28.5" customHeight="1" x14ac:dyDescent="0.2">
      <c r="A107" s="211" t="s">
        <v>525</v>
      </c>
      <c r="B107" s="217" t="s">
        <v>526</v>
      </c>
      <c r="C107" s="422"/>
      <c r="D107" s="217" t="s">
        <v>527</v>
      </c>
      <c r="F107" s="3" t="b">
        <f t="shared" si="15"/>
        <v>0</v>
      </c>
      <c r="G107" s="3" t="b">
        <f t="shared" si="16"/>
        <v>0</v>
      </c>
      <c r="H107" s="3" t="str">
        <f t="shared" si="17"/>
        <v>T.0020N.,R.0960W.,6TH PM </v>
      </c>
      <c r="I107" s="5" t="str">
        <f t="shared" si="18"/>
        <v>Serial #: COC79338</v>
      </c>
      <c r="J107" s="3" t="b">
        <f t="shared" si="19"/>
        <v>0</v>
      </c>
      <c r="K107" s="5" t="b">
        <f>IF(ISNUMBER(SEARCH("Sec",#REF!)),#REF!)</f>
        <v>0</v>
      </c>
      <c r="L107" s="5"/>
      <c r="M107" s="6"/>
      <c r="N107" s="5" t="b">
        <f>IF(ISNUMBER(SEARCH("WY",#REF!)),#REF!)</f>
        <v>0</v>
      </c>
    </row>
    <row r="108" spans="1:14" ht="15" customHeight="1" x14ac:dyDescent="0.2">
      <c r="A108" s="212" t="s">
        <v>349</v>
      </c>
      <c r="B108" s="217" t="s">
        <v>528</v>
      </c>
      <c r="C108" s="422"/>
      <c r="D108" s="217"/>
      <c r="F108" s="3" t="b">
        <f t="shared" si="15"/>
        <v>0</v>
      </c>
      <c r="G108" s="3" t="b">
        <f t="shared" si="16"/>
        <v>0</v>
      </c>
      <c r="H108" s="3" t="b">
        <f t="shared" si="17"/>
        <v>0</v>
      </c>
      <c r="I108" s="3" t="b">
        <f t="shared" si="18"/>
        <v>0</v>
      </c>
      <c r="J108" s="3" t="b">
        <f t="shared" si="19"/>
        <v>0</v>
      </c>
      <c r="K108" s="3" t="b">
        <f>IF(ISNUMBER(SEARCH("Sec",#REF!)),#REF!)</f>
        <v>0</v>
      </c>
      <c r="L108" s="3"/>
      <c r="M108" s="4"/>
      <c r="N108" s="3" t="b">
        <f>IF(ISNUMBER(SEARCH("WY",#REF!)),#REF!)</f>
        <v>0</v>
      </c>
    </row>
    <row r="109" spans="1:14" ht="71.25" customHeight="1" x14ac:dyDescent="0.2">
      <c r="A109" s="217" t="s">
        <v>351</v>
      </c>
      <c r="B109" s="217" t="s">
        <v>529</v>
      </c>
      <c r="C109" s="422"/>
      <c r="D109" s="217"/>
      <c r="F109" s="3" t="b">
        <f t="shared" si="15"/>
        <v>0</v>
      </c>
      <c r="G109" s="3" t="b">
        <f t="shared" si="16"/>
        <v>0</v>
      </c>
      <c r="H109" s="3" t="b">
        <f t="shared" si="17"/>
        <v>0</v>
      </c>
      <c r="I109" s="5" t="b">
        <f t="shared" si="18"/>
        <v>0</v>
      </c>
      <c r="J109" s="3" t="b">
        <f t="shared" si="19"/>
        <v>0</v>
      </c>
      <c r="K109" s="5" t="b">
        <f>IF(ISNUMBER(SEARCH("Sec",#REF!)),#REF!)</f>
        <v>0</v>
      </c>
      <c r="L109" s="5"/>
      <c r="M109" s="6"/>
      <c r="N109" s="5" t="b">
        <f>IF(ISNUMBER(SEARCH("WY",#REF!)),#REF!)</f>
        <v>0</v>
      </c>
    </row>
    <row r="110" spans="1:14" ht="42.75" customHeight="1" x14ac:dyDescent="0.2">
      <c r="A110" s="217"/>
      <c r="B110" s="217" t="s">
        <v>530</v>
      </c>
      <c r="C110" s="422"/>
      <c r="D110" s="217"/>
      <c r="F110" s="3" t="b">
        <f t="shared" si="15"/>
        <v>0</v>
      </c>
      <c r="G110" s="3" t="b">
        <f t="shared" si="16"/>
        <v>0</v>
      </c>
      <c r="H110" s="3" t="b">
        <f t="shared" si="17"/>
        <v>0</v>
      </c>
      <c r="I110" s="3" t="b">
        <f t="shared" si="18"/>
        <v>0</v>
      </c>
      <c r="J110" s="3" t="b">
        <f t="shared" si="19"/>
        <v>0</v>
      </c>
      <c r="K110" s="3" t="b">
        <f>IF(ISNUMBER(SEARCH("Sec",#REF!)),#REF!)</f>
        <v>0</v>
      </c>
      <c r="L110" s="3" t="s">
        <v>531</v>
      </c>
      <c r="M110" s="4" t="s">
        <v>531</v>
      </c>
      <c r="N110" s="3" t="b">
        <f>IF(ISNUMBER(SEARCH("WY",#REF!)),#REF!)</f>
        <v>0</v>
      </c>
    </row>
    <row r="111" spans="1:14" ht="42.75" customHeight="1" x14ac:dyDescent="0.2">
      <c r="A111" s="217"/>
      <c r="B111" s="217" t="s">
        <v>532</v>
      </c>
      <c r="C111" s="422"/>
      <c r="D111" s="217"/>
      <c r="F111" s="3" t="b">
        <f t="shared" si="15"/>
        <v>0</v>
      </c>
      <c r="G111" s="3" t="b">
        <f t="shared" si="16"/>
        <v>0</v>
      </c>
      <c r="H111" s="3" t="b">
        <f t="shared" si="17"/>
        <v>0</v>
      </c>
      <c r="I111" s="5" t="b">
        <f t="shared" si="18"/>
        <v>0</v>
      </c>
      <c r="J111" s="3" t="b">
        <f t="shared" si="19"/>
        <v>0</v>
      </c>
      <c r="K111" s="5" t="b">
        <f>IF(ISNUMBER(SEARCH("Sec",#REF!)),#REF!)</f>
        <v>0</v>
      </c>
      <c r="L111" s="5"/>
      <c r="M111" s="6"/>
      <c r="N111" s="5" t="b">
        <f>IF(ISNUMBER(SEARCH("WY",#REF!)),#REF!)</f>
        <v>0</v>
      </c>
    </row>
    <row r="112" spans="1:14" ht="28.5" customHeight="1" x14ac:dyDescent="0.2">
      <c r="A112" s="217"/>
      <c r="B112" s="217" t="s">
        <v>533</v>
      </c>
      <c r="C112" s="422"/>
      <c r="D112" s="217"/>
      <c r="F112" s="3" t="b">
        <f t="shared" si="15"/>
        <v>0</v>
      </c>
      <c r="G112" s="3" t="b">
        <f t="shared" si="16"/>
        <v>0</v>
      </c>
      <c r="H112" s="3" t="b">
        <f t="shared" si="17"/>
        <v>0</v>
      </c>
      <c r="I112" s="3" t="b">
        <f t="shared" si="18"/>
        <v>0</v>
      </c>
      <c r="J112" s="3" t="b">
        <f t="shared" si="19"/>
        <v>0</v>
      </c>
      <c r="K112" s="3" t="b">
        <f>IF(ISNUMBER(SEARCH("Sec",#REF!)),#REF!)</f>
        <v>0</v>
      </c>
      <c r="L112" s="3"/>
      <c r="M112" s="4"/>
      <c r="N112" s="3" t="b">
        <f>IF(ISNUMBER(SEARCH("WY",#REF!)),#REF!)</f>
        <v>0</v>
      </c>
    </row>
    <row r="113" spans="1:14" ht="17.25" customHeight="1" thickBot="1" x14ac:dyDescent="0.25">
      <c r="A113" s="219"/>
      <c r="B113" s="219" t="s">
        <v>534</v>
      </c>
      <c r="C113" s="426"/>
      <c r="D113" s="219"/>
      <c r="F113" s="3" t="b">
        <f t="shared" si="15"/>
        <v>0</v>
      </c>
      <c r="G113" s="3" t="str">
        <f t="shared" si="16"/>
        <v>Acres: 977.08</v>
      </c>
      <c r="H113" s="3" t="b">
        <f t="shared" si="17"/>
        <v>0</v>
      </c>
      <c r="I113" s="5" t="b">
        <f t="shared" si="18"/>
        <v>0</v>
      </c>
      <c r="J113" s="3" t="b">
        <f t="shared" si="19"/>
        <v>0</v>
      </c>
      <c r="K113" s="5" t="b">
        <f>IF(ISNUMBER(SEARCH("Sec",#REF!)),#REF!)</f>
        <v>0</v>
      </c>
      <c r="L113" s="5"/>
      <c r="M113" s="6"/>
      <c r="N113" s="5" t="b">
        <f>IF(ISNUMBER(SEARCH("WY",#REF!)),#REF!)</f>
        <v>0</v>
      </c>
    </row>
    <row r="114" spans="1:14" ht="71.25" customHeight="1" x14ac:dyDescent="0.2">
      <c r="A114" s="196"/>
      <c r="B114" s="217"/>
      <c r="C114" s="203"/>
      <c r="D114" s="207"/>
      <c r="F114" s="3" t="b">
        <f t="shared" si="15"/>
        <v>0</v>
      </c>
      <c r="G114" s="3" t="b">
        <f t="shared" si="16"/>
        <v>0</v>
      </c>
      <c r="H114" s="3" t="b">
        <f t="shared" si="17"/>
        <v>0</v>
      </c>
      <c r="I114" s="3" t="b">
        <f t="shared" si="18"/>
        <v>0</v>
      </c>
      <c r="J114" s="3" t="b">
        <f t="shared" si="19"/>
        <v>0</v>
      </c>
      <c r="K114" s="3" t="b">
        <f>IF(ISNUMBER(SEARCH("Sec",#REF!)),#REF!)</f>
        <v>0</v>
      </c>
      <c r="L114" s="3"/>
      <c r="M114" s="3"/>
      <c r="N114" s="3" t="b">
        <f>IF(ISNUMBER(SEARCH("WY",#REF!)),#REF!)</f>
        <v>0</v>
      </c>
    </row>
    <row r="115" spans="1:14" ht="42.75" customHeight="1" x14ac:dyDescent="0.2">
      <c r="A115" s="197"/>
      <c r="B115" s="217"/>
      <c r="C115" s="203"/>
      <c r="D115" s="207"/>
      <c r="F115" s="3" t="b">
        <f t="shared" si="15"/>
        <v>0</v>
      </c>
      <c r="G115" s="3" t="b">
        <f t="shared" si="16"/>
        <v>0</v>
      </c>
      <c r="H115" s="3" t="b">
        <f t="shared" si="17"/>
        <v>0</v>
      </c>
      <c r="I115" s="5" t="b">
        <f t="shared" si="18"/>
        <v>0</v>
      </c>
      <c r="J115" s="3" t="b">
        <f t="shared" si="19"/>
        <v>0</v>
      </c>
      <c r="K115" s="5" t="b">
        <f>IF(ISNUMBER(SEARCH("Sec",#REF!)),#REF!)</f>
        <v>0</v>
      </c>
      <c r="L115" s="5" t="s">
        <v>535</v>
      </c>
      <c r="M115" s="6"/>
      <c r="N115" s="5" t="b">
        <f>IF(ISNUMBER(SEARCH("WY",#REF!)),#REF!)</f>
        <v>0</v>
      </c>
    </row>
    <row r="116" spans="1:14" ht="85.5" customHeight="1" x14ac:dyDescent="0.2">
      <c r="A116" s="198"/>
      <c r="B116" s="217"/>
      <c r="C116" s="203"/>
      <c r="D116" s="207"/>
      <c r="F116" s="3" t="b">
        <f t="shared" si="15"/>
        <v>0</v>
      </c>
      <c r="G116" s="3" t="b">
        <f t="shared" si="16"/>
        <v>0</v>
      </c>
      <c r="H116" s="3" t="b">
        <f t="shared" si="17"/>
        <v>0</v>
      </c>
      <c r="I116" s="3" t="b">
        <f t="shared" si="18"/>
        <v>0</v>
      </c>
      <c r="J116" s="3" t="b">
        <f t="shared" si="19"/>
        <v>0</v>
      </c>
      <c r="K116" s="3" t="b">
        <f>IF(ISNUMBER(SEARCH("Sec",#REF!)),#REF!)</f>
        <v>0</v>
      </c>
      <c r="L116" s="3" t="s">
        <v>536</v>
      </c>
      <c r="M116" s="4"/>
      <c r="N116" s="3" t="b">
        <f>IF(ISNUMBER(SEARCH("WY",#REF!)),#REF!)</f>
        <v>0</v>
      </c>
    </row>
    <row r="117" spans="1:14" ht="71.25" customHeight="1" x14ac:dyDescent="0.2">
      <c r="A117" s="207"/>
      <c r="B117" s="217"/>
      <c r="C117" s="203"/>
      <c r="D117" s="207"/>
      <c r="F117" s="3" t="b">
        <f t="shared" si="15"/>
        <v>0</v>
      </c>
      <c r="G117" s="3" t="b">
        <f t="shared" si="16"/>
        <v>0</v>
      </c>
      <c r="H117" s="3" t="b">
        <f t="shared" si="17"/>
        <v>0</v>
      </c>
      <c r="I117" s="5" t="b">
        <f t="shared" si="18"/>
        <v>0</v>
      </c>
      <c r="J117" s="3" t="b">
        <f t="shared" si="19"/>
        <v>0</v>
      </c>
      <c r="K117" s="5" t="b">
        <f>IF(ISNUMBER(SEARCH("Sec",#REF!)),#REF!)</f>
        <v>0</v>
      </c>
      <c r="L117" s="5"/>
      <c r="M117" s="6"/>
      <c r="N117" s="5" t="b">
        <f>IF(ISNUMBER(SEARCH("WY",#REF!)),#REF!)</f>
        <v>0</v>
      </c>
    </row>
    <row r="118" spans="1:14" ht="28.5" customHeight="1" x14ac:dyDescent="0.2">
      <c r="A118" s="207"/>
      <c r="B118" s="207"/>
      <c r="C118" s="203"/>
      <c r="D118" s="207"/>
      <c r="F118" s="3" t="b">
        <f t="shared" si="15"/>
        <v>0</v>
      </c>
      <c r="G118" s="3" t="b">
        <f t="shared" si="16"/>
        <v>0</v>
      </c>
      <c r="H118" s="3" t="b">
        <f t="shared" si="17"/>
        <v>0</v>
      </c>
      <c r="I118" s="3" t="b">
        <f t="shared" si="18"/>
        <v>0</v>
      </c>
      <c r="J118" s="3" t="b">
        <f t="shared" si="19"/>
        <v>0</v>
      </c>
      <c r="K118" s="3" t="b">
        <f>IF(ISNUMBER(SEARCH("Sec",#REF!)),#REF!)</f>
        <v>0</v>
      </c>
      <c r="L118" s="3"/>
      <c r="M118" s="4"/>
      <c r="N118" s="3" t="b">
        <f>IF(ISNUMBER(SEARCH("WY",#REF!)),#REF!)</f>
        <v>0</v>
      </c>
    </row>
    <row r="119" spans="1:14" ht="16" customHeight="1" x14ac:dyDescent="0.2">
      <c r="A119" s="193"/>
      <c r="B119" s="218"/>
      <c r="C119" s="202"/>
      <c r="D119" s="200"/>
      <c r="F119" s="3" t="b">
        <f t="shared" si="15"/>
        <v>0</v>
      </c>
      <c r="G119" s="3" t="b">
        <f t="shared" si="16"/>
        <v>0</v>
      </c>
      <c r="H119" s="3" t="b">
        <f t="shared" si="17"/>
        <v>0</v>
      </c>
      <c r="I119" s="5" t="b">
        <f t="shared" si="18"/>
        <v>0</v>
      </c>
      <c r="J119" s="3" t="b">
        <f t="shared" si="19"/>
        <v>0</v>
      </c>
      <c r="K119" s="5" t="b">
        <f>IF(ISNUMBER(SEARCH("Sec",#REF!)),#REF!)</f>
        <v>0</v>
      </c>
      <c r="L119" s="5"/>
      <c r="M119" s="5"/>
      <c r="N119" s="5" t="b">
        <f>IF(ISNUMBER(SEARCH("WY",#REF!)),#REF!)</f>
        <v>0</v>
      </c>
    </row>
    <row r="120" spans="1:14" ht="71.25" customHeight="1" x14ac:dyDescent="0.2">
      <c r="A120" s="194"/>
      <c r="B120" s="218"/>
      <c r="C120" s="202"/>
      <c r="D120" s="200"/>
      <c r="F120" s="3" t="b">
        <f t="shared" si="15"/>
        <v>0</v>
      </c>
      <c r="G120" s="3" t="b">
        <f t="shared" si="16"/>
        <v>0</v>
      </c>
      <c r="H120" s="3" t="b">
        <f t="shared" si="17"/>
        <v>0</v>
      </c>
      <c r="I120" s="3" t="b">
        <f t="shared" si="18"/>
        <v>0</v>
      </c>
      <c r="J120" s="3" t="b">
        <f t="shared" si="19"/>
        <v>0</v>
      </c>
      <c r="K120" s="3" t="b">
        <f>IF(ISNUMBER(SEARCH("Sec",#REF!)),#REF!)</f>
        <v>0</v>
      </c>
      <c r="L120" s="3" t="s">
        <v>537</v>
      </c>
      <c r="M120" s="4" t="s">
        <v>537</v>
      </c>
      <c r="N120" s="3" t="b">
        <f>IF(ISNUMBER(SEARCH("WY",#REF!)),#REF!)</f>
        <v>0</v>
      </c>
    </row>
    <row r="121" spans="1:14" ht="42.75" customHeight="1" x14ac:dyDescent="0.2">
      <c r="A121" s="195"/>
      <c r="B121" s="218"/>
      <c r="C121" s="202"/>
      <c r="D121" s="200"/>
      <c r="F121" s="3" t="b">
        <f t="shared" si="15"/>
        <v>0</v>
      </c>
      <c r="G121" s="3" t="b">
        <f t="shared" si="16"/>
        <v>0</v>
      </c>
      <c r="H121" s="3" t="b">
        <f t="shared" si="17"/>
        <v>0</v>
      </c>
      <c r="I121" s="5" t="b">
        <f t="shared" si="18"/>
        <v>0</v>
      </c>
      <c r="J121" s="3" t="b">
        <f t="shared" si="19"/>
        <v>0</v>
      </c>
      <c r="K121" s="5" t="b">
        <f>IF(ISNUMBER(SEARCH("Sec",#REF!)),#REF!)</f>
        <v>0</v>
      </c>
      <c r="L121" s="5"/>
      <c r="M121" s="6"/>
      <c r="N121" s="5" t="b">
        <f>IF(ISNUMBER(SEARCH("WY",#REF!)),#REF!)</f>
        <v>0</v>
      </c>
    </row>
    <row r="122" spans="1:14" ht="85.5" customHeight="1" x14ac:dyDescent="0.2">
      <c r="A122" s="200"/>
      <c r="B122" s="218"/>
      <c r="C122" s="202"/>
      <c r="D122" s="200"/>
      <c r="F122" s="3" t="b">
        <f t="shared" si="15"/>
        <v>0</v>
      </c>
      <c r="G122" s="3" t="b">
        <f t="shared" si="16"/>
        <v>0</v>
      </c>
      <c r="H122" s="3" t="b">
        <f t="shared" si="17"/>
        <v>0</v>
      </c>
      <c r="I122" s="3" t="b">
        <f t="shared" si="18"/>
        <v>0</v>
      </c>
      <c r="J122" s="3" t="b">
        <f t="shared" si="19"/>
        <v>0</v>
      </c>
      <c r="K122" s="3" t="b">
        <f>IF(ISNUMBER(SEARCH("Sec",#REF!)),#REF!)</f>
        <v>0</v>
      </c>
      <c r="L122" s="3"/>
      <c r="M122" s="4"/>
      <c r="N122" s="3" t="b">
        <f>IF(ISNUMBER(SEARCH("WY",#REF!)),#REF!)</f>
        <v>0</v>
      </c>
    </row>
    <row r="123" spans="1:14" ht="85.5" customHeight="1" x14ac:dyDescent="0.2">
      <c r="A123" s="200"/>
      <c r="B123" s="200"/>
      <c r="C123" s="202"/>
      <c r="D123" s="200"/>
      <c r="F123" s="3" t="b">
        <f t="shared" si="15"/>
        <v>0</v>
      </c>
      <c r="G123" s="3" t="b">
        <f t="shared" si="16"/>
        <v>0</v>
      </c>
      <c r="H123" s="3" t="b">
        <f t="shared" si="17"/>
        <v>0</v>
      </c>
      <c r="I123" s="5" t="b">
        <f t="shared" si="18"/>
        <v>0</v>
      </c>
      <c r="J123" s="3" t="b">
        <f t="shared" si="19"/>
        <v>0</v>
      </c>
      <c r="K123" s="5" t="b">
        <f>IF(ISNUMBER(SEARCH("Sec",#REF!)),#REF!)</f>
        <v>0</v>
      </c>
      <c r="L123" s="5"/>
      <c r="M123" s="5"/>
      <c r="N123" s="5" t="b">
        <f>IF(ISNUMBER(SEARCH("WY",#REF!)),#REF!)</f>
        <v>0</v>
      </c>
    </row>
    <row r="124" spans="1:14" ht="15" customHeight="1" x14ac:dyDescent="0.2">
      <c r="A124" s="196"/>
      <c r="B124" s="217"/>
      <c r="C124" s="203"/>
      <c r="D124" s="207"/>
      <c r="F124" s="3" t="b">
        <f t="shared" si="15"/>
        <v>0</v>
      </c>
      <c r="G124" s="3" t="b">
        <f t="shared" si="16"/>
        <v>0</v>
      </c>
      <c r="H124" s="3" t="b">
        <f t="shared" si="17"/>
        <v>0</v>
      </c>
      <c r="I124" s="3" t="b">
        <f t="shared" si="18"/>
        <v>0</v>
      </c>
      <c r="J124" s="3" t="b">
        <f t="shared" si="19"/>
        <v>0</v>
      </c>
      <c r="K124" s="3" t="b">
        <f>IF(ISNUMBER(SEARCH("Sec",#REF!)),#REF!)</f>
        <v>0</v>
      </c>
      <c r="L124" s="3" t="s">
        <v>538</v>
      </c>
      <c r="M124" s="4" t="s">
        <v>539</v>
      </c>
      <c r="N124" s="3" t="b">
        <f>IF(ISNUMBER(SEARCH("WY",#REF!)),#REF!)</f>
        <v>0</v>
      </c>
    </row>
    <row r="125" spans="1:14" ht="57" customHeight="1" x14ac:dyDescent="0.2">
      <c r="A125" s="197"/>
      <c r="B125" s="199"/>
      <c r="C125" s="203"/>
      <c r="D125" s="207"/>
      <c r="F125" s="3" t="b">
        <f t="shared" si="15"/>
        <v>0</v>
      </c>
      <c r="G125" s="3" t="b">
        <f t="shared" si="16"/>
        <v>0</v>
      </c>
      <c r="H125" s="3" t="b">
        <f t="shared" si="17"/>
        <v>0</v>
      </c>
      <c r="I125" s="5" t="b">
        <f t="shared" si="18"/>
        <v>0</v>
      </c>
      <c r="J125" s="3" t="b">
        <f t="shared" si="19"/>
        <v>0</v>
      </c>
      <c r="K125" s="5" t="b">
        <f>IF(ISNUMBER(SEARCH("Sec",#REF!)),#REF!)</f>
        <v>0</v>
      </c>
      <c r="L125" s="5" t="s">
        <v>540</v>
      </c>
      <c r="M125" s="6"/>
      <c r="N125" s="5" t="b">
        <f>IF(ISNUMBER(SEARCH("WY",#REF!)),#REF!)</f>
        <v>0</v>
      </c>
    </row>
    <row r="126" spans="1:14" ht="57" customHeight="1" x14ac:dyDescent="0.2">
      <c r="A126" s="198"/>
      <c r="B126" s="217"/>
      <c r="C126" s="203"/>
      <c r="D126" s="207"/>
      <c r="F126" s="3" t="b">
        <f t="shared" si="15"/>
        <v>0</v>
      </c>
      <c r="G126" s="3" t="b">
        <f t="shared" si="16"/>
        <v>0</v>
      </c>
      <c r="H126" s="3" t="b">
        <f t="shared" si="17"/>
        <v>0</v>
      </c>
      <c r="I126" s="3" t="b">
        <f t="shared" si="18"/>
        <v>0</v>
      </c>
      <c r="J126" s="3" t="b">
        <f t="shared" si="19"/>
        <v>0</v>
      </c>
      <c r="K126" s="3" t="b">
        <f>IF(ISNUMBER(SEARCH("Sec",#REF!)),#REF!)</f>
        <v>0</v>
      </c>
      <c r="L126" s="3"/>
      <c r="M126" s="4"/>
      <c r="N126" s="3" t="b">
        <f>IF(ISNUMBER(SEARCH("WY",#REF!)),#REF!)</f>
        <v>0</v>
      </c>
    </row>
    <row r="127" spans="1:14" ht="71.25" customHeight="1" x14ac:dyDescent="0.2">
      <c r="A127" s="207"/>
      <c r="B127" s="217"/>
      <c r="C127" s="203"/>
      <c r="D127" s="207"/>
      <c r="F127" s="3" t="b">
        <f t="shared" si="15"/>
        <v>0</v>
      </c>
      <c r="G127" s="3" t="b">
        <f t="shared" si="16"/>
        <v>0</v>
      </c>
      <c r="H127" s="3" t="b">
        <f t="shared" si="17"/>
        <v>0</v>
      </c>
      <c r="I127" s="5" t="b">
        <f t="shared" si="18"/>
        <v>0</v>
      </c>
      <c r="J127" s="3" t="b">
        <f t="shared" si="19"/>
        <v>0</v>
      </c>
      <c r="K127" s="5" t="b">
        <f>IF(ISNUMBER(SEARCH("Sec",#REF!)),#REF!)</f>
        <v>0</v>
      </c>
      <c r="L127" s="5"/>
      <c r="M127" s="5"/>
      <c r="N127" s="5" t="b">
        <f>IF(ISNUMBER(SEARCH("WY",#REF!)),#REF!)</f>
        <v>0</v>
      </c>
    </row>
    <row r="128" spans="1:14" ht="28.5" customHeight="1" x14ac:dyDescent="0.2">
      <c r="A128" s="207"/>
      <c r="B128" s="217"/>
      <c r="C128" s="203"/>
      <c r="D128" s="207"/>
      <c r="F128" s="3" t="b">
        <f t="shared" si="15"/>
        <v>0</v>
      </c>
      <c r="G128" s="3" t="b">
        <f t="shared" si="16"/>
        <v>0</v>
      </c>
      <c r="H128" s="3" t="b">
        <f t="shared" si="17"/>
        <v>0</v>
      </c>
      <c r="I128" s="3" t="b">
        <f t="shared" si="18"/>
        <v>0</v>
      </c>
      <c r="J128" s="3" t="b">
        <f t="shared" si="19"/>
        <v>0</v>
      </c>
      <c r="K128" s="3" t="b">
        <f>IF(ISNUMBER(SEARCH("Sec",#REF!)),#REF!)</f>
        <v>0</v>
      </c>
      <c r="L128" s="3"/>
      <c r="M128" s="4"/>
      <c r="N128" s="3" t="b">
        <f>IF(ISNUMBER(SEARCH("WY",#REF!)),#REF!)</f>
        <v>0</v>
      </c>
    </row>
    <row r="129" spans="1:14" ht="15" customHeight="1" x14ac:dyDescent="0.2">
      <c r="A129" s="207"/>
      <c r="B129" s="217"/>
      <c r="C129" s="203"/>
      <c r="D129" s="207"/>
      <c r="F129" s="3" t="b">
        <f t="shared" si="15"/>
        <v>0</v>
      </c>
      <c r="G129" s="3" t="b">
        <f t="shared" si="16"/>
        <v>0</v>
      </c>
      <c r="H129" s="3" t="b">
        <f t="shared" si="17"/>
        <v>0</v>
      </c>
      <c r="I129" s="5" t="b">
        <f t="shared" si="18"/>
        <v>0</v>
      </c>
      <c r="J129" s="3" t="b">
        <f t="shared" si="19"/>
        <v>0</v>
      </c>
      <c r="K129" s="5" t="b">
        <f>IF(ISNUMBER(SEARCH("Sec",#REF!)),#REF!)</f>
        <v>0</v>
      </c>
      <c r="L129" s="5" t="s">
        <v>541</v>
      </c>
      <c r="M129" s="6" t="s">
        <v>542</v>
      </c>
      <c r="N129" s="5" t="b">
        <f>IF(ISNUMBER(SEARCH("WY",#REF!)),#REF!)</f>
        <v>0</v>
      </c>
    </row>
    <row r="130" spans="1:14" ht="71.25" customHeight="1" x14ac:dyDescent="0.2">
      <c r="A130" s="207"/>
      <c r="B130" s="217"/>
      <c r="C130" s="203"/>
      <c r="D130" s="207"/>
      <c r="F130" s="3" t="b">
        <f t="shared" ref="F130:F161" si="20">IF(ISNUMBER(SEARCH("County",B130)),B130)</f>
        <v>0</v>
      </c>
      <c r="G130" s="3" t="b">
        <f t="shared" ref="G130:G161" si="21">IF(ISNUMBER(SEARCH("acres:",B130)),B130)</f>
        <v>0</v>
      </c>
      <c r="H130" s="3" t="b">
        <f t="shared" ref="H130:H161" si="22">IF(ISNUMBER(SEARCH("T.",B130)),B130)</f>
        <v>0</v>
      </c>
      <c r="I130" s="3" t="b">
        <f t="shared" ref="I130:I161" si="23">IF(ISNUMBER(SEARCH("Serial",A130)),A130)</f>
        <v>0</v>
      </c>
      <c r="J130" s="3" t="b">
        <f t="shared" ref="J130:J161" si="24">IF(ISNUMBER(SEARCH("Parcel ID",A130)),A130)</f>
        <v>0</v>
      </c>
      <c r="K130" s="3" t="b">
        <f>IF(ISNUMBER(SEARCH("Sec",#REF!)),#REF!)</f>
        <v>0</v>
      </c>
      <c r="L130" s="3" t="s">
        <v>543</v>
      </c>
      <c r="M130" s="4"/>
      <c r="N130" s="3" t="b">
        <f>IF(ISNUMBER(SEARCH("WY",#REF!)),#REF!)</f>
        <v>0</v>
      </c>
    </row>
    <row r="131" spans="1:14" ht="57" customHeight="1" x14ac:dyDescent="0.2">
      <c r="A131" s="207"/>
      <c r="B131" s="217"/>
      <c r="C131" s="203"/>
      <c r="D131" s="207"/>
      <c r="F131" s="3" t="b">
        <f t="shared" si="20"/>
        <v>0</v>
      </c>
      <c r="G131" s="3" t="b">
        <f t="shared" si="21"/>
        <v>0</v>
      </c>
      <c r="H131" s="3" t="b">
        <f t="shared" si="22"/>
        <v>0</v>
      </c>
      <c r="I131" s="5" t="b">
        <f t="shared" si="23"/>
        <v>0</v>
      </c>
      <c r="J131" s="3" t="b">
        <f t="shared" si="24"/>
        <v>0</v>
      </c>
      <c r="K131" s="5" t="b">
        <f>IF(ISNUMBER(SEARCH("Sec",#REF!)),#REF!)</f>
        <v>0</v>
      </c>
      <c r="L131" s="5" t="s">
        <v>445</v>
      </c>
      <c r="M131" s="6"/>
      <c r="N131" s="5" t="b">
        <f>IF(ISNUMBER(SEARCH("WY",#REF!)),#REF!)</f>
        <v>0</v>
      </c>
    </row>
    <row r="132" spans="1:14" ht="28.5" customHeight="1" x14ac:dyDescent="0.2">
      <c r="A132" s="207"/>
      <c r="B132" s="217"/>
      <c r="C132" s="203"/>
      <c r="D132" s="207"/>
      <c r="F132" s="3" t="b">
        <f t="shared" si="20"/>
        <v>0</v>
      </c>
      <c r="G132" s="3" t="b">
        <f t="shared" si="21"/>
        <v>0</v>
      </c>
      <c r="H132" s="3" t="b">
        <f t="shared" si="22"/>
        <v>0</v>
      </c>
      <c r="I132" s="3" t="b">
        <f t="shared" si="23"/>
        <v>0</v>
      </c>
      <c r="J132" s="3" t="b">
        <f t="shared" si="24"/>
        <v>0</v>
      </c>
      <c r="K132" s="3" t="b">
        <f>IF(ISNUMBER(SEARCH("Sec",#REF!)),#REF!)</f>
        <v>0</v>
      </c>
      <c r="L132" s="3" t="s">
        <v>544</v>
      </c>
      <c r="M132" s="4"/>
      <c r="N132" s="3" t="b">
        <f>IF(ISNUMBER(SEARCH("WY",#REF!)),#REF!)</f>
        <v>0</v>
      </c>
    </row>
    <row r="133" spans="1:14" ht="15" customHeight="1" x14ac:dyDescent="0.2">
      <c r="A133" s="207"/>
      <c r="B133" s="217"/>
      <c r="C133" s="203"/>
      <c r="D133" s="207"/>
      <c r="F133" s="3" t="b">
        <f t="shared" si="20"/>
        <v>0</v>
      </c>
      <c r="G133" s="3" t="b">
        <f t="shared" si="21"/>
        <v>0</v>
      </c>
      <c r="H133" s="3" t="b">
        <f t="shared" si="22"/>
        <v>0</v>
      </c>
      <c r="I133" s="5" t="b">
        <f t="shared" si="23"/>
        <v>0</v>
      </c>
      <c r="J133" s="3" t="b">
        <f t="shared" si="24"/>
        <v>0</v>
      </c>
      <c r="K133" s="5" t="b">
        <f>IF(ISNUMBER(SEARCH("Sec",#REF!)),#REF!)</f>
        <v>0</v>
      </c>
      <c r="L133" s="5" t="s">
        <v>545</v>
      </c>
      <c r="M133" s="6"/>
      <c r="N133" s="5" t="b">
        <f>IF(ISNUMBER(SEARCH("WY",#REF!)),#REF!)</f>
        <v>0</v>
      </c>
    </row>
    <row r="134" spans="1:14" ht="71.25" customHeight="1" x14ac:dyDescent="0.2">
      <c r="A134" s="207"/>
      <c r="B134" s="217"/>
      <c r="C134" s="203"/>
      <c r="D134" s="207"/>
      <c r="F134" s="3" t="b">
        <f t="shared" si="20"/>
        <v>0</v>
      </c>
      <c r="G134" s="3" t="b">
        <f t="shared" si="21"/>
        <v>0</v>
      </c>
      <c r="H134" s="3" t="b">
        <f t="shared" si="22"/>
        <v>0</v>
      </c>
      <c r="I134" s="3" t="b">
        <f t="shared" si="23"/>
        <v>0</v>
      </c>
      <c r="J134" s="3" t="b">
        <f t="shared" si="24"/>
        <v>0</v>
      </c>
      <c r="K134" s="3" t="b">
        <f>IF(ISNUMBER(SEARCH("Sec",#REF!)),#REF!)</f>
        <v>0</v>
      </c>
      <c r="L134" s="3" t="s">
        <v>546</v>
      </c>
      <c r="M134" s="4"/>
      <c r="N134" s="3" t="b">
        <f>IF(ISNUMBER(SEARCH("WY",#REF!)),#REF!)</f>
        <v>0</v>
      </c>
    </row>
    <row r="135" spans="1:14" ht="42.75" customHeight="1" x14ac:dyDescent="0.2">
      <c r="A135" s="207"/>
      <c r="B135" s="217"/>
      <c r="C135" s="203"/>
      <c r="D135" s="207"/>
      <c r="F135" s="3" t="b">
        <f t="shared" si="20"/>
        <v>0</v>
      </c>
      <c r="G135" s="3" t="b">
        <f t="shared" si="21"/>
        <v>0</v>
      </c>
      <c r="H135" s="3" t="b">
        <f t="shared" si="22"/>
        <v>0</v>
      </c>
      <c r="I135" s="5" t="b">
        <f t="shared" si="23"/>
        <v>0</v>
      </c>
      <c r="J135" s="3" t="b">
        <f t="shared" si="24"/>
        <v>0</v>
      </c>
      <c r="K135" s="5" t="b">
        <f>IF(ISNUMBER(SEARCH("Sec",#REF!)),#REF!)</f>
        <v>0</v>
      </c>
      <c r="L135" s="5" t="s">
        <v>547</v>
      </c>
      <c r="M135" s="6"/>
      <c r="N135" s="5" t="b">
        <f>IF(ISNUMBER(SEARCH("WY",#REF!)),#REF!)</f>
        <v>0</v>
      </c>
    </row>
    <row r="136" spans="1:14" ht="85.5" customHeight="1" x14ac:dyDescent="0.2">
      <c r="A136" s="207"/>
      <c r="B136" s="207"/>
      <c r="C136" s="203"/>
      <c r="D136" s="207"/>
      <c r="F136" s="3" t="b">
        <f t="shared" si="20"/>
        <v>0</v>
      </c>
      <c r="G136" s="3" t="b">
        <f t="shared" si="21"/>
        <v>0</v>
      </c>
      <c r="H136" s="3" t="b">
        <f t="shared" si="22"/>
        <v>0</v>
      </c>
      <c r="I136" s="3" t="b">
        <f t="shared" si="23"/>
        <v>0</v>
      </c>
      <c r="J136" s="3" t="b">
        <f t="shared" si="24"/>
        <v>0</v>
      </c>
      <c r="K136" s="3" t="b">
        <f>IF(ISNUMBER(SEARCH("Sec",#REF!)),#REF!)</f>
        <v>0</v>
      </c>
      <c r="L136" s="3"/>
      <c r="M136" s="4"/>
      <c r="N136" s="3" t="b">
        <f>IF(ISNUMBER(SEARCH("WY",#REF!)),#REF!)</f>
        <v>0</v>
      </c>
    </row>
    <row r="137" spans="1:14" ht="28.5" customHeight="1" x14ac:dyDescent="0.2">
      <c r="A137" s="193"/>
      <c r="B137" s="218"/>
      <c r="C137" s="202"/>
      <c r="D137" s="200"/>
      <c r="F137" s="3" t="b">
        <f t="shared" si="20"/>
        <v>0</v>
      </c>
      <c r="G137" s="3" t="b">
        <f t="shared" si="21"/>
        <v>0</v>
      </c>
      <c r="H137" s="3" t="b">
        <f t="shared" si="22"/>
        <v>0</v>
      </c>
      <c r="I137" s="5" t="b">
        <f t="shared" si="23"/>
        <v>0</v>
      </c>
      <c r="J137" s="3" t="b">
        <f t="shared" si="24"/>
        <v>0</v>
      </c>
      <c r="K137" s="5" t="b">
        <f>IF(ISNUMBER(SEARCH("Sec",#REF!)),#REF!)</f>
        <v>0</v>
      </c>
      <c r="L137" s="5"/>
      <c r="M137" s="6"/>
      <c r="N137" s="5" t="b">
        <f>IF(ISNUMBER(SEARCH("WY",#REF!)),#REF!)</f>
        <v>0</v>
      </c>
    </row>
    <row r="138" spans="1:14" ht="28.5" customHeight="1" x14ac:dyDescent="0.2">
      <c r="A138" s="194"/>
      <c r="B138" s="218"/>
      <c r="C138" s="202"/>
      <c r="D138" s="200"/>
      <c r="F138" s="3" t="b">
        <f t="shared" si="20"/>
        <v>0</v>
      </c>
      <c r="G138" s="3" t="b">
        <f t="shared" si="21"/>
        <v>0</v>
      </c>
      <c r="H138" s="3" t="b">
        <f t="shared" si="22"/>
        <v>0</v>
      </c>
      <c r="I138" s="3" t="b">
        <f t="shared" si="23"/>
        <v>0</v>
      </c>
      <c r="J138" s="3" t="b">
        <f t="shared" si="24"/>
        <v>0</v>
      </c>
      <c r="K138" s="3" t="b">
        <f>IF(ISNUMBER(SEARCH("Sec",#REF!)),#REF!)</f>
        <v>0</v>
      </c>
      <c r="L138" s="3"/>
      <c r="M138" s="3"/>
      <c r="N138" s="3" t="b">
        <f>IF(ISNUMBER(SEARCH("WY",#REF!)),#REF!)</f>
        <v>0</v>
      </c>
    </row>
    <row r="139" spans="1:14" ht="15" customHeight="1" x14ac:dyDescent="0.2">
      <c r="A139" s="195"/>
      <c r="B139" s="218"/>
      <c r="C139" s="202"/>
      <c r="D139" s="200"/>
      <c r="F139" s="3" t="b">
        <f t="shared" si="20"/>
        <v>0</v>
      </c>
      <c r="G139" s="3" t="b">
        <f t="shared" si="21"/>
        <v>0</v>
      </c>
      <c r="H139" s="3" t="b">
        <f t="shared" si="22"/>
        <v>0</v>
      </c>
      <c r="I139" s="5" t="b">
        <f t="shared" si="23"/>
        <v>0</v>
      </c>
      <c r="J139" s="3" t="b">
        <f t="shared" si="24"/>
        <v>0</v>
      </c>
      <c r="K139" s="5" t="b">
        <f>IF(ISNUMBER(SEARCH("Sec",#REF!)),#REF!)</f>
        <v>0</v>
      </c>
      <c r="L139" s="5" t="s">
        <v>548</v>
      </c>
      <c r="M139" s="6" t="s">
        <v>549</v>
      </c>
      <c r="N139" s="5" t="b">
        <f>IF(ISNUMBER(SEARCH("WY",#REF!)),#REF!)</f>
        <v>0</v>
      </c>
    </row>
    <row r="140" spans="1:14" ht="71.25" customHeight="1" x14ac:dyDescent="0.2">
      <c r="A140" s="200"/>
      <c r="B140" s="218"/>
      <c r="C140" s="202"/>
      <c r="D140" s="200"/>
      <c r="F140" s="3" t="b">
        <f t="shared" si="20"/>
        <v>0</v>
      </c>
      <c r="G140" s="3" t="b">
        <f t="shared" si="21"/>
        <v>0</v>
      </c>
      <c r="H140" s="3" t="b">
        <f t="shared" si="22"/>
        <v>0</v>
      </c>
      <c r="I140" s="3" t="b">
        <f t="shared" si="23"/>
        <v>0</v>
      </c>
      <c r="J140" s="3" t="b">
        <f t="shared" si="24"/>
        <v>0</v>
      </c>
      <c r="K140" s="3" t="b">
        <f>IF(ISNUMBER(SEARCH("Sec",#REF!)),#REF!)</f>
        <v>0</v>
      </c>
      <c r="L140" s="3" t="s">
        <v>550</v>
      </c>
      <c r="M140" s="4"/>
      <c r="N140" s="3" t="b">
        <f>IF(ISNUMBER(SEARCH("WY",#REF!)),#REF!)</f>
        <v>0</v>
      </c>
    </row>
    <row r="141" spans="1:14" ht="57" customHeight="1" x14ac:dyDescent="0.2">
      <c r="A141" s="200"/>
      <c r="B141" s="218"/>
      <c r="C141" s="202"/>
      <c r="D141" s="200"/>
      <c r="F141" s="3" t="b">
        <f t="shared" si="20"/>
        <v>0</v>
      </c>
      <c r="G141" s="3" t="b">
        <f t="shared" si="21"/>
        <v>0</v>
      </c>
      <c r="H141" s="3" t="b">
        <f t="shared" si="22"/>
        <v>0</v>
      </c>
      <c r="I141" s="5" t="b">
        <f t="shared" si="23"/>
        <v>0</v>
      </c>
      <c r="J141" s="3" t="b">
        <f t="shared" si="24"/>
        <v>0</v>
      </c>
      <c r="K141" s="5" t="b">
        <f>IF(ISNUMBER(SEARCH("Sec",#REF!)),#REF!)</f>
        <v>0</v>
      </c>
      <c r="L141" s="5" t="s">
        <v>551</v>
      </c>
      <c r="M141" s="6"/>
      <c r="N141" s="5" t="b">
        <f>IF(ISNUMBER(SEARCH("WY",#REF!)),#REF!)</f>
        <v>0</v>
      </c>
    </row>
    <row r="142" spans="1:14" ht="28.5" customHeight="1" x14ac:dyDescent="0.2">
      <c r="A142" s="200"/>
      <c r="B142" s="200"/>
      <c r="C142" s="202"/>
      <c r="D142" s="200"/>
      <c r="F142" s="3" t="b">
        <f t="shared" si="20"/>
        <v>0</v>
      </c>
      <c r="G142" s="3" t="b">
        <f t="shared" si="21"/>
        <v>0</v>
      </c>
      <c r="H142" s="3" t="b">
        <f t="shared" si="22"/>
        <v>0</v>
      </c>
      <c r="I142" s="3" t="b">
        <f t="shared" si="23"/>
        <v>0</v>
      </c>
      <c r="J142" s="3" t="b">
        <f t="shared" si="24"/>
        <v>0</v>
      </c>
      <c r="K142" s="3" t="b">
        <f>IF(ISNUMBER(SEARCH("Sec",#REF!)),#REF!)</f>
        <v>0</v>
      </c>
      <c r="L142" s="3"/>
      <c r="M142" s="3"/>
      <c r="N142" s="3" t="b">
        <f>IF(ISNUMBER(SEARCH("WY",#REF!)),#REF!)</f>
        <v>0</v>
      </c>
    </row>
    <row r="143" spans="1:14" ht="15" customHeight="1" x14ac:dyDescent="0.2">
      <c r="A143" s="196"/>
      <c r="B143" s="217"/>
      <c r="C143" s="203"/>
      <c r="D143" s="207"/>
      <c r="F143" s="3" t="b">
        <f t="shared" si="20"/>
        <v>0</v>
      </c>
      <c r="G143" s="3" t="b">
        <f t="shared" si="21"/>
        <v>0</v>
      </c>
      <c r="H143" s="3" t="b">
        <f t="shared" si="22"/>
        <v>0</v>
      </c>
      <c r="I143" s="5" t="b">
        <f t="shared" si="23"/>
        <v>0</v>
      </c>
      <c r="J143" s="3" t="b">
        <f t="shared" si="24"/>
        <v>0</v>
      </c>
      <c r="K143" s="5" t="b">
        <f>IF(ISNUMBER(SEARCH("Sec",#REF!)),#REF!)</f>
        <v>0</v>
      </c>
      <c r="L143" s="5" t="s">
        <v>552</v>
      </c>
      <c r="M143" s="6"/>
      <c r="N143" s="5" t="b">
        <f>IF(ISNUMBER(SEARCH("WY",#REF!)),#REF!)</f>
        <v>0</v>
      </c>
    </row>
    <row r="144" spans="1:14" ht="71.25" customHeight="1" x14ac:dyDescent="0.2">
      <c r="A144" s="197"/>
      <c r="B144" s="217"/>
      <c r="C144" s="203"/>
      <c r="D144" s="207"/>
      <c r="F144" s="3" t="b">
        <f t="shared" si="20"/>
        <v>0</v>
      </c>
      <c r="G144" s="3" t="b">
        <f t="shared" si="21"/>
        <v>0</v>
      </c>
      <c r="H144" s="3" t="b">
        <f t="shared" si="22"/>
        <v>0</v>
      </c>
      <c r="I144" s="3" t="b">
        <f t="shared" si="23"/>
        <v>0</v>
      </c>
      <c r="J144" s="3" t="b">
        <f t="shared" si="24"/>
        <v>0</v>
      </c>
      <c r="K144" s="3" t="b">
        <f>IF(ISNUMBER(SEARCH("Sec",#REF!)),#REF!)</f>
        <v>0</v>
      </c>
      <c r="L144" s="3"/>
      <c r="M144" s="4"/>
      <c r="N144" s="3" t="b">
        <f>IF(ISNUMBER(SEARCH("WY",#REF!)),#REF!)</f>
        <v>0</v>
      </c>
    </row>
    <row r="145" spans="1:14" ht="85.5" customHeight="1" x14ac:dyDescent="0.2">
      <c r="A145" s="198"/>
      <c r="B145" s="217"/>
      <c r="C145" s="203"/>
      <c r="D145" s="207"/>
      <c r="F145" s="3" t="b">
        <f t="shared" si="20"/>
        <v>0</v>
      </c>
      <c r="G145" s="3" t="b">
        <f t="shared" si="21"/>
        <v>0</v>
      </c>
      <c r="H145" s="3" t="b">
        <f t="shared" si="22"/>
        <v>0</v>
      </c>
      <c r="I145" s="5" t="b">
        <f t="shared" si="23"/>
        <v>0</v>
      </c>
      <c r="J145" s="3" t="b">
        <f t="shared" si="24"/>
        <v>0</v>
      </c>
      <c r="K145" s="5" t="b">
        <f>IF(ISNUMBER(SEARCH("Sec",#REF!)),#REF!)</f>
        <v>0</v>
      </c>
      <c r="L145" s="5"/>
      <c r="M145" s="6"/>
      <c r="N145" s="5" t="b">
        <f>IF(ISNUMBER(SEARCH("WY",#REF!)),#REF!)</f>
        <v>0</v>
      </c>
    </row>
    <row r="146" spans="1:14" ht="28.5" customHeight="1" x14ac:dyDescent="0.2">
      <c r="A146" s="207"/>
      <c r="B146" s="217"/>
      <c r="C146" s="203"/>
      <c r="D146" s="207"/>
      <c r="F146" s="3" t="b">
        <f t="shared" si="20"/>
        <v>0</v>
      </c>
      <c r="G146" s="3" t="b">
        <f t="shared" si="21"/>
        <v>0</v>
      </c>
      <c r="H146" s="3" t="b">
        <f t="shared" si="22"/>
        <v>0</v>
      </c>
      <c r="I146" s="3" t="b">
        <f t="shared" si="23"/>
        <v>0</v>
      </c>
      <c r="J146" s="3" t="b">
        <f t="shared" si="24"/>
        <v>0</v>
      </c>
      <c r="K146" s="3" t="b">
        <f>IF(ISNUMBER(SEARCH("Sec",#REF!)),#REF!)</f>
        <v>0</v>
      </c>
      <c r="L146" s="3"/>
      <c r="M146" s="3"/>
      <c r="N146" s="3" t="b">
        <f>IF(ISNUMBER(SEARCH("WY",#REF!)),#REF!)</f>
        <v>0</v>
      </c>
    </row>
    <row r="147" spans="1:14" ht="28.5" customHeight="1" x14ac:dyDescent="0.2">
      <c r="A147" s="207"/>
      <c r="B147" s="207"/>
      <c r="C147" s="203"/>
      <c r="D147" s="207"/>
      <c r="F147" s="3" t="b">
        <f t="shared" si="20"/>
        <v>0</v>
      </c>
      <c r="G147" s="3" t="b">
        <f t="shared" si="21"/>
        <v>0</v>
      </c>
      <c r="H147" s="3" t="b">
        <f t="shared" si="22"/>
        <v>0</v>
      </c>
      <c r="I147" s="5" t="b">
        <f t="shared" si="23"/>
        <v>0</v>
      </c>
      <c r="J147" s="3" t="b">
        <f t="shared" si="24"/>
        <v>0</v>
      </c>
      <c r="K147" s="5" t="b">
        <f>IF(ISNUMBER(SEARCH("Sec",#REF!)),#REF!)</f>
        <v>0</v>
      </c>
      <c r="L147" s="5" t="s">
        <v>553</v>
      </c>
      <c r="M147" s="6" t="s">
        <v>554</v>
      </c>
      <c r="N147" s="5" t="b">
        <f>IF(ISNUMBER(SEARCH("WY",#REF!)),#REF!)</f>
        <v>0</v>
      </c>
    </row>
    <row r="148" spans="1:14" ht="15" customHeight="1" x14ac:dyDescent="0.2">
      <c r="A148" s="193"/>
      <c r="B148" s="218"/>
      <c r="C148" s="202"/>
      <c r="D148" s="200"/>
      <c r="F148" s="3" t="b">
        <f t="shared" si="20"/>
        <v>0</v>
      </c>
      <c r="G148" s="3" t="b">
        <f t="shared" si="21"/>
        <v>0</v>
      </c>
      <c r="H148" s="3" t="b">
        <f t="shared" si="22"/>
        <v>0</v>
      </c>
      <c r="I148" s="3" t="b">
        <f t="shared" si="23"/>
        <v>0</v>
      </c>
      <c r="J148" s="3" t="b">
        <f t="shared" si="24"/>
        <v>0</v>
      </c>
      <c r="K148" s="3" t="b">
        <f>IF(ISNUMBER(SEARCH("Sec",#REF!)),#REF!)</f>
        <v>0</v>
      </c>
      <c r="L148" s="3" t="s">
        <v>555</v>
      </c>
      <c r="M148" s="4" t="s">
        <v>556</v>
      </c>
      <c r="N148" s="3" t="b">
        <f>IF(ISNUMBER(SEARCH("WY",#REF!)),#REF!)</f>
        <v>0</v>
      </c>
    </row>
    <row r="149" spans="1:14" ht="71.25" customHeight="1" x14ac:dyDescent="0.2">
      <c r="A149" s="194"/>
      <c r="B149" s="218"/>
      <c r="C149" s="202"/>
      <c r="D149" s="200"/>
      <c r="F149" s="3" t="b">
        <f t="shared" si="20"/>
        <v>0</v>
      </c>
      <c r="G149" s="3" t="b">
        <f t="shared" si="21"/>
        <v>0</v>
      </c>
      <c r="H149" s="3" t="b">
        <f t="shared" si="22"/>
        <v>0</v>
      </c>
      <c r="I149" s="5" t="b">
        <f t="shared" si="23"/>
        <v>0</v>
      </c>
      <c r="J149" s="3" t="b">
        <f t="shared" si="24"/>
        <v>0</v>
      </c>
      <c r="K149" s="5" t="b">
        <f>IF(ISNUMBER(SEARCH("Sec",#REF!)),#REF!)</f>
        <v>0</v>
      </c>
      <c r="L149" s="5" t="s">
        <v>557</v>
      </c>
      <c r="M149" s="6"/>
      <c r="N149" s="5" t="b">
        <f>IF(ISNUMBER(SEARCH("WY",#REF!)),#REF!)</f>
        <v>0</v>
      </c>
    </row>
    <row r="150" spans="1:14" ht="28.5" customHeight="1" x14ac:dyDescent="0.2">
      <c r="A150" s="195"/>
      <c r="B150" s="218"/>
      <c r="C150" s="202"/>
      <c r="D150" s="200"/>
      <c r="F150" s="3" t="b">
        <f t="shared" si="20"/>
        <v>0</v>
      </c>
      <c r="G150" s="3" t="b">
        <f t="shared" si="21"/>
        <v>0</v>
      </c>
      <c r="H150" s="3" t="b">
        <f t="shared" si="22"/>
        <v>0</v>
      </c>
      <c r="I150" s="3" t="b">
        <f t="shared" si="23"/>
        <v>0</v>
      </c>
      <c r="J150" s="3" t="b">
        <f t="shared" si="24"/>
        <v>0</v>
      </c>
      <c r="K150" s="3" t="b">
        <f>IF(ISNUMBER(SEARCH("Sec",#REF!)),#REF!)</f>
        <v>0</v>
      </c>
      <c r="L150" s="3" t="s">
        <v>558</v>
      </c>
      <c r="M150" s="4"/>
      <c r="N150" s="3" t="b">
        <f>IF(ISNUMBER(SEARCH("WY",#REF!)),#REF!)</f>
        <v>0</v>
      </c>
    </row>
    <row r="151" spans="1:14" ht="57" customHeight="1" x14ac:dyDescent="0.2">
      <c r="A151" s="200"/>
      <c r="B151" s="218"/>
      <c r="C151" s="202"/>
      <c r="D151" s="200"/>
      <c r="F151" s="3" t="b">
        <f t="shared" si="20"/>
        <v>0</v>
      </c>
      <c r="G151" s="3" t="b">
        <f t="shared" si="21"/>
        <v>0</v>
      </c>
      <c r="H151" s="3" t="b">
        <f t="shared" si="22"/>
        <v>0</v>
      </c>
      <c r="I151" s="5" t="b">
        <f t="shared" si="23"/>
        <v>0</v>
      </c>
      <c r="J151" s="3" t="b">
        <f t="shared" si="24"/>
        <v>0</v>
      </c>
      <c r="K151" s="5" t="b">
        <f>IF(ISNUMBER(SEARCH("Sec",#REF!)),#REF!)</f>
        <v>0</v>
      </c>
      <c r="L151" s="5" t="s">
        <v>559</v>
      </c>
      <c r="M151" s="6"/>
      <c r="N151" s="5" t="b">
        <f>IF(ISNUMBER(SEARCH("WY",#REF!)),#REF!)</f>
        <v>0</v>
      </c>
    </row>
    <row r="152" spans="1:14" ht="28.5" customHeight="1" x14ac:dyDescent="0.2">
      <c r="A152" s="200"/>
      <c r="B152" s="218"/>
      <c r="C152" s="202"/>
      <c r="D152" s="200"/>
      <c r="F152" s="3" t="b">
        <f t="shared" si="20"/>
        <v>0</v>
      </c>
      <c r="G152" s="3" t="b">
        <f t="shared" si="21"/>
        <v>0</v>
      </c>
      <c r="H152" s="3" t="b">
        <f t="shared" si="22"/>
        <v>0</v>
      </c>
      <c r="I152" s="3" t="b">
        <f t="shared" si="23"/>
        <v>0</v>
      </c>
      <c r="J152" s="3" t="b">
        <f t="shared" si="24"/>
        <v>0</v>
      </c>
      <c r="K152" s="3" t="b">
        <f>IF(ISNUMBER(SEARCH("Sec",#REF!)),#REF!)</f>
        <v>0</v>
      </c>
      <c r="L152" s="3" t="s">
        <v>560</v>
      </c>
      <c r="M152" s="4"/>
      <c r="N152" s="3" t="b">
        <f>IF(ISNUMBER(SEARCH("WY",#REF!)),#REF!)</f>
        <v>0</v>
      </c>
    </row>
    <row r="153" spans="1:14" ht="17.25" customHeight="1" x14ac:dyDescent="0.2">
      <c r="A153" s="200"/>
      <c r="B153" s="218"/>
      <c r="C153" s="202"/>
      <c r="D153" s="200"/>
      <c r="F153" s="3" t="b">
        <f t="shared" si="20"/>
        <v>0</v>
      </c>
      <c r="G153" s="3" t="b">
        <f t="shared" si="21"/>
        <v>0</v>
      </c>
      <c r="H153" s="3" t="b">
        <f t="shared" si="22"/>
        <v>0</v>
      </c>
      <c r="I153" s="5" t="b">
        <f t="shared" si="23"/>
        <v>0</v>
      </c>
      <c r="J153" s="3" t="b">
        <f t="shared" si="24"/>
        <v>0</v>
      </c>
      <c r="K153" s="5" t="b">
        <f>IF(ISNUMBER(SEARCH("Sec",#REF!)),#REF!)</f>
        <v>0</v>
      </c>
      <c r="L153" s="5" t="s">
        <v>561</v>
      </c>
      <c r="M153" s="6"/>
      <c r="N153" s="5" t="b">
        <f>IF(ISNUMBER(SEARCH("WY",#REF!)),#REF!)</f>
        <v>0</v>
      </c>
    </row>
    <row r="154" spans="1:14" ht="71.25" customHeight="1" x14ac:dyDescent="0.2">
      <c r="A154" s="200"/>
      <c r="B154" s="218"/>
      <c r="C154" s="202"/>
      <c r="D154" s="200"/>
      <c r="F154" s="3" t="b">
        <f t="shared" si="20"/>
        <v>0</v>
      </c>
      <c r="G154" s="3" t="b">
        <f t="shared" si="21"/>
        <v>0</v>
      </c>
      <c r="H154" s="3" t="b">
        <f t="shared" si="22"/>
        <v>0</v>
      </c>
      <c r="I154" s="3" t="b">
        <f t="shared" si="23"/>
        <v>0</v>
      </c>
      <c r="J154" s="3" t="b">
        <f t="shared" si="24"/>
        <v>0</v>
      </c>
      <c r="K154" s="3" t="b">
        <f>IF(ISNUMBER(SEARCH("Sec",#REF!)),#REF!)</f>
        <v>0</v>
      </c>
      <c r="L154" s="3"/>
      <c r="M154" s="3"/>
      <c r="N154" s="3" t="b">
        <f>IF(ISNUMBER(SEARCH("WY",#REF!)),#REF!)</f>
        <v>0</v>
      </c>
    </row>
    <row r="155" spans="1:14" ht="99.75" customHeight="1" x14ac:dyDescent="0.2">
      <c r="A155" s="200"/>
      <c r="B155" s="200"/>
      <c r="C155" s="202"/>
      <c r="D155" s="200"/>
      <c r="F155" s="3" t="b">
        <f t="shared" si="20"/>
        <v>0</v>
      </c>
      <c r="G155" s="3" t="b">
        <f t="shared" si="21"/>
        <v>0</v>
      </c>
      <c r="H155" s="3" t="b">
        <f t="shared" si="22"/>
        <v>0</v>
      </c>
      <c r="I155" s="5" t="b">
        <f t="shared" si="23"/>
        <v>0</v>
      </c>
      <c r="J155" s="3" t="b">
        <f t="shared" si="24"/>
        <v>0</v>
      </c>
      <c r="K155" s="5" t="b">
        <f>IF(ISNUMBER(SEARCH("Sec",#REF!)),#REF!)</f>
        <v>0</v>
      </c>
      <c r="L155" s="5" t="s">
        <v>562</v>
      </c>
      <c r="M155" s="6"/>
      <c r="N155" s="5" t="b">
        <f>IF(ISNUMBER(SEARCH("WY",#REF!)),#REF!)</f>
        <v>0</v>
      </c>
    </row>
    <row r="156" spans="1:14" ht="28.5" customHeight="1" x14ac:dyDescent="0.2">
      <c r="A156" s="196"/>
      <c r="B156" s="217"/>
      <c r="C156" s="203"/>
      <c r="D156" s="207"/>
      <c r="F156" s="3" t="b">
        <f t="shared" si="20"/>
        <v>0</v>
      </c>
      <c r="G156" s="3" t="b">
        <f t="shared" si="21"/>
        <v>0</v>
      </c>
      <c r="H156" s="3" t="b">
        <f t="shared" si="22"/>
        <v>0</v>
      </c>
      <c r="I156" s="3" t="b">
        <f t="shared" si="23"/>
        <v>0</v>
      </c>
      <c r="J156" s="3" t="b">
        <f t="shared" si="24"/>
        <v>0</v>
      </c>
      <c r="K156" s="3" t="b">
        <f>IF(ISNUMBER(SEARCH("Sec",#REF!)),#REF!)</f>
        <v>0</v>
      </c>
      <c r="L156" s="3" t="s">
        <v>563</v>
      </c>
      <c r="M156" s="4"/>
      <c r="N156" s="3" t="b">
        <f>IF(ISNUMBER(SEARCH("WY",#REF!)),#REF!)</f>
        <v>0</v>
      </c>
    </row>
    <row r="157" spans="1:14" ht="28.5" customHeight="1" x14ac:dyDescent="0.2">
      <c r="A157" s="197"/>
      <c r="B157" s="217"/>
      <c r="C157" s="203"/>
      <c r="D157" s="207"/>
      <c r="F157" s="3" t="b">
        <f t="shared" si="20"/>
        <v>0</v>
      </c>
      <c r="G157" s="3" t="b">
        <f t="shared" si="21"/>
        <v>0</v>
      </c>
      <c r="H157" s="3" t="b">
        <f t="shared" si="22"/>
        <v>0</v>
      </c>
      <c r="I157" s="5" t="b">
        <f t="shared" si="23"/>
        <v>0</v>
      </c>
      <c r="J157" s="3" t="b">
        <f t="shared" si="24"/>
        <v>0</v>
      </c>
      <c r="K157" s="5" t="b">
        <f>IF(ISNUMBER(SEARCH("Sec",#REF!)),#REF!)</f>
        <v>0</v>
      </c>
      <c r="L157" s="5" t="s">
        <v>564</v>
      </c>
      <c r="M157" s="6"/>
      <c r="N157" s="5" t="b">
        <f>IF(ISNUMBER(SEARCH("WY",#REF!)),#REF!)</f>
        <v>0</v>
      </c>
    </row>
    <row r="158" spans="1:14" ht="17.25" customHeight="1" x14ac:dyDescent="0.2">
      <c r="A158" s="198"/>
      <c r="B158" s="217"/>
      <c r="C158" s="203"/>
      <c r="D158" s="207"/>
      <c r="F158" s="3" t="b">
        <f t="shared" si="20"/>
        <v>0</v>
      </c>
      <c r="G158" s="3" t="b">
        <f t="shared" si="21"/>
        <v>0</v>
      </c>
      <c r="H158" s="3" t="b">
        <f t="shared" si="22"/>
        <v>0</v>
      </c>
      <c r="I158" s="3" t="b">
        <f t="shared" si="23"/>
        <v>0</v>
      </c>
      <c r="J158" s="3" t="b">
        <f t="shared" si="24"/>
        <v>0</v>
      </c>
      <c r="K158" s="3" t="b">
        <f>IF(ISNUMBER(SEARCH("Sec",#REF!)),#REF!)</f>
        <v>0</v>
      </c>
      <c r="L158" s="3" t="s">
        <v>565</v>
      </c>
      <c r="M158" s="4"/>
      <c r="N158" s="3" t="b">
        <f>IF(ISNUMBER(SEARCH("WY",#REF!)),#REF!)</f>
        <v>0</v>
      </c>
    </row>
    <row r="159" spans="1:14" ht="71.25" customHeight="1" x14ac:dyDescent="0.2">
      <c r="A159" s="207"/>
      <c r="B159" s="217"/>
      <c r="C159" s="203"/>
      <c r="D159" s="207"/>
      <c r="F159" s="3" t="b">
        <f t="shared" si="20"/>
        <v>0</v>
      </c>
      <c r="G159" s="3" t="b">
        <f t="shared" si="21"/>
        <v>0</v>
      </c>
      <c r="H159" s="3" t="b">
        <f t="shared" si="22"/>
        <v>0</v>
      </c>
      <c r="I159" s="5" t="b">
        <f t="shared" si="23"/>
        <v>0</v>
      </c>
      <c r="J159" s="3" t="b">
        <f t="shared" si="24"/>
        <v>0</v>
      </c>
      <c r="K159" s="5" t="b">
        <f>IF(ISNUMBER(SEARCH("Sec",#REF!)),#REF!)</f>
        <v>0</v>
      </c>
      <c r="L159" s="5"/>
      <c r="M159" s="5"/>
      <c r="N159" s="5" t="b">
        <f>IF(ISNUMBER(SEARCH("WY",#REF!)),#REF!)</f>
        <v>0</v>
      </c>
    </row>
    <row r="160" spans="1:14" ht="42.75" customHeight="1" x14ac:dyDescent="0.2">
      <c r="A160" s="207"/>
      <c r="B160" s="217"/>
      <c r="C160" s="203"/>
      <c r="D160" s="207"/>
      <c r="F160" s="3" t="b">
        <f t="shared" si="20"/>
        <v>0</v>
      </c>
      <c r="G160" s="3" t="b">
        <f t="shared" si="21"/>
        <v>0</v>
      </c>
      <c r="H160" s="3" t="b">
        <f t="shared" si="22"/>
        <v>0</v>
      </c>
      <c r="I160" s="3" t="b">
        <f t="shared" si="23"/>
        <v>0</v>
      </c>
      <c r="J160" s="3" t="b">
        <f t="shared" si="24"/>
        <v>0</v>
      </c>
      <c r="K160" s="3" t="b">
        <f>IF(ISNUMBER(SEARCH("Sec",#REF!)),#REF!)</f>
        <v>0</v>
      </c>
      <c r="L160" s="3" t="s">
        <v>566</v>
      </c>
      <c r="M160" s="4"/>
      <c r="N160" s="3" t="b">
        <f>IF(ISNUMBER(SEARCH("WY",#REF!)),#REF!)</f>
        <v>0</v>
      </c>
    </row>
    <row r="161" spans="1:14" ht="57" customHeight="1" x14ac:dyDescent="0.2">
      <c r="A161" s="207"/>
      <c r="B161" s="217"/>
      <c r="C161" s="203"/>
      <c r="D161" s="207"/>
      <c r="F161" s="3" t="b">
        <f t="shared" si="20"/>
        <v>0</v>
      </c>
      <c r="G161" s="3" t="b">
        <f t="shared" si="21"/>
        <v>0</v>
      </c>
      <c r="H161" s="3" t="b">
        <f t="shared" si="22"/>
        <v>0</v>
      </c>
      <c r="I161" s="5" t="b">
        <f t="shared" si="23"/>
        <v>0</v>
      </c>
      <c r="J161" s="3" t="b">
        <f t="shared" si="24"/>
        <v>0</v>
      </c>
      <c r="K161" s="5" t="b">
        <f>IF(ISNUMBER(SEARCH("Sec",#REF!)),#REF!)</f>
        <v>0</v>
      </c>
      <c r="L161" s="5" t="s">
        <v>567</v>
      </c>
      <c r="M161" s="6"/>
      <c r="N161" s="5" t="b">
        <f>IF(ISNUMBER(SEARCH("WY",#REF!)),#REF!)</f>
        <v>0</v>
      </c>
    </row>
    <row r="162" spans="1:14" ht="28.5" customHeight="1" x14ac:dyDescent="0.2">
      <c r="A162" s="207"/>
      <c r="B162" s="217"/>
      <c r="C162" s="203"/>
      <c r="D162" s="207"/>
      <c r="F162" s="3" t="b">
        <f t="shared" ref="F162:F167" si="25">IF(ISNUMBER(SEARCH("County",B162)),B162)</f>
        <v>0</v>
      </c>
      <c r="G162" s="3" t="b">
        <f t="shared" ref="G162:G167" si="26">IF(ISNUMBER(SEARCH("acres:",B162)),B162)</f>
        <v>0</v>
      </c>
      <c r="H162" s="3" t="b">
        <f t="shared" ref="H162:H167" si="27">IF(ISNUMBER(SEARCH("T.",B162)),B162)</f>
        <v>0</v>
      </c>
      <c r="I162" s="3" t="b">
        <f t="shared" ref="I162:I167" si="28">IF(ISNUMBER(SEARCH("Serial",A162)),A162)</f>
        <v>0</v>
      </c>
      <c r="J162" s="3" t="b">
        <f t="shared" ref="J162:J167" si="29">IF(ISNUMBER(SEARCH("Parcel ID",A162)),A162)</f>
        <v>0</v>
      </c>
      <c r="K162" s="3" t="b">
        <f>IF(ISNUMBER(SEARCH("Sec",#REF!)),#REF!)</f>
        <v>0</v>
      </c>
      <c r="L162" s="3" t="s">
        <v>568</v>
      </c>
      <c r="M162" s="4"/>
      <c r="N162" s="3" t="b">
        <f>IF(ISNUMBER(SEARCH("WY",#REF!)),#REF!)</f>
        <v>0</v>
      </c>
    </row>
    <row r="163" spans="1:14" ht="28.5" customHeight="1" x14ac:dyDescent="0.2">
      <c r="A163" s="207"/>
      <c r="B163" s="207"/>
      <c r="C163" s="203"/>
      <c r="D163" s="207"/>
      <c r="F163" s="3" t="b">
        <f t="shared" si="25"/>
        <v>0</v>
      </c>
      <c r="G163" s="3" t="b">
        <f t="shared" si="26"/>
        <v>0</v>
      </c>
      <c r="H163" s="3" t="b">
        <f t="shared" si="27"/>
        <v>0</v>
      </c>
      <c r="I163" s="5" t="b">
        <f t="shared" si="28"/>
        <v>0</v>
      </c>
      <c r="J163" s="3" t="b">
        <f t="shared" si="29"/>
        <v>0</v>
      </c>
      <c r="K163" s="5" t="b">
        <f>IF(ISNUMBER(SEARCH("Sec",#REF!)),#REF!)</f>
        <v>0</v>
      </c>
      <c r="L163" s="5"/>
      <c r="M163" s="6"/>
      <c r="N163" s="5" t="b">
        <f>IF(ISNUMBER(SEARCH("WY",#REF!)),#REF!)</f>
        <v>0</v>
      </c>
    </row>
    <row r="164" spans="1:14" ht="15" customHeight="1" x14ac:dyDescent="0.2">
      <c r="A164" s="193"/>
      <c r="B164" s="218"/>
      <c r="C164" s="202"/>
      <c r="D164" s="200"/>
      <c r="F164" s="3" t="b">
        <f t="shared" si="25"/>
        <v>0</v>
      </c>
      <c r="G164" s="3" t="b">
        <f t="shared" si="26"/>
        <v>0</v>
      </c>
      <c r="H164" s="3" t="b">
        <f t="shared" si="27"/>
        <v>0</v>
      </c>
      <c r="I164" s="3" t="b">
        <f t="shared" si="28"/>
        <v>0</v>
      </c>
      <c r="J164" s="3" t="b">
        <f t="shared" si="29"/>
        <v>0</v>
      </c>
      <c r="K164" s="3" t="b">
        <f>IF(ISNUMBER(SEARCH("Sec",#REF!)),#REF!)</f>
        <v>0</v>
      </c>
      <c r="L164" s="3"/>
      <c r="M164" s="4"/>
      <c r="N164" s="3" t="b">
        <f>IF(ISNUMBER(SEARCH("WY",#REF!)),#REF!)</f>
        <v>0</v>
      </c>
    </row>
    <row r="165" spans="1:14" ht="71.25" customHeight="1" x14ac:dyDescent="0.2">
      <c r="A165" s="194"/>
      <c r="B165" s="218"/>
      <c r="C165" s="202"/>
      <c r="D165" s="200"/>
      <c r="F165" s="3" t="b">
        <f t="shared" si="25"/>
        <v>0</v>
      </c>
      <c r="G165" s="3" t="b">
        <f t="shared" si="26"/>
        <v>0</v>
      </c>
      <c r="H165" s="3" t="b">
        <f t="shared" si="27"/>
        <v>0</v>
      </c>
      <c r="I165" s="5" t="b">
        <f t="shared" si="28"/>
        <v>0</v>
      </c>
      <c r="J165" s="3" t="b">
        <f t="shared" si="29"/>
        <v>0</v>
      </c>
      <c r="K165" s="5" t="b">
        <f>IF(ISNUMBER(SEARCH("Sec",#REF!)),#REF!)</f>
        <v>0</v>
      </c>
      <c r="L165" s="5"/>
      <c r="M165" s="6"/>
      <c r="N165" s="5" t="b">
        <f>IF(ISNUMBER(SEARCH("WY",#REF!)),#REF!)</f>
        <v>0</v>
      </c>
    </row>
    <row r="166" spans="1:14" ht="71.25" customHeight="1" x14ac:dyDescent="0.2">
      <c r="A166" s="195"/>
      <c r="B166" s="218"/>
      <c r="C166" s="202"/>
      <c r="D166" s="200"/>
      <c r="F166" s="3" t="b">
        <f t="shared" si="25"/>
        <v>0</v>
      </c>
      <c r="G166" s="3" t="b">
        <f t="shared" si="26"/>
        <v>0</v>
      </c>
      <c r="H166" s="3" t="b">
        <f t="shared" si="27"/>
        <v>0</v>
      </c>
      <c r="I166" s="3" t="b">
        <f t="shared" si="28"/>
        <v>0</v>
      </c>
      <c r="J166" s="3" t="b">
        <f t="shared" si="29"/>
        <v>0</v>
      </c>
      <c r="K166" s="3" t="b">
        <f>IF(ISNUMBER(SEARCH("Sec",#REF!)),#REF!)</f>
        <v>0</v>
      </c>
      <c r="L166" s="3" t="s">
        <v>397</v>
      </c>
      <c r="M166" s="4" t="s">
        <v>569</v>
      </c>
      <c r="N166" s="3" t="b">
        <f>IF(ISNUMBER(SEARCH("WY",#REF!)),#REF!)</f>
        <v>0</v>
      </c>
    </row>
    <row r="167" spans="1:14" ht="57" customHeight="1" thickBot="1" x14ac:dyDescent="0.25">
      <c r="A167" s="201"/>
      <c r="B167" s="201"/>
      <c r="C167" s="204"/>
      <c r="D167" s="201"/>
      <c r="F167" s="3" t="b">
        <f t="shared" si="25"/>
        <v>0</v>
      </c>
      <c r="G167" s="3" t="b">
        <f t="shared" si="26"/>
        <v>0</v>
      </c>
      <c r="H167" s="3" t="b">
        <f t="shared" si="27"/>
        <v>0</v>
      </c>
      <c r="I167" s="5" t="b">
        <f t="shared" si="28"/>
        <v>0</v>
      </c>
      <c r="J167" s="3" t="b">
        <f t="shared" si="29"/>
        <v>0</v>
      </c>
      <c r="K167" s="5" t="b">
        <f>IF(ISNUMBER(SEARCH("Sec",#REF!)),#REF!)</f>
        <v>0</v>
      </c>
      <c r="L167" s="5"/>
      <c r="M167" s="5"/>
      <c r="N167" s="5" t="b">
        <f>IF(ISNUMBER(SEARCH("WY",#REF!)),#REF!)</f>
        <v>0</v>
      </c>
    </row>
    <row r="168" spans="1:14" ht="28.5" customHeight="1" x14ac:dyDescent="0.2"/>
    <row r="169" spans="1:14" ht="15" customHeight="1" x14ac:dyDescent="0.2"/>
    <row r="170" spans="1:14" ht="71.25" customHeight="1" x14ac:dyDescent="0.2"/>
    <row r="171" spans="1:14" ht="28.5" customHeight="1" x14ac:dyDescent="0.2"/>
    <row r="172" spans="1:14" ht="28.5" customHeight="1" x14ac:dyDescent="0.2"/>
    <row r="174" spans="1:14" ht="71.25" customHeight="1" x14ac:dyDescent="0.2"/>
    <row r="175" spans="1:14" ht="42.75" customHeight="1" x14ac:dyDescent="0.2"/>
    <row r="176" spans="1:14" ht="99.75" customHeight="1" x14ac:dyDescent="0.2"/>
    <row r="177" ht="28.5" customHeight="1" x14ac:dyDescent="0.2"/>
    <row r="178" ht="57" customHeight="1" x14ac:dyDescent="0.2"/>
    <row r="179" ht="71.25" customHeight="1" x14ac:dyDescent="0.2"/>
    <row r="180" ht="28.5" customHeight="1" x14ac:dyDescent="0.2"/>
    <row r="181" ht="15" customHeight="1" x14ac:dyDescent="0.2"/>
    <row r="182" ht="71.25" customHeight="1" x14ac:dyDescent="0.2"/>
    <row r="183" ht="57" customHeight="1" x14ac:dyDescent="0.2"/>
    <row r="184" ht="28.5" customHeight="1" x14ac:dyDescent="0.2"/>
    <row r="185" ht="15" customHeight="1" x14ac:dyDescent="0.2"/>
    <row r="186" ht="71.25" customHeight="1" x14ac:dyDescent="0.2"/>
    <row r="187" ht="57" customHeight="1" x14ac:dyDescent="0.2"/>
    <row r="188" ht="28.5" customHeight="1" x14ac:dyDescent="0.2"/>
    <row r="189" ht="15" customHeight="1" x14ac:dyDescent="0.2"/>
    <row r="190" ht="71.25" customHeight="1" x14ac:dyDescent="0.2"/>
    <row r="191" ht="71.25" customHeight="1" x14ac:dyDescent="0.2"/>
    <row r="192" ht="28.5" customHeight="1" x14ac:dyDescent="0.2"/>
    <row r="193" ht="15" customHeight="1" x14ac:dyDescent="0.2"/>
    <row r="194" ht="71.25" customHeight="1" x14ac:dyDescent="0.2"/>
    <row r="195" ht="85.5" customHeight="1" x14ac:dyDescent="0.2"/>
    <row r="196" ht="28.5" customHeight="1" x14ac:dyDescent="0.2"/>
    <row r="197" ht="17.25" customHeight="1" x14ac:dyDescent="0.2"/>
    <row r="198" ht="71.25" customHeight="1" x14ac:dyDescent="0.2"/>
    <row r="199" ht="71.25" customHeight="1" x14ac:dyDescent="0.2"/>
    <row r="200" ht="28.5" customHeight="1" x14ac:dyDescent="0.2"/>
    <row r="201" ht="15" customHeight="1" x14ac:dyDescent="0.2"/>
    <row r="202" ht="71.25" customHeight="1" x14ac:dyDescent="0.2"/>
    <row r="203" ht="42.75" customHeight="1" x14ac:dyDescent="0.2"/>
    <row r="204" ht="28.5" customHeight="1" x14ac:dyDescent="0.2"/>
    <row r="205" ht="15" customHeight="1" x14ac:dyDescent="0.2"/>
    <row r="206" ht="71.25" customHeight="1" x14ac:dyDescent="0.2"/>
    <row r="207" ht="57" customHeight="1" x14ac:dyDescent="0.2"/>
    <row r="208" ht="28.5" customHeight="1" x14ac:dyDescent="0.2"/>
    <row r="209" ht="17.25" customHeight="1" x14ac:dyDescent="0.2"/>
    <row r="210" ht="71.25" customHeight="1" x14ac:dyDescent="0.2"/>
    <row r="211" ht="28.5" customHeight="1" x14ac:dyDescent="0.2"/>
    <row r="212" ht="28.5" customHeight="1" x14ac:dyDescent="0.2"/>
    <row r="213" ht="17.25" customHeight="1" x14ac:dyDescent="0.2"/>
    <row r="214" ht="71.25" customHeight="1" x14ac:dyDescent="0.2"/>
    <row r="215" ht="28.5" customHeight="1" x14ac:dyDescent="0.2"/>
    <row r="216" ht="85.5" customHeight="1" x14ac:dyDescent="0.2"/>
    <row r="217" ht="28.5" customHeight="1" x14ac:dyDescent="0.2"/>
    <row r="218" ht="17.25" customHeight="1" x14ac:dyDescent="0.2"/>
    <row r="219" ht="71.25" customHeight="1" x14ac:dyDescent="0.2"/>
    <row r="220" ht="85.5" customHeight="1" x14ac:dyDescent="0.2"/>
    <row r="221" ht="28.5" customHeight="1" x14ac:dyDescent="0.2"/>
    <row r="222" ht="15" customHeight="1" x14ac:dyDescent="0.2"/>
    <row r="223" ht="71.25" customHeight="1" x14ac:dyDescent="0.2"/>
    <row r="224" ht="28.5" customHeight="1" x14ac:dyDescent="0.2"/>
    <row r="225" ht="42.75" customHeight="1" x14ac:dyDescent="0.2"/>
    <row r="226" ht="42.75" customHeight="1" x14ac:dyDescent="0.2"/>
    <row r="227" ht="42.75" customHeight="1" x14ac:dyDescent="0.2"/>
    <row r="228" ht="15" customHeight="1" x14ac:dyDescent="0.2"/>
    <row r="229" ht="71.25" customHeight="1" x14ac:dyDescent="0.2"/>
    <row r="230" ht="57" customHeight="1" x14ac:dyDescent="0.2"/>
    <row r="231" ht="28.5" customHeight="1" x14ac:dyDescent="0.2"/>
    <row r="233" ht="71.25" customHeight="1" x14ac:dyDescent="0.2"/>
    <row r="234" ht="28.5" customHeight="1" x14ac:dyDescent="0.2"/>
    <row r="235" ht="57" customHeight="1" x14ac:dyDescent="0.2"/>
    <row r="236" ht="28.5" customHeight="1" x14ac:dyDescent="0.2"/>
    <row r="238" ht="71.25" customHeight="1" x14ac:dyDescent="0.2"/>
    <row r="239" ht="99.75" customHeight="1" x14ac:dyDescent="0.2"/>
    <row r="240" ht="71.25" customHeight="1" x14ac:dyDescent="0.2"/>
    <row r="241" ht="28.5" customHeight="1" x14ac:dyDescent="0.2"/>
    <row r="242" ht="15" customHeight="1" x14ac:dyDescent="0.2"/>
    <row r="243" ht="71.25" customHeight="1" x14ac:dyDescent="0.2"/>
    <row r="244" ht="28.5" customHeight="1" x14ac:dyDescent="0.2"/>
    <row r="245" ht="57" customHeight="1" x14ac:dyDescent="0.2"/>
    <row r="246" ht="28.5" customHeight="1" x14ac:dyDescent="0.2"/>
    <row r="247" ht="15" customHeight="1" x14ac:dyDescent="0.2"/>
    <row r="248" ht="71.25" customHeight="1" x14ac:dyDescent="0.2"/>
    <row r="249" ht="71.25" customHeight="1" x14ac:dyDescent="0.2"/>
    <row r="250" ht="71.25" customHeight="1" x14ac:dyDescent="0.2"/>
    <row r="251" ht="71.25" customHeight="1" x14ac:dyDescent="0.2"/>
    <row r="252" ht="42.75" customHeight="1" x14ac:dyDescent="0.2"/>
    <row r="253" ht="28.5" customHeight="1" x14ac:dyDescent="0.2"/>
    <row r="254" ht="17.25" customHeight="1" x14ac:dyDescent="0.2"/>
    <row r="255" ht="71.25" customHeight="1" x14ac:dyDescent="0.2"/>
    <row r="256" ht="28.5" customHeight="1" x14ac:dyDescent="0.2"/>
    <row r="257" ht="57" customHeight="1" x14ac:dyDescent="0.2"/>
    <row r="258" ht="42.75" customHeight="1" x14ac:dyDescent="0.2"/>
    <row r="259" ht="28.5" customHeight="1" x14ac:dyDescent="0.2"/>
    <row r="260" ht="57" customHeight="1" x14ac:dyDescent="0.2"/>
    <row r="261" ht="28.5" customHeight="1" x14ac:dyDescent="0.2"/>
    <row r="262" ht="15" customHeight="1" x14ac:dyDescent="0.2"/>
    <row r="263" ht="71.25" customHeight="1" x14ac:dyDescent="0.2"/>
    <row r="264" ht="42.75" customHeight="1" x14ac:dyDescent="0.2"/>
    <row r="265" ht="71.25" customHeight="1" x14ac:dyDescent="0.2"/>
    <row r="266" ht="42.75" customHeight="1" x14ac:dyDescent="0.2"/>
    <row r="267" ht="99.75" customHeight="1" x14ac:dyDescent="0.2"/>
    <row r="268" ht="57" customHeight="1" x14ac:dyDescent="0.2"/>
    <row r="269" ht="28.5" customHeight="1" x14ac:dyDescent="0.2"/>
    <row r="270" ht="15" customHeight="1" x14ac:dyDescent="0.2"/>
    <row r="271" ht="71.25" customHeight="1" x14ac:dyDescent="0.2"/>
    <row r="272" ht="99.75" customHeight="1" x14ac:dyDescent="0.2"/>
    <row r="273" ht="28.5" customHeight="1" x14ac:dyDescent="0.2"/>
    <row r="274" ht="85.5" customHeight="1" x14ac:dyDescent="0.2"/>
    <row r="275" ht="57" customHeight="1" x14ac:dyDescent="0.2"/>
    <row r="276" ht="28.5" customHeight="1" x14ac:dyDescent="0.2"/>
    <row r="277" ht="57" customHeight="1" x14ac:dyDescent="0.2"/>
    <row r="278" ht="85.5" customHeight="1" x14ac:dyDescent="0.2"/>
    <row r="279" ht="57" customHeight="1" x14ac:dyDescent="0.2"/>
    <row r="280" ht="85.5" customHeight="1" x14ac:dyDescent="0.2"/>
    <row r="281" ht="42.75" customHeight="1" x14ac:dyDescent="0.2"/>
    <row r="282" ht="15" customHeight="1" x14ac:dyDescent="0.2"/>
    <row r="283" ht="71.25" customHeight="1" x14ac:dyDescent="0.2"/>
    <row r="284" ht="85.5" customHeight="1" x14ac:dyDescent="0.2"/>
    <row r="285" ht="42.75" customHeight="1" x14ac:dyDescent="0.2"/>
    <row r="286" ht="99.75" customHeight="1" x14ac:dyDescent="0.2"/>
    <row r="287" ht="28.5" customHeight="1" x14ac:dyDescent="0.2"/>
    <row r="288" ht="85.5" customHeight="1" x14ac:dyDescent="0.2"/>
    <row r="289" ht="57" customHeight="1" x14ac:dyDescent="0.2"/>
    <row r="290" ht="28.5" customHeight="1" x14ac:dyDescent="0.2"/>
    <row r="291" ht="71.25" customHeight="1" x14ac:dyDescent="0.2"/>
    <row r="292" ht="28.5" customHeight="1" x14ac:dyDescent="0.2"/>
    <row r="293" ht="15" customHeight="1" x14ac:dyDescent="0.2"/>
    <row r="294" ht="71.25" customHeight="1" x14ac:dyDescent="0.2"/>
    <row r="295" ht="57" customHeight="1" x14ac:dyDescent="0.2"/>
    <row r="296" ht="99.75" customHeight="1" x14ac:dyDescent="0.2"/>
    <row r="297" ht="85.5" customHeight="1" x14ac:dyDescent="0.2"/>
    <row r="298" ht="42.75" customHeight="1" x14ac:dyDescent="0.2"/>
    <row r="299" ht="85.5" customHeight="1" x14ac:dyDescent="0.2"/>
    <row r="300" ht="71.25" customHeight="1" x14ac:dyDescent="0.2"/>
    <row r="301" ht="28.5" customHeight="1" x14ac:dyDescent="0.2"/>
    <row r="302" ht="57" customHeight="1" x14ac:dyDescent="0.2"/>
    <row r="303" ht="42.75" customHeight="1" x14ac:dyDescent="0.2"/>
    <row r="304" ht="15" customHeight="1" x14ac:dyDescent="0.2"/>
    <row r="305" ht="71.25" customHeight="1" x14ac:dyDescent="0.2"/>
    <row r="306" ht="71.25" customHeight="1" x14ac:dyDescent="0.2"/>
    <row r="307" ht="85.5" customHeight="1" x14ac:dyDescent="0.2"/>
    <row r="308" ht="99.75" customHeight="1" x14ac:dyDescent="0.2"/>
    <row r="309" ht="57" customHeight="1" x14ac:dyDescent="0.2"/>
    <row r="310" ht="57" customHeight="1" x14ac:dyDescent="0.2"/>
    <row r="311" ht="85.5" customHeight="1" x14ac:dyDescent="0.2"/>
    <row r="312" ht="28.5" customHeight="1" x14ac:dyDescent="0.2"/>
    <row r="313" ht="28.5" customHeight="1" x14ac:dyDescent="0.2"/>
    <row r="314" ht="15" customHeight="1" x14ac:dyDescent="0.2"/>
    <row r="315" ht="71.25" customHeight="1" x14ac:dyDescent="0.2"/>
    <row r="316" ht="57" customHeight="1" x14ac:dyDescent="0.2"/>
    <row r="317" ht="42.75" customHeight="1" x14ac:dyDescent="0.2"/>
    <row r="318" ht="71.25" customHeight="1" x14ac:dyDescent="0.2"/>
    <row r="319" ht="71.25" customHeight="1" x14ac:dyDescent="0.2"/>
    <row r="320" ht="28.5" customHeight="1" x14ac:dyDescent="0.2"/>
    <row r="321" ht="42.75" customHeight="1" x14ac:dyDescent="0.2"/>
    <row r="322" ht="99.75" customHeight="1" x14ac:dyDescent="0.2"/>
    <row r="323" ht="71.25" customHeight="1" x14ac:dyDescent="0.2"/>
    <row r="324" ht="71.25" customHeight="1" x14ac:dyDescent="0.2"/>
    <row r="325" ht="42.75" customHeight="1" x14ac:dyDescent="0.2"/>
    <row r="326" ht="15" customHeight="1" x14ac:dyDescent="0.2"/>
    <row r="327" ht="71.25" customHeight="1" x14ac:dyDescent="0.2"/>
    <row r="328" ht="28.5" customHeight="1" x14ac:dyDescent="0.2"/>
    <row r="329" ht="71.25" customHeight="1" x14ac:dyDescent="0.2"/>
    <row r="330" ht="42.75" customHeight="1" x14ac:dyDescent="0.2"/>
    <row r="331" ht="85.5" customHeight="1" x14ac:dyDescent="0.2"/>
    <row r="332" ht="71.25" customHeight="1" x14ac:dyDescent="0.2"/>
    <row r="333" ht="28.5" customHeight="1" x14ac:dyDescent="0.2"/>
    <row r="334" ht="42.75" customHeight="1" x14ac:dyDescent="0.2"/>
    <row r="335" ht="85.5" customHeight="1" x14ac:dyDescent="0.2"/>
    <row r="336" ht="57" customHeight="1" x14ac:dyDescent="0.2"/>
    <row r="337" ht="71.25" customHeight="1" x14ac:dyDescent="0.2"/>
    <row r="338" ht="57" customHeight="1" x14ac:dyDescent="0.2"/>
    <row r="339" ht="28.5" customHeight="1" x14ac:dyDescent="0.2"/>
    <row r="340" ht="42.75" customHeight="1" x14ac:dyDescent="0.2"/>
    <row r="342" ht="71.25" customHeight="1" x14ac:dyDescent="0.2"/>
    <row r="343" ht="85.5" customHeight="1" x14ac:dyDescent="0.2"/>
    <row r="344" ht="28.5" customHeight="1" x14ac:dyDescent="0.2"/>
    <row r="345" ht="71.25" customHeight="1" x14ac:dyDescent="0.2"/>
    <row r="346" ht="57" customHeight="1" x14ac:dyDescent="0.2"/>
    <row r="347" ht="28.5" customHeight="1" x14ac:dyDescent="0.2"/>
    <row r="348" ht="15" customHeight="1" x14ac:dyDescent="0.2"/>
    <row r="349" ht="71.25" customHeight="1" x14ac:dyDescent="0.2"/>
    <row r="350" ht="99.75" customHeight="1" x14ac:dyDescent="0.2"/>
    <row r="351" ht="28.5" customHeight="1" x14ac:dyDescent="0.2"/>
    <row r="352" ht="57" customHeight="1" x14ac:dyDescent="0.2"/>
    <row r="353" ht="85.5" customHeight="1" x14ac:dyDescent="0.2"/>
    <row r="354" ht="57" customHeight="1" x14ac:dyDescent="0.2"/>
    <row r="355" ht="85.5" customHeight="1" x14ac:dyDescent="0.2"/>
    <row r="356" ht="57" customHeight="1" x14ac:dyDescent="0.2"/>
    <row r="357" ht="28.5" customHeight="1" x14ac:dyDescent="0.2"/>
    <row r="358" ht="85.5" customHeight="1" x14ac:dyDescent="0.2"/>
    <row r="359" ht="28.5" customHeight="1" x14ac:dyDescent="0.2"/>
    <row r="360" ht="99.75" customHeight="1" x14ac:dyDescent="0.2"/>
    <row r="361" ht="57" customHeight="1" x14ac:dyDescent="0.2"/>
    <row r="362" ht="42.75" customHeight="1" x14ac:dyDescent="0.2"/>
    <row r="363" ht="15" customHeight="1" x14ac:dyDescent="0.2"/>
    <row r="364" ht="71.25" customHeight="1" x14ac:dyDescent="0.2"/>
    <row r="365" ht="57" customHeight="1" x14ac:dyDescent="0.2"/>
    <row r="366" ht="28.5" customHeight="1" x14ac:dyDescent="0.2"/>
    <row r="367" ht="15" customHeight="1" x14ac:dyDescent="0.2"/>
    <row r="368" ht="71.25" customHeight="1" x14ac:dyDescent="0.2"/>
    <row r="369" ht="71.25" customHeight="1" x14ac:dyDescent="0.2"/>
    <row r="370" ht="28.5" customHeight="1" x14ac:dyDescent="0.2"/>
    <row r="371" ht="15" customHeight="1" x14ac:dyDescent="0.2"/>
    <row r="372" ht="71.25" customHeight="1" x14ac:dyDescent="0.2"/>
    <row r="373" ht="57" customHeight="1" x14ac:dyDescent="0.2"/>
    <row r="374" ht="42.75" customHeight="1" x14ac:dyDescent="0.2"/>
    <row r="375" ht="57" customHeight="1" x14ac:dyDescent="0.2"/>
    <row r="376" ht="57" customHeight="1" x14ac:dyDescent="0.2"/>
    <row r="377" ht="71.25" customHeight="1" x14ac:dyDescent="0.2"/>
    <row r="378" ht="57" customHeight="1" x14ac:dyDescent="0.2"/>
    <row r="379" ht="85.5" customHeight="1" x14ac:dyDescent="0.2"/>
    <row r="380" ht="28.5" customHeight="1" x14ac:dyDescent="0.2"/>
    <row r="382" ht="71.25" customHeight="1" x14ac:dyDescent="0.2"/>
    <row r="383" ht="28.5" customHeight="1" x14ac:dyDescent="0.2"/>
    <row r="384" ht="42.75" customHeight="1" x14ac:dyDescent="0.2"/>
    <row r="385" ht="99.75" customHeight="1" x14ac:dyDescent="0.2"/>
    <row r="386" ht="28.5" customHeight="1" x14ac:dyDescent="0.2"/>
    <row r="387" ht="17.25" customHeight="1" x14ac:dyDescent="0.2"/>
    <row r="388" ht="71.25" customHeight="1" x14ac:dyDescent="0.2"/>
    <row r="389" ht="71.25" customHeight="1" x14ac:dyDescent="0.2"/>
    <row r="390" ht="42.75" customHeight="1" x14ac:dyDescent="0.2"/>
    <row r="391" ht="42.75" customHeight="1" x14ac:dyDescent="0.2"/>
    <row r="392" ht="28.5" customHeight="1" x14ac:dyDescent="0.2"/>
    <row r="393" ht="15" customHeight="1" x14ac:dyDescent="0.2"/>
    <row r="394" ht="71.25" customHeight="1" x14ac:dyDescent="0.2"/>
    <row r="395" ht="28.5" customHeight="1" x14ac:dyDescent="0.2"/>
    <row r="396" ht="85.5" customHeight="1" x14ac:dyDescent="0.2"/>
    <row r="397" ht="28.5" customHeight="1" x14ac:dyDescent="0.2"/>
    <row r="398" ht="71.25" customHeight="1" x14ac:dyDescent="0.2"/>
    <row r="399" ht="57" customHeight="1" x14ac:dyDescent="0.2"/>
    <row r="400" ht="85.5" customHeight="1" x14ac:dyDescent="0.2"/>
    <row r="401" ht="28.5" customHeight="1" x14ac:dyDescent="0.2"/>
    <row r="402" ht="42.75" customHeight="1" x14ac:dyDescent="0.2"/>
    <row r="403" ht="71.25" customHeight="1" x14ac:dyDescent="0.2"/>
    <row r="404" ht="28.5" customHeight="1" x14ac:dyDescent="0.2"/>
    <row r="405" ht="17.25" customHeight="1" x14ac:dyDescent="0.2"/>
    <row r="406" ht="71.25" customHeight="1" x14ac:dyDescent="0.2"/>
    <row r="407" ht="42.75" customHeight="1" x14ac:dyDescent="0.2"/>
    <row r="408" ht="71.25" customHeight="1" x14ac:dyDescent="0.2"/>
    <row r="409" ht="57" customHeight="1" x14ac:dyDescent="0.2"/>
    <row r="410" ht="71.25" customHeight="1" x14ac:dyDescent="0.2"/>
    <row r="411" ht="28.5" customHeight="1" x14ac:dyDescent="0.2"/>
    <row r="412" ht="142.5" customHeight="1" x14ac:dyDescent="0.2"/>
    <row r="413" ht="42.75" customHeight="1" x14ac:dyDescent="0.2"/>
    <row r="414" ht="17.25" customHeight="1" x14ac:dyDescent="0.2"/>
    <row r="415" ht="71.25" customHeight="1" x14ac:dyDescent="0.2"/>
    <row r="416" ht="114" customHeight="1" x14ac:dyDescent="0.2"/>
    <row r="417" ht="28.5" customHeight="1" x14ac:dyDescent="0.2"/>
    <row r="418" ht="15" customHeight="1" x14ac:dyDescent="0.2"/>
    <row r="419" ht="71.25" customHeight="1" x14ac:dyDescent="0.2"/>
    <row r="420" ht="57" customHeight="1" x14ac:dyDescent="0.2"/>
    <row r="421" ht="85.5" customHeight="1" x14ac:dyDescent="0.2"/>
    <row r="422" ht="71.25" customHeight="1" x14ac:dyDescent="0.2"/>
    <row r="423" ht="85.5" customHeight="1" x14ac:dyDescent="0.2"/>
    <row r="424" ht="42.75" customHeight="1" x14ac:dyDescent="0.2"/>
    <row r="425" ht="28.5" customHeight="1" x14ac:dyDescent="0.2"/>
    <row r="426" ht="15.75" customHeight="1" x14ac:dyDescent="0.2"/>
    <row r="427" ht="71.25" customHeight="1" x14ac:dyDescent="0.2"/>
    <row r="428" ht="42.75" customHeight="1" x14ac:dyDescent="0.2"/>
    <row r="429" ht="57" customHeight="1" x14ac:dyDescent="0.2"/>
    <row r="430" ht="28.5" customHeight="1" x14ac:dyDescent="0.2"/>
    <row r="432" ht="71.25" customHeight="1" x14ac:dyDescent="0.2"/>
    <row r="433" ht="42.75" customHeight="1" x14ac:dyDescent="0.2"/>
    <row r="434" ht="71.25" customHeight="1" x14ac:dyDescent="0.2"/>
    <row r="435" ht="57" customHeight="1" x14ac:dyDescent="0.2"/>
    <row r="436" ht="71.25" customHeight="1" x14ac:dyDescent="0.2"/>
    <row r="437" ht="99.75" customHeight="1" x14ac:dyDescent="0.2"/>
    <row r="438" ht="42.75" customHeight="1" x14ac:dyDescent="0.2"/>
    <row r="439" ht="85.5" customHeight="1" x14ac:dyDescent="0.2"/>
    <row r="440" ht="28.5" customHeight="1" x14ac:dyDescent="0.2"/>
    <row r="441" ht="28.5" customHeight="1" x14ac:dyDescent="0.2"/>
    <row r="443" ht="71.25" customHeight="1" x14ac:dyDescent="0.2"/>
    <row r="444" ht="28.5" customHeight="1" x14ac:dyDescent="0.2"/>
    <row r="445" ht="28.5" customHeight="1" x14ac:dyDescent="0.2"/>
    <row r="446" ht="28.5" customHeight="1" x14ac:dyDescent="0.2"/>
    <row r="447" ht="28.5" customHeight="1" x14ac:dyDescent="0.2"/>
    <row r="448" ht="42.75" customHeight="1" x14ac:dyDescent="0.2"/>
    <row r="450" ht="71.25" customHeight="1" x14ac:dyDescent="0.2"/>
    <row r="451" ht="42.75" customHeight="1" x14ac:dyDescent="0.2"/>
    <row r="452" ht="85.5" customHeight="1" x14ac:dyDescent="0.2"/>
    <row r="453" ht="42.75" customHeight="1" x14ac:dyDescent="0.2"/>
    <row r="454" ht="28.5" customHeight="1" x14ac:dyDescent="0.2"/>
    <row r="455" ht="71.25" customHeight="1" x14ac:dyDescent="0.2"/>
    <row r="456" ht="28.5" customHeight="1" x14ac:dyDescent="0.2"/>
    <row r="457" ht="42.75" customHeight="1" x14ac:dyDescent="0.2"/>
    <row r="459" ht="71.25" customHeight="1" x14ac:dyDescent="0.2"/>
    <row r="460" ht="42.75" customHeight="1" x14ac:dyDescent="0.2"/>
    <row r="461" ht="42.75" customHeight="1" x14ac:dyDescent="0.2"/>
    <row r="462" ht="57" customHeight="1" x14ac:dyDescent="0.2"/>
    <row r="463" ht="57" customHeight="1" x14ac:dyDescent="0.2"/>
    <row r="464" ht="85.5" customHeight="1" x14ac:dyDescent="0.2"/>
    <row r="465" ht="28.5" customHeight="1" x14ac:dyDescent="0.2"/>
    <row r="466" ht="42.75" customHeight="1" x14ac:dyDescent="0.2"/>
    <row r="467" ht="42.75" customHeight="1" x14ac:dyDescent="0.2"/>
    <row r="469" ht="71.25" customHeight="1" x14ac:dyDescent="0.2"/>
    <row r="470" ht="42.75" customHeight="1" x14ac:dyDescent="0.2"/>
    <row r="471" ht="57" customHeight="1" x14ac:dyDescent="0.2"/>
    <row r="472" ht="42.75" customHeight="1" x14ac:dyDescent="0.2"/>
    <row r="473" ht="28.5" customHeight="1" x14ac:dyDescent="0.2"/>
    <row r="475" ht="71.25" customHeight="1" x14ac:dyDescent="0.2"/>
    <row r="476" ht="71.25" customHeight="1" x14ac:dyDescent="0.2"/>
    <row r="477" ht="28.5" customHeight="1" x14ac:dyDescent="0.2"/>
    <row r="478" ht="71.25" customHeight="1" x14ac:dyDescent="0.2"/>
    <row r="479" ht="42.75" customHeight="1" x14ac:dyDescent="0.2"/>
    <row r="480" ht="71.25" customHeight="1" x14ac:dyDescent="0.2"/>
    <row r="481" ht="42.75" customHeight="1" x14ac:dyDescent="0.2"/>
    <row r="483" ht="71.25" customHeight="1" x14ac:dyDescent="0.2"/>
    <row r="484" ht="28.5" customHeight="1" x14ac:dyDescent="0.2"/>
    <row r="485" ht="85.5" customHeight="1" x14ac:dyDescent="0.2"/>
    <row r="486" ht="42.75" customHeight="1" x14ac:dyDescent="0.2"/>
    <row r="488" ht="71.25" customHeight="1" x14ac:dyDescent="0.2"/>
    <row r="489" ht="57" customHeight="1" x14ac:dyDescent="0.2"/>
    <row r="490" ht="85.5" customHeight="1" x14ac:dyDescent="0.2"/>
    <row r="491" ht="71.25" customHeight="1" x14ac:dyDescent="0.2"/>
    <row r="492" ht="57" customHeight="1" x14ac:dyDescent="0.2"/>
    <row r="493" ht="57" customHeight="1" x14ac:dyDescent="0.2"/>
    <row r="494" ht="85.5" customHeight="1" x14ac:dyDescent="0.2"/>
    <row r="495" ht="28.5" customHeight="1" x14ac:dyDescent="0.2"/>
    <row r="497" ht="71.25" customHeight="1" x14ac:dyDescent="0.2"/>
    <row r="498" ht="85.5" customHeight="1" x14ac:dyDescent="0.2"/>
    <row r="499" ht="57" customHeight="1" x14ac:dyDescent="0.2"/>
    <row r="500" ht="28.5" customHeight="1" x14ac:dyDescent="0.2"/>
    <row r="501" ht="57" customHeight="1" x14ac:dyDescent="0.2"/>
    <row r="502" ht="99.75" customHeight="1" x14ac:dyDescent="0.2"/>
    <row r="503" ht="42.75" customHeight="1" x14ac:dyDescent="0.2"/>
    <row r="504" ht="99.75" customHeight="1" x14ac:dyDescent="0.2"/>
    <row r="505" ht="42.75" customHeight="1" x14ac:dyDescent="0.2"/>
    <row r="507" ht="71.25" customHeight="1" x14ac:dyDescent="0.2"/>
    <row r="508" ht="57" customHeight="1" x14ac:dyDescent="0.2"/>
    <row r="509" ht="28.5" customHeight="1" x14ac:dyDescent="0.2"/>
    <row r="510" ht="42.75" customHeight="1" x14ac:dyDescent="0.2"/>
    <row r="511" ht="85.5" customHeight="1" x14ac:dyDescent="0.2"/>
    <row r="512" ht="57" customHeight="1" x14ac:dyDescent="0.2"/>
    <row r="513" ht="42.75" customHeight="1" x14ac:dyDescent="0.2"/>
    <row r="514" ht="71.25" customHeight="1" x14ac:dyDescent="0.2"/>
    <row r="515" ht="28.5" customHeight="1" x14ac:dyDescent="0.2"/>
    <row r="516" ht="71.25" customHeight="1" x14ac:dyDescent="0.2"/>
    <row r="517" ht="99.75" customHeight="1" x14ac:dyDescent="0.2"/>
    <row r="518" ht="42.75" customHeight="1" x14ac:dyDescent="0.2"/>
    <row r="520" ht="71.25" customHeight="1" x14ac:dyDescent="0.2"/>
    <row r="521" ht="71.25" customHeight="1" x14ac:dyDescent="0.2"/>
    <row r="522" ht="99.75" customHeight="1" x14ac:dyDescent="0.2"/>
    <row r="523" ht="85.5" customHeight="1" x14ac:dyDescent="0.2"/>
    <row r="524" ht="28.5" customHeight="1" x14ac:dyDescent="0.2"/>
    <row r="525" ht="85.5" customHeight="1" x14ac:dyDescent="0.2"/>
    <row r="526" ht="28.5" customHeight="1" x14ac:dyDescent="0.2"/>
    <row r="527" ht="85.5" customHeight="1" x14ac:dyDescent="0.2"/>
    <row r="528" ht="57" customHeight="1" x14ac:dyDescent="0.2"/>
    <row r="529" ht="42.75" customHeight="1" x14ac:dyDescent="0.2"/>
    <row r="531" ht="57" customHeight="1" x14ac:dyDescent="0.2"/>
    <row r="532" ht="71.25" customHeight="1" x14ac:dyDescent="0.2"/>
    <row r="533" ht="28.5" customHeight="1" x14ac:dyDescent="0.2"/>
    <row r="535" ht="57" customHeight="1" x14ac:dyDescent="0.2"/>
    <row r="536" ht="42.75" customHeight="1" x14ac:dyDescent="0.2"/>
    <row r="537" ht="28.5" customHeight="1" x14ac:dyDescent="0.2"/>
    <row r="539" ht="57" customHeight="1" x14ac:dyDescent="0.2"/>
    <row r="540" ht="71.25" customHeight="1" x14ac:dyDescent="0.2"/>
    <row r="541" ht="57" customHeight="1" x14ac:dyDescent="0.2"/>
    <row r="542" ht="28.5" customHeight="1" x14ac:dyDescent="0.2"/>
    <row r="544" ht="57" customHeight="1" x14ac:dyDescent="0.2"/>
    <row r="545" ht="28.5" customHeight="1" x14ac:dyDescent="0.2"/>
    <row r="546" ht="28.5" customHeight="1" x14ac:dyDescent="0.2"/>
    <row r="548" ht="57" customHeight="1" x14ac:dyDescent="0.2"/>
    <row r="549" ht="42.75" customHeight="1" x14ac:dyDescent="0.2"/>
    <row r="550" ht="57" customHeight="1" x14ac:dyDescent="0.2"/>
    <row r="551" ht="85.5" customHeight="1" x14ac:dyDescent="0.2"/>
    <row r="552" ht="28.5" customHeight="1" x14ac:dyDescent="0.2"/>
    <row r="554" ht="57" customHeight="1" x14ac:dyDescent="0.2"/>
    <row r="555" ht="57" customHeight="1" x14ac:dyDescent="0.2"/>
    <row r="556" ht="28.5" customHeight="1" x14ac:dyDescent="0.2"/>
    <row r="558" ht="71.25" customHeight="1" x14ac:dyDescent="0.2"/>
    <row r="559" ht="28.5" customHeight="1" x14ac:dyDescent="0.2"/>
    <row r="560" ht="85.5" customHeight="1" x14ac:dyDescent="0.2"/>
    <row r="561" ht="57" customHeight="1" x14ac:dyDescent="0.2"/>
    <row r="562" ht="57" customHeight="1" x14ac:dyDescent="0.2"/>
    <row r="563" ht="57" customHeight="1" x14ac:dyDescent="0.2"/>
    <row r="564" ht="185.25" customHeight="1" x14ac:dyDescent="0.2"/>
    <row r="565" ht="42.75" customHeight="1" x14ac:dyDescent="0.2"/>
    <row r="567" ht="71.25" customHeight="1" x14ac:dyDescent="0.2"/>
    <row r="568" ht="42.75" customHeight="1" x14ac:dyDescent="0.2"/>
    <row r="569" ht="71.25" customHeight="1" x14ac:dyDescent="0.2"/>
    <row r="570" ht="99.75" customHeight="1" x14ac:dyDescent="0.2"/>
    <row r="571" ht="28.5" customHeight="1" x14ac:dyDescent="0.2"/>
    <row r="573" ht="71.25" customHeight="1" x14ac:dyDescent="0.2"/>
    <row r="574" ht="42.75" customHeight="1" x14ac:dyDescent="0.2"/>
    <row r="575" ht="42.75" customHeight="1" x14ac:dyDescent="0.2"/>
    <row r="576" ht="71.25" customHeight="1" x14ac:dyDescent="0.2"/>
    <row r="577" ht="28.5" customHeight="1" x14ac:dyDescent="0.2"/>
    <row r="579" ht="71.25" customHeight="1" x14ac:dyDescent="0.2"/>
    <row r="580" ht="71.25" customHeight="1" x14ac:dyDescent="0.2"/>
    <row r="581" ht="42.75" customHeight="1" x14ac:dyDescent="0.2"/>
    <row r="582" ht="71.25" customHeight="1" x14ac:dyDescent="0.2"/>
    <row r="583" ht="28.5" customHeight="1" x14ac:dyDescent="0.2"/>
    <row r="585" ht="71.25" customHeight="1" x14ac:dyDescent="0.2"/>
    <row r="586" ht="57" customHeight="1" x14ac:dyDescent="0.2"/>
    <row r="587" ht="28.5" customHeight="1" x14ac:dyDescent="0.2"/>
    <row r="589" ht="71.25" customHeight="1" x14ac:dyDescent="0.2"/>
    <row r="590" ht="71.25" customHeight="1" x14ac:dyDescent="0.2"/>
    <row r="591" ht="28.5" customHeight="1" x14ac:dyDescent="0.2"/>
    <row r="593" ht="71.25" customHeight="1" x14ac:dyDescent="0.2"/>
    <row r="594" ht="71.25" customHeight="1" x14ac:dyDescent="0.2"/>
    <row r="595" ht="57" customHeight="1" x14ac:dyDescent="0.2"/>
    <row r="596" ht="28.5" customHeight="1" x14ac:dyDescent="0.2"/>
    <row r="598" ht="71.25" customHeight="1" x14ac:dyDescent="0.2"/>
    <row r="599" ht="114" customHeight="1" x14ac:dyDescent="0.2"/>
    <row r="600" ht="28.5" customHeight="1" x14ac:dyDescent="0.2"/>
    <row r="602" ht="71.25" customHeight="1" x14ac:dyDescent="0.2"/>
    <row r="603" ht="71.25" customHeight="1" x14ac:dyDescent="0.2"/>
    <row r="604" ht="28.5" customHeight="1" x14ac:dyDescent="0.2"/>
    <row r="606" ht="71.25" customHeight="1" x14ac:dyDescent="0.2"/>
    <row r="607" ht="42.75" customHeight="1" x14ac:dyDescent="0.2"/>
    <row r="608" ht="71.25" customHeight="1" x14ac:dyDescent="0.2"/>
    <row r="609" ht="28.5" customHeight="1" x14ac:dyDescent="0.2"/>
    <row r="611" ht="71.25" customHeight="1" x14ac:dyDescent="0.2"/>
    <row r="612" ht="99.75" customHeight="1" x14ac:dyDescent="0.2"/>
    <row r="613" ht="85.5" customHeight="1" x14ac:dyDescent="0.2"/>
    <row r="614" ht="28.5" customHeight="1" x14ac:dyDescent="0.2"/>
    <row r="616" ht="71.25" customHeight="1" x14ac:dyDescent="0.2"/>
    <row r="617" ht="114" customHeight="1" x14ac:dyDescent="0.2"/>
    <row r="618" ht="57" customHeight="1" x14ac:dyDescent="0.2"/>
    <row r="619" ht="57" customHeight="1" x14ac:dyDescent="0.2"/>
    <row r="620" ht="28.5" customHeight="1" x14ac:dyDescent="0.2"/>
    <row r="622" ht="71.25" customHeight="1" x14ac:dyDescent="0.2"/>
    <row r="623" ht="85.5" customHeight="1" x14ac:dyDescent="0.2"/>
    <row r="624" ht="142.5" customHeight="1" x14ac:dyDescent="0.2"/>
    <row r="625" ht="28.5" customHeight="1" x14ac:dyDescent="0.2"/>
    <row r="627" ht="71.25" customHeight="1" x14ac:dyDescent="0.2"/>
    <row r="628" ht="42.75" customHeight="1" x14ac:dyDescent="0.2"/>
    <row r="629" ht="85.5" customHeight="1" x14ac:dyDescent="0.2"/>
    <row r="630" ht="42.75" customHeight="1" x14ac:dyDescent="0.2"/>
    <row r="631" ht="57" customHeight="1" x14ac:dyDescent="0.2"/>
    <row r="632" ht="28.5" customHeight="1" x14ac:dyDescent="0.2"/>
    <row r="634" ht="71.25" customHeight="1" x14ac:dyDescent="0.2"/>
    <row r="635" ht="57" customHeight="1" x14ac:dyDescent="0.2"/>
    <row r="636" ht="142.5" customHeight="1" x14ac:dyDescent="0.2"/>
    <row r="637" ht="28.5" customHeight="1" x14ac:dyDescent="0.2"/>
    <row r="639" ht="71.25" customHeight="1" x14ac:dyDescent="0.2"/>
    <row r="640" ht="99.75" customHeight="1" x14ac:dyDescent="0.2"/>
    <row r="641" ht="28.5" customHeight="1" x14ac:dyDescent="0.2"/>
    <row r="642" ht="142.5" customHeight="1" x14ac:dyDescent="0.2"/>
    <row r="643" ht="28.5" customHeight="1" x14ac:dyDescent="0.2"/>
    <row r="645" ht="71.25" customHeight="1" x14ac:dyDescent="0.2"/>
    <row r="646" ht="28.5" customHeight="1" x14ac:dyDescent="0.2"/>
    <row r="647" ht="99.75" customHeight="1" x14ac:dyDescent="0.2"/>
    <row r="648" ht="28.5" customHeight="1" x14ac:dyDescent="0.2"/>
    <row r="650" ht="71.25" customHeight="1" x14ac:dyDescent="0.2"/>
    <row r="651" ht="99.75" customHeight="1" x14ac:dyDescent="0.2"/>
    <row r="652" ht="57" customHeight="1" x14ac:dyDescent="0.2"/>
    <row r="653" ht="28.5" customHeight="1" x14ac:dyDescent="0.2"/>
    <row r="655" ht="71.25" customHeight="1" x14ac:dyDescent="0.2"/>
    <row r="656" ht="57" customHeight="1" x14ac:dyDescent="0.2"/>
    <row r="657" ht="28.5" customHeight="1" x14ac:dyDescent="0.2"/>
    <row r="659" ht="71.25" customHeight="1" x14ac:dyDescent="0.2"/>
    <row r="660" ht="128.25" customHeight="1" x14ac:dyDescent="0.2"/>
    <row r="661" ht="128.25" customHeight="1" x14ac:dyDescent="0.2"/>
    <row r="662" ht="99.75" customHeight="1" x14ac:dyDescent="0.2"/>
    <row r="663" ht="128.25" customHeight="1" x14ac:dyDescent="0.2"/>
    <row r="664" ht="28.5" customHeight="1" x14ac:dyDescent="0.2"/>
    <row r="666" ht="71.25" customHeight="1" x14ac:dyDescent="0.2"/>
    <row r="667" ht="28.5" customHeight="1" x14ac:dyDescent="0.2"/>
    <row r="668" ht="71.25" customHeight="1" x14ac:dyDescent="0.2"/>
    <row r="669" ht="57" customHeight="1" x14ac:dyDescent="0.2"/>
    <row r="670" ht="57" customHeight="1" x14ac:dyDescent="0.2"/>
    <row r="671" ht="114" customHeight="1" x14ac:dyDescent="0.2"/>
    <row r="672" ht="28.5" customHeight="1" x14ac:dyDescent="0.2"/>
    <row r="674" ht="71.25" customHeight="1" x14ac:dyDescent="0.2"/>
    <row r="675" ht="171" customHeight="1" x14ac:dyDescent="0.2"/>
    <row r="676" ht="28.5" customHeight="1" x14ac:dyDescent="0.2"/>
    <row r="678" ht="71.25" customHeight="1" x14ac:dyDescent="0.2"/>
    <row r="679" ht="199.5" customHeight="1" x14ac:dyDescent="0.2"/>
    <row r="680" ht="71.25" customHeight="1" x14ac:dyDescent="0.2"/>
    <row r="681" ht="57" customHeight="1" x14ac:dyDescent="0.2"/>
    <row r="682" ht="228" customHeight="1" x14ac:dyDescent="0.2"/>
    <row r="683" ht="71.25" customHeight="1" x14ac:dyDescent="0.2"/>
    <row r="684" ht="57" customHeight="1" x14ac:dyDescent="0.2"/>
    <row r="685" ht="71.25" customHeight="1" x14ac:dyDescent="0.2"/>
    <row r="686" ht="42.75" customHeight="1" x14ac:dyDescent="0.2"/>
    <row r="688" ht="71.25" customHeight="1" x14ac:dyDescent="0.2"/>
    <row r="689" ht="213.75" customHeight="1" x14ac:dyDescent="0.2"/>
    <row r="690" ht="28.5" customHeight="1" x14ac:dyDescent="0.2"/>
    <row r="692" ht="71.25" customHeight="1" x14ac:dyDescent="0.2"/>
    <row r="693" ht="42.75" customHeight="1" x14ac:dyDescent="0.2"/>
    <row r="694" ht="99.75" customHeight="1" x14ac:dyDescent="0.2"/>
    <row r="695" ht="71.25" customHeight="1" x14ac:dyDescent="0.2"/>
    <row r="696" ht="99.75" customHeight="1" x14ac:dyDescent="0.2"/>
    <row r="697" ht="28.5" customHeight="1" x14ac:dyDescent="0.2"/>
    <row r="699" ht="71.25" customHeight="1" x14ac:dyDescent="0.2"/>
    <row r="700" ht="85.5" customHeight="1" x14ac:dyDescent="0.2"/>
    <row r="701" ht="28.5" customHeight="1" x14ac:dyDescent="0.2"/>
  </sheetData>
  <mergeCells count="20">
    <mergeCell ref="C102:C105"/>
    <mergeCell ref="C69:C72"/>
    <mergeCell ref="C2:C7"/>
    <mergeCell ref="C106:C113"/>
    <mergeCell ref="C8:C13"/>
    <mergeCell ref="C14:C20"/>
    <mergeCell ref="C21:C26"/>
    <mergeCell ref="C27:C32"/>
    <mergeCell ref="C33:C38"/>
    <mergeCell ref="C39:C43"/>
    <mergeCell ref="C44:C47"/>
    <mergeCell ref="C48:C52"/>
    <mergeCell ref="C53:C59"/>
    <mergeCell ref="C60:C63"/>
    <mergeCell ref="C64:C68"/>
    <mergeCell ref="C73:C77"/>
    <mergeCell ref="C78:C82"/>
    <mergeCell ref="C83:C86"/>
    <mergeCell ref="C87:C94"/>
    <mergeCell ref="C95:C101"/>
  </mergeCells>
  <hyperlinks>
    <hyperlink ref="A4" r:id="rId1" display="https://www.energynet.com/property_information.pl?lot=53086" xr:uid="{00000000-0004-0000-0200-000000000000}"/>
    <hyperlink ref="A10" r:id="rId2" display="https://www.energynet.com/property_information.pl?lot=53087" xr:uid="{00000000-0004-0000-0200-000001000000}"/>
    <hyperlink ref="A16" r:id="rId3" display="https://www.energynet.com/property_information.pl?lot=53088" xr:uid="{00000000-0004-0000-0200-000002000000}"/>
    <hyperlink ref="A23" r:id="rId4" display="https://www.energynet.com/property_information.pl?lot=53089" xr:uid="{00000000-0004-0000-0200-000003000000}"/>
    <hyperlink ref="A29" r:id="rId5" display="https://www.energynet.com/property_information.pl?lot=53090" xr:uid="{00000000-0004-0000-0200-000004000000}"/>
    <hyperlink ref="A35" r:id="rId6" display="https://www.energynet.com/property_information.pl?lot=53091" xr:uid="{00000000-0004-0000-0200-000005000000}"/>
    <hyperlink ref="A41" r:id="rId7" display="https://www.energynet.com/property_information.pl?lot=53101" xr:uid="{00000000-0004-0000-0200-000006000000}"/>
    <hyperlink ref="A46" r:id="rId8" display="https://www.energynet.com/property_information.pl?lot=53102" xr:uid="{00000000-0004-0000-0200-000007000000}"/>
    <hyperlink ref="A50" r:id="rId9" display="https://www.energynet.com/property_information.pl?lot=53106" xr:uid="{00000000-0004-0000-0200-000008000000}"/>
    <hyperlink ref="A55" r:id="rId10" display="https://www.energynet.com/property_information.pl?lot=53120" xr:uid="{00000000-0004-0000-0200-000009000000}"/>
    <hyperlink ref="A62" r:id="rId11" display="https://www.energynet.com/property_information.pl?lot=53121" xr:uid="{00000000-0004-0000-0200-00000A000000}"/>
    <hyperlink ref="A66" r:id="rId12" display="https://www.energynet.com/property_information.pl?lot=53122" xr:uid="{00000000-0004-0000-0200-00000B000000}"/>
    <hyperlink ref="A71" r:id="rId13" display="https://www.energynet.com/property_information.pl?lot=53123" xr:uid="{00000000-0004-0000-0200-00000C000000}"/>
    <hyperlink ref="A75" r:id="rId14" display="https://www.energynet.com/property_information.pl?lot=53124" xr:uid="{00000000-0004-0000-0200-00000D000000}"/>
    <hyperlink ref="A80" r:id="rId15" display="https://www.energynet.com/property_information.pl?lot=53125" xr:uid="{00000000-0004-0000-0200-00000E000000}"/>
    <hyperlink ref="A85" r:id="rId16" display="https://www.energynet.com/property_information.pl?lot=53126" xr:uid="{00000000-0004-0000-0200-00000F000000}"/>
    <hyperlink ref="A89" r:id="rId17" display="https://www.energynet.com/property_information.pl?lot=53127" xr:uid="{00000000-0004-0000-0200-000010000000}"/>
    <hyperlink ref="A97" r:id="rId18" display="https://www.energynet.com/property_information.pl?lot=53130" xr:uid="{00000000-0004-0000-0200-000011000000}"/>
    <hyperlink ref="A104" r:id="rId19" display="https://www.energynet.com/property_information.pl?lot=53131" xr:uid="{00000000-0004-0000-0200-000012000000}"/>
    <hyperlink ref="A108" r:id="rId20" display="https://www.energynet.com/property_information.pl?lot=53138" xr:uid="{00000000-0004-0000-0200-000013000000}"/>
  </hyperlinks>
  <pageMargins left="0.7" right="0.7" top="0.75" bottom="0.75" header="0.3" footer="0.3"/>
  <pageSetup orientation="portrait"/>
  <tableParts count="1">
    <tablePart r:id="rId21"/>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I115"/>
  <sheetViews>
    <sheetView workbookViewId="0">
      <pane xSplit="1" ySplit="1" topLeftCell="B2" activePane="bottomRight" state="frozen"/>
      <selection pane="topRight" activeCell="F1" sqref="F1"/>
      <selection pane="bottomLeft" activeCell="A2" sqref="A2"/>
      <selection pane="bottomRight" activeCell="I113" sqref="I113"/>
    </sheetView>
  </sheetViews>
  <sheetFormatPr baseColWidth="10" defaultColWidth="8.83203125" defaultRowHeight="15" x14ac:dyDescent="0.2"/>
  <cols>
    <col min="1" max="1" width="18.5" style="187" customWidth="1"/>
    <col min="2" max="2" width="16.1640625" style="187" bestFit="1" customWidth="1"/>
    <col min="3" max="3" width="19.33203125" style="186" customWidth="1"/>
    <col min="4" max="4" width="42.6640625" style="186" customWidth="1"/>
    <col min="5" max="5" width="16.5" style="187" customWidth="1"/>
    <col min="6" max="6" width="8.83203125" style="186" customWidth="1"/>
    <col min="7" max="8" width="9.5" style="186" bestFit="1" customWidth="1"/>
    <col min="9" max="9" width="11.5" style="186" bestFit="1" customWidth="1"/>
    <col min="10" max="10" width="8.83203125" style="186" customWidth="1"/>
    <col min="11" max="16384" width="8.83203125" style="186"/>
  </cols>
  <sheetData>
    <row r="1" spans="1:9" s="191" customFormat="1" ht="30" customHeight="1" x14ac:dyDescent="0.2">
      <c r="A1" s="192"/>
      <c r="B1" s="192"/>
      <c r="C1" s="192"/>
      <c r="D1" s="192"/>
      <c r="E1" s="192"/>
    </row>
    <row r="2" spans="1:9" s="188" customFormat="1" x14ac:dyDescent="0.2">
      <c r="A2" s="190"/>
      <c r="B2" s="189"/>
      <c r="C2" s="214"/>
      <c r="D2" s="214"/>
      <c r="E2" s="220"/>
      <c r="G2" s="221"/>
      <c r="H2" s="221"/>
      <c r="I2" s="221"/>
    </row>
    <row r="3" spans="1:9" s="188" customFormat="1" x14ac:dyDescent="0.2">
      <c r="A3" s="190"/>
      <c r="B3" s="189"/>
      <c r="C3" s="214"/>
      <c r="D3" s="214"/>
      <c r="E3" s="220"/>
    </row>
    <row r="4" spans="1:9" s="188" customFormat="1" x14ac:dyDescent="0.2">
      <c r="A4" s="190"/>
      <c r="B4" s="189"/>
      <c r="C4" s="214"/>
      <c r="D4" s="214"/>
      <c r="E4" s="220"/>
    </row>
    <row r="5" spans="1:9" s="188" customFormat="1" x14ac:dyDescent="0.2">
      <c r="A5" s="190"/>
      <c r="B5" s="189"/>
      <c r="C5" s="214"/>
      <c r="D5" s="214"/>
      <c r="E5" s="220"/>
    </row>
    <row r="6" spans="1:9" s="188" customFormat="1" x14ac:dyDescent="0.2">
      <c r="A6" s="190"/>
      <c r="B6" s="189"/>
      <c r="C6" s="214"/>
      <c r="D6" s="214"/>
      <c r="E6" s="220"/>
    </row>
    <row r="7" spans="1:9" s="188" customFormat="1" x14ac:dyDescent="0.2">
      <c r="A7" s="190"/>
      <c r="B7" s="189"/>
      <c r="C7" s="214"/>
      <c r="D7" s="214"/>
      <c r="E7" s="220"/>
    </row>
    <row r="8" spans="1:9" s="188" customFormat="1" x14ac:dyDescent="0.2">
      <c r="A8" s="190"/>
      <c r="B8" s="189"/>
      <c r="C8" s="214"/>
      <c r="D8" s="214"/>
      <c r="E8" s="220"/>
    </row>
    <row r="9" spans="1:9" s="188" customFormat="1" x14ac:dyDescent="0.2">
      <c r="A9" s="190"/>
      <c r="B9" s="189"/>
      <c r="C9" s="214"/>
      <c r="D9" s="214"/>
      <c r="E9" s="220"/>
    </row>
    <row r="10" spans="1:9" s="188" customFormat="1" x14ac:dyDescent="0.2">
      <c r="A10" s="190"/>
      <c r="B10" s="189"/>
      <c r="C10" s="214"/>
      <c r="D10" s="214"/>
      <c r="E10" s="220"/>
    </row>
    <row r="11" spans="1:9" s="188" customFormat="1" x14ac:dyDescent="0.2">
      <c r="A11" s="190"/>
      <c r="B11" s="189"/>
      <c r="C11" s="214"/>
      <c r="D11" s="214"/>
      <c r="E11" s="220"/>
    </row>
    <row r="12" spans="1:9" s="188" customFormat="1" x14ac:dyDescent="0.2">
      <c r="A12" s="190"/>
      <c r="B12" s="189"/>
      <c r="C12" s="214"/>
      <c r="D12" s="214"/>
      <c r="E12" s="220"/>
    </row>
    <row r="13" spans="1:9" s="188" customFormat="1" x14ac:dyDescent="0.2">
      <c r="A13" s="190"/>
      <c r="B13" s="189"/>
      <c r="C13" s="214"/>
      <c r="D13" s="214"/>
      <c r="E13" s="220"/>
    </row>
    <row r="14" spans="1:9" s="188" customFormat="1" x14ac:dyDescent="0.2">
      <c r="A14" s="190"/>
      <c r="B14" s="189"/>
      <c r="C14" s="214"/>
      <c r="D14" s="214"/>
      <c r="E14" s="220"/>
    </row>
    <row r="15" spans="1:9" s="188" customFormat="1" x14ac:dyDescent="0.2">
      <c r="A15" s="190"/>
      <c r="B15" s="189"/>
      <c r="C15" s="214"/>
      <c r="D15" s="214"/>
      <c r="E15" s="220"/>
    </row>
    <row r="16" spans="1:9" s="188" customFormat="1" x14ac:dyDescent="0.2">
      <c r="A16" s="190"/>
      <c r="B16" s="189"/>
      <c r="C16" s="214"/>
      <c r="D16" s="214"/>
      <c r="E16" s="220"/>
    </row>
    <row r="17" spans="1:5" s="188" customFormat="1" x14ac:dyDescent="0.2">
      <c r="A17" s="190"/>
      <c r="B17" s="189"/>
      <c r="C17" s="214"/>
      <c r="D17" s="214"/>
      <c r="E17" s="220"/>
    </row>
    <row r="18" spans="1:5" s="188" customFormat="1" x14ac:dyDescent="0.2">
      <c r="A18" s="190"/>
      <c r="B18" s="189"/>
      <c r="C18" s="214"/>
      <c r="D18" s="214"/>
      <c r="E18" s="220"/>
    </row>
    <row r="19" spans="1:5" s="188" customFormat="1" x14ac:dyDescent="0.2">
      <c r="A19" s="190"/>
      <c r="B19" s="189"/>
      <c r="C19" s="214"/>
      <c r="D19" s="214"/>
      <c r="E19" s="220"/>
    </row>
    <row r="20" spans="1:5" s="188" customFormat="1" x14ac:dyDescent="0.2">
      <c r="A20" s="190"/>
      <c r="B20" s="189"/>
      <c r="C20" s="214"/>
      <c r="D20" s="214"/>
      <c r="E20" s="220"/>
    </row>
    <row r="21" spans="1:5" s="188" customFormat="1" x14ac:dyDescent="0.2">
      <c r="A21" s="190"/>
      <c r="B21" s="189"/>
      <c r="C21" s="214"/>
      <c r="D21" s="214"/>
      <c r="E21" s="220"/>
    </row>
    <row r="22" spans="1:5" s="188" customFormat="1" x14ac:dyDescent="0.2">
      <c r="A22" s="190"/>
      <c r="B22" s="189"/>
      <c r="C22" s="214"/>
      <c r="D22" s="214"/>
      <c r="E22" s="220"/>
    </row>
    <row r="23" spans="1:5" s="188" customFormat="1" x14ac:dyDescent="0.2">
      <c r="A23" s="190"/>
      <c r="B23" s="189"/>
      <c r="C23" s="214"/>
      <c r="D23" s="214"/>
      <c r="E23" s="220"/>
    </row>
    <row r="24" spans="1:5" s="188" customFormat="1" x14ac:dyDescent="0.2">
      <c r="A24" s="190"/>
      <c r="B24" s="189"/>
      <c r="C24" s="214"/>
      <c r="D24" s="214"/>
      <c r="E24" s="220"/>
    </row>
    <row r="25" spans="1:5" s="188" customFormat="1" x14ac:dyDescent="0.2">
      <c r="A25" s="190"/>
      <c r="B25" s="189"/>
      <c r="C25" s="214"/>
      <c r="D25" s="214"/>
      <c r="E25" s="220"/>
    </row>
    <row r="26" spans="1:5" s="188" customFormat="1" x14ac:dyDescent="0.2">
      <c r="A26" s="190"/>
      <c r="B26" s="189"/>
      <c r="C26" s="214"/>
      <c r="D26" s="214"/>
      <c r="E26" s="220"/>
    </row>
    <row r="27" spans="1:5" s="188" customFormat="1" x14ac:dyDescent="0.2">
      <c r="A27" s="190"/>
      <c r="B27" s="189"/>
      <c r="C27" s="214"/>
      <c r="D27" s="214"/>
      <c r="E27" s="220"/>
    </row>
    <row r="28" spans="1:5" s="188" customFormat="1" x14ac:dyDescent="0.2">
      <c r="A28" s="190"/>
      <c r="B28" s="189"/>
      <c r="C28" s="214"/>
      <c r="D28" s="214"/>
      <c r="E28" s="220"/>
    </row>
    <row r="29" spans="1:5" s="188" customFormat="1" x14ac:dyDescent="0.2">
      <c r="A29" s="190"/>
      <c r="B29" s="189"/>
      <c r="C29" s="214"/>
      <c r="D29" s="214"/>
      <c r="E29" s="220"/>
    </row>
    <row r="30" spans="1:5" s="188" customFormat="1" x14ac:dyDescent="0.2">
      <c r="A30" s="190"/>
      <c r="B30" s="189"/>
      <c r="C30" s="214"/>
      <c r="D30" s="214"/>
      <c r="E30" s="220"/>
    </row>
    <row r="31" spans="1:5" s="188" customFormat="1" x14ac:dyDescent="0.2">
      <c r="A31" s="190"/>
      <c r="B31" s="189"/>
      <c r="C31" s="214"/>
      <c r="D31" s="214"/>
      <c r="E31" s="220"/>
    </row>
    <row r="32" spans="1:5" s="188" customFormat="1" x14ac:dyDescent="0.2">
      <c r="A32" s="190"/>
      <c r="B32" s="189"/>
      <c r="C32" s="214"/>
      <c r="D32" s="214"/>
      <c r="E32" s="220"/>
    </row>
    <row r="33" spans="1:5" s="188" customFormat="1" x14ac:dyDescent="0.2">
      <c r="A33" s="190"/>
      <c r="B33" s="189"/>
      <c r="C33" s="214"/>
      <c r="D33" s="214"/>
      <c r="E33" s="220"/>
    </row>
    <row r="34" spans="1:5" s="188" customFormat="1" x14ac:dyDescent="0.2">
      <c r="A34" s="190"/>
      <c r="B34" s="189"/>
      <c r="C34" s="214"/>
      <c r="D34" s="214"/>
      <c r="E34" s="220"/>
    </row>
    <row r="35" spans="1:5" s="188" customFormat="1" x14ac:dyDescent="0.2">
      <c r="A35" s="190"/>
      <c r="B35" s="189"/>
      <c r="C35" s="214"/>
      <c r="D35" s="214"/>
      <c r="E35" s="220"/>
    </row>
    <row r="36" spans="1:5" s="188" customFormat="1" x14ac:dyDescent="0.2">
      <c r="A36" s="190"/>
      <c r="B36" s="189"/>
      <c r="C36" s="214"/>
      <c r="D36" s="214"/>
      <c r="E36" s="220"/>
    </row>
    <row r="37" spans="1:5" s="188" customFormat="1" x14ac:dyDescent="0.2">
      <c r="A37" s="190"/>
      <c r="B37" s="189"/>
      <c r="C37" s="214"/>
      <c r="D37" s="214"/>
      <c r="E37" s="220"/>
    </row>
    <row r="38" spans="1:5" s="188" customFormat="1" x14ac:dyDescent="0.2">
      <c r="A38" s="190"/>
      <c r="B38" s="189"/>
      <c r="C38" s="214"/>
      <c r="D38" s="214"/>
      <c r="E38" s="220"/>
    </row>
    <row r="39" spans="1:5" s="188" customFormat="1" x14ac:dyDescent="0.2">
      <c r="A39" s="190"/>
      <c r="B39" s="189"/>
      <c r="C39" s="214"/>
      <c r="D39" s="214"/>
      <c r="E39" s="220"/>
    </row>
    <row r="40" spans="1:5" s="188" customFormat="1" x14ac:dyDescent="0.2">
      <c r="A40" s="190"/>
      <c r="B40" s="189"/>
      <c r="C40" s="214"/>
      <c r="D40" s="214"/>
      <c r="E40" s="220"/>
    </row>
    <row r="41" spans="1:5" s="188" customFormat="1" x14ac:dyDescent="0.2">
      <c r="A41" s="190"/>
      <c r="B41" s="189"/>
      <c r="C41" s="214"/>
      <c r="D41" s="214"/>
      <c r="E41" s="220"/>
    </row>
    <row r="42" spans="1:5" s="188" customFormat="1" x14ac:dyDescent="0.2">
      <c r="A42" s="190"/>
      <c r="B42" s="189"/>
      <c r="C42" s="214"/>
      <c r="D42" s="214"/>
      <c r="E42" s="220"/>
    </row>
    <row r="43" spans="1:5" s="188" customFormat="1" x14ac:dyDescent="0.2">
      <c r="A43" s="190"/>
      <c r="B43" s="189"/>
      <c r="C43" s="214"/>
      <c r="D43" s="214"/>
      <c r="E43" s="220"/>
    </row>
    <row r="44" spans="1:5" s="188" customFormat="1" x14ac:dyDescent="0.2">
      <c r="A44" s="190"/>
      <c r="B44" s="189"/>
      <c r="C44" s="214"/>
      <c r="D44" s="214"/>
      <c r="E44" s="220"/>
    </row>
    <row r="45" spans="1:5" s="188" customFormat="1" x14ac:dyDescent="0.2">
      <c r="A45" s="190"/>
      <c r="B45" s="189"/>
      <c r="C45" s="214"/>
      <c r="D45" s="214"/>
      <c r="E45" s="220"/>
    </row>
    <row r="46" spans="1:5" s="188" customFormat="1" x14ac:dyDescent="0.2">
      <c r="A46" s="190"/>
      <c r="B46" s="189"/>
      <c r="C46" s="214"/>
      <c r="D46" s="214"/>
      <c r="E46" s="220"/>
    </row>
    <row r="47" spans="1:5" s="188" customFormat="1" x14ac:dyDescent="0.2">
      <c r="A47" s="190"/>
      <c r="B47" s="189"/>
      <c r="C47" s="214"/>
      <c r="D47" s="214"/>
      <c r="E47" s="220"/>
    </row>
    <row r="48" spans="1:5" s="188" customFormat="1" x14ac:dyDescent="0.2">
      <c r="A48" s="190"/>
      <c r="B48" s="189"/>
      <c r="C48" s="214"/>
      <c r="D48" s="214"/>
      <c r="E48" s="220"/>
    </row>
    <row r="49" spans="1:5" s="188" customFormat="1" x14ac:dyDescent="0.2">
      <c r="A49" s="190"/>
      <c r="B49" s="189"/>
      <c r="C49" s="214"/>
      <c r="D49" s="214"/>
      <c r="E49" s="220"/>
    </row>
    <row r="50" spans="1:5" s="188" customFormat="1" x14ac:dyDescent="0.2">
      <c r="A50" s="190"/>
      <c r="B50" s="189"/>
      <c r="C50" s="214"/>
      <c r="D50" s="214"/>
      <c r="E50" s="220"/>
    </row>
    <row r="51" spans="1:5" s="188" customFormat="1" x14ac:dyDescent="0.2">
      <c r="A51" s="190"/>
      <c r="B51" s="189"/>
      <c r="C51" s="214"/>
      <c r="D51" s="214"/>
      <c r="E51" s="220"/>
    </row>
    <row r="52" spans="1:5" s="188" customFormat="1" x14ac:dyDescent="0.2">
      <c r="A52" s="190"/>
      <c r="B52" s="189"/>
      <c r="C52" s="214"/>
      <c r="D52" s="214"/>
      <c r="E52" s="220"/>
    </row>
    <row r="53" spans="1:5" s="188" customFormat="1" x14ac:dyDescent="0.2">
      <c r="A53" s="190"/>
      <c r="B53" s="189"/>
      <c r="C53" s="214"/>
      <c r="D53" s="214"/>
      <c r="E53" s="220"/>
    </row>
    <row r="54" spans="1:5" s="188" customFormat="1" x14ac:dyDescent="0.2">
      <c r="A54" s="190"/>
      <c r="B54" s="189"/>
      <c r="C54" s="214"/>
      <c r="D54" s="214"/>
      <c r="E54" s="220"/>
    </row>
    <row r="55" spans="1:5" s="188" customFormat="1" x14ac:dyDescent="0.2">
      <c r="A55" s="190"/>
      <c r="B55" s="189"/>
      <c r="C55" s="214"/>
      <c r="D55" s="214"/>
      <c r="E55" s="220"/>
    </row>
    <row r="56" spans="1:5" s="188" customFormat="1" x14ac:dyDescent="0.2">
      <c r="A56" s="190"/>
      <c r="B56" s="189"/>
      <c r="C56" s="214"/>
      <c r="D56" s="214"/>
      <c r="E56" s="220"/>
    </row>
    <row r="57" spans="1:5" s="188" customFormat="1" x14ac:dyDescent="0.2">
      <c r="A57" s="190"/>
      <c r="B57" s="189"/>
      <c r="C57" s="214"/>
      <c r="D57" s="214"/>
      <c r="E57" s="220"/>
    </row>
    <row r="58" spans="1:5" s="188" customFormat="1" x14ac:dyDescent="0.2">
      <c r="A58" s="190"/>
      <c r="B58" s="189"/>
      <c r="C58" s="214"/>
      <c r="D58" s="214"/>
      <c r="E58" s="220"/>
    </row>
    <row r="59" spans="1:5" s="188" customFormat="1" x14ac:dyDescent="0.2">
      <c r="A59" s="190"/>
      <c r="B59" s="189"/>
      <c r="C59" s="214"/>
      <c r="D59" s="214"/>
      <c r="E59" s="220"/>
    </row>
    <row r="60" spans="1:5" s="188" customFormat="1" x14ac:dyDescent="0.2">
      <c r="A60" s="190"/>
      <c r="B60" s="189"/>
      <c r="C60" s="214"/>
      <c r="D60" s="214"/>
      <c r="E60" s="220"/>
    </row>
    <row r="61" spans="1:5" s="188" customFormat="1" x14ac:dyDescent="0.2">
      <c r="A61" s="190"/>
      <c r="B61" s="189"/>
      <c r="C61" s="214"/>
      <c r="D61" s="214"/>
      <c r="E61" s="220"/>
    </row>
    <row r="62" spans="1:5" s="188" customFormat="1" x14ac:dyDescent="0.2">
      <c r="A62" s="190"/>
      <c r="B62" s="189"/>
      <c r="C62" s="214"/>
      <c r="D62" s="214"/>
      <c r="E62" s="220"/>
    </row>
    <row r="63" spans="1:5" s="188" customFormat="1" x14ac:dyDescent="0.2">
      <c r="A63" s="190"/>
      <c r="B63" s="189"/>
      <c r="C63" s="214"/>
      <c r="D63" s="214"/>
      <c r="E63" s="220"/>
    </row>
    <row r="64" spans="1:5" s="188" customFormat="1" x14ac:dyDescent="0.2">
      <c r="A64" s="190"/>
      <c r="B64" s="189"/>
      <c r="C64" s="214"/>
      <c r="D64" s="214"/>
      <c r="E64" s="220"/>
    </row>
    <row r="65" spans="1:5" s="188" customFormat="1" x14ac:dyDescent="0.2">
      <c r="A65" s="190"/>
      <c r="B65" s="189"/>
      <c r="C65" s="214"/>
      <c r="D65" s="214"/>
      <c r="E65" s="220"/>
    </row>
    <row r="66" spans="1:5" s="188" customFormat="1" x14ac:dyDescent="0.2">
      <c r="A66" s="190"/>
      <c r="B66" s="189"/>
      <c r="C66" s="214"/>
      <c r="D66" s="214"/>
      <c r="E66" s="220"/>
    </row>
    <row r="67" spans="1:5" s="188" customFormat="1" x14ac:dyDescent="0.2">
      <c r="A67" s="190"/>
      <c r="B67" s="189"/>
      <c r="C67" s="214"/>
      <c r="D67" s="214"/>
      <c r="E67" s="220"/>
    </row>
    <row r="68" spans="1:5" s="188" customFormat="1" x14ac:dyDescent="0.2">
      <c r="A68" s="190"/>
      <c r="B68" s="189"/>
      <c r="C68" s="214"/>
      <c r="D68" s="214"/>
      <c r="E68" s="220"/>
    </row>
    <row r="69" spans="1:5" s="188" customFormat="1" x14ac:dyDescent="0.2">
      <c r="A69" s="190"/>
      <c r="B69" s="189"/>
      <c r="C69" s="214"/>
      <c r="D69" s="214"/>
      <c r="E69" s="220"/>
    </row>
    <row r="70" spans="1:5" s="188" customFormat="1" x14ac:dyDescent="0.2">
      <c r="A70" s="190"/>
      <c r="B70" s="189"/>
      <c r="C70" s="214"/>
      <c r="D70" s="214"/>
      <c r="E70" s="220"/>
    </row>
    <row r="71" spans="1:5" s="188" customFormat="1" x14ac:dyDescent="0.2">
      <c r="A71" s="190"/>
      <c r="B71" s="189"/>
      <c r="C71" s="214"/>
      <c r="D71" s="214"/>
      <c r="E71" s="220"/>
    </row>
    <row r="72" spans="1:5" s="188" customFormat="1" x14ac:dyDescent="0.2">
      <c r="A72" s="190"/>
      <c r="B72" s="189"/>
      <c r="C72" s="214"/>
      <c r="D72" s="214"/>
      <c r="E72" s="220"/>
    </row>
    <row r="73" spans="1:5" s="188" customFormat="1" x14ac:dyDescent="0.2">
      <c r="A73" s="190"/>
      <c r="B73" s="189"/>
      <c r="C73" s="214"/>
      <c r="D73" s="214"/>
      <c r="E73" s="220"/>
    </row>
    <row r="74" spans="1:5" s="188" customFormat="1" x14ac:dyDescent="0.2">
      <c r="A74" s="190"/>
      <c r="B74" s="189"/>
      <c r="C74" s="214"/>
      <c r="D74" s="214"/>
      <c r="E74" s="220"/>
    </row>
    <row r="75" spans="1:5" s="188" customFormat="1" x14ac:dyDescent="0.2">
      <c r="A75" s="190"/>
      <c r="B75" s="189"/>
      <c r="C75" s="214"/>
      <c r="D75" s="214"/>
      <c r="E75" s="220"/>
    </row>
    <row r="76" spans="1:5" s="188" customFormat="1" x14ac:dyDescent="0.2">
      <c r="A76" s="190"/>
      <c r="B76" s="189"/>
      <c r="C76" s="214"/>
      <c r="D76" s="214"/>
      <c r="E76" s="220"/>
    </row>
    <row r="77" spans="1:5" s="188" customFormat="1" x14ac:dyDescent="0.2">
      <c r="A77" s="190"/>
      <c r="B77" s="189"/>
      <c r="C77" s="214"/>
      <c r="D77" s="214"/>
      <c r="E77" s="220"/>
    </row>
    <row r="78" spans="1:5" s="188" customFormat="1" x14ac:dyDescent="0.2">
      <c r="A78" s="190"/>
      <c r="B78" s="189"/>
      <c r="C78" s="214"/>
      <c r="D78" s="214"/>
      <c r="E78" s="220"/>
    </row>
    <row r="79" spans="1:5" s="188" customFormat="1" x14ac:dyDescent="0.2">
      <c r="A79" s="190"/>
      <c r="B79" s="189"/>
      <c r="C79" s="214"/>
      <c r="D79" s="214"/>
      <c r="E79" s="220"/>
    </row>
    <row r="80" spans="1:5" s="188" customFormat="1" x14ac:dyDescent="0.2">
      <c r="A80" s="190"/>
      <c r="B80" s="189"/>
      <c r="C80" s="214"/>
      <c r="D80" s="214"/>
      <c r="E80" s="220"/>
    </row>
    <row r="81" spans="1:5" s="188" customFormat="1" x14ac:dyDescent="0.2">
      <c r="A81" s="190"/>
      <c r="B81" s="189"/>
      <c r="C81" s="214"/>
      <c r="D81" s="214"/>
      <c r="E81" s="220"/>
    </row>
    <row r="82" spans="1:5" s="188" customFormat="1" x14ac:dyDescent="0.2">
      <c r="A82" s="190"/>
      <c r="B82" s="189"/>
      <c r="C82" s="214"/>
      <c r="D82" s="214"/>
      <c r="E82" s="220"/>
    </row>
    <row r="83" spans="1:5" s="188" customFormat="1" x14ac:dyDescent="0.2">
      <c r="A83" s="190"/>
      <c r="B83" s="189"/>
      <c r="C83" s="214"/>
      <c r="D83" s="214"/>
      <c r="E83" s="220"/>
    </row>
    <row r="84" spans="1:5" s="188" customFormat="1" x14ac:dyDescent="0.2">
      <c r="A84" s="190"/>
      <c r="B84" s="189"/>
      <c r="C84" s="214"/>
      <c r="D84" s="214"/>
      <c r="E84" s="220"/>
    </row>
    <row r="85" spans="1:5" s="188" customFormat="1" x14ac:dyDescent="0.2">
      <c r="A85" s="190"/>
      <c r="B85" s="189"/>
      <c r="C85" s="214"/>
      <c r="D85" s="214"/>
      <c r="E85" s="220"/>
    </row>
    <row r="86" spans="1:5" s="188" customFormat="1" x14ac:dyDescent="0.2">
      <c r="A86" s="190"/>
      <c r="B86" s="189"/>
      <c r="C86" s="214"/>
      <c r="D86" s="214"/>
      <c r="E86" s="220"/>
    </row>
    <row r="87" spans="1:5" s="188" customFormat="1" x14ac:dyDescent="0.2">
      <c r="A87" s="190"/>
      <c r="B87" s="189"/>
      <c r="C87" s="214"/>
      <c r="D87" s="214"/>
      <c r="E87" s="220"/>
    </row>
    <row r="88" spans="1:5" s="188" customFormat="1" x14ac:dyDescent="0.2">
      <c r="A88" s="190"/>
      <c r="B88" s="189"/>
      <c r="C88" s="214"/>
      <c r="D88" s="214"/>
      <c r="E88" s="220"/>
    </row>
    <row r="89" spans="1:5" s="188" customFormat="1" x14ac:dyDescent="0.2">
      <c r="A89" s="190"/>
      <c r="B89" s="189"/>
      <c r="C89" s="214"/>
      <c r="D89" s="214"/>
      <c r="E89" s="220"/>
    </row>
    <row r="90" spans="1:5" s="188" customFormat="1" x14ac:dyDescent="0.2">
      <c r="A90" s="190"/>
      <c r="B90" s="189"/>
      <c r="C90" s="214"/>
      <c r="D90" s="214"/>
      <c r="E90" s="220"/>
    </row>
    <row r="91" spans="1:5" s="188" customFormat="1" x14ac:dyDescent="0.2">
      <c r="A91" s="190"/>
      <c r="B91" s="189"/>
      <c r="C91" s="214"/>
      <c r="D91" s="214"/>
      <c r="E91" s="220"/>
    </row>
    <row r="92" spans="1:5" s="188" customFormat="1" x14ac:dyDescent="0.2">
      <c r="A92" s="190"/>
      <c r="B92" s="189"/>
      <c r="C92" s="214"/>
      <c r="D92" s="214"/>
      <c r="E92" s="220"/>
    </row>
    <row r="93" spans="1:5" s="188" customFormat="1" x14ac:dyDescent="0.2">
      <c r="A93" s="190"/>
      <c r="B93" s="189"/>
      <c r="C93" s="214"/>
      <c r="D93" s="214"/>
      <c r="E93" s="220"/>
    </row>
    <row r="94" spans="1:5" s="188" customFormat="1" x14ac:dyDescent="0.2">
      <c r="A94" s="190"/>
      <c r="B94" s="189"/>
      <c r="C94" s="214"/>
      <c r="D94" s="214"/>
      <c r="E94" s="220"/>
    </row>
    <row r="95" spans="1:5" s="188" customFormat="1" x14ac:dyDescent="0.2">
      <c r="A95" s="190"/>
      <c r="B95" s="189"/>
      <c r="C95" s="214"/>
      <c r="D95" s="214"/>
      <c r="E95" s="220"/>
    </row>
    <row r="96" spans="1:5" s="188" customFormat="1" x14ac:dyDescent="0.2">
      <c r="A96" s="190"/>
      <c r="B96" s="189"/>
      <c r="C96" s="214"/>
      <c r="D96" s="214"/>
      <c r="E96" s="220"/>
    </row>
    <row r="97" spans="1:5" s="188" customFormat="1" x14ac:dyDescent="0.2">
      <c r="A97" s="190"/>
      <c r="B97" s="189"/>
      <c r="C97" s="214"/>
      <c r="D97" s="214"/>
      <c r="E97" s="220"/>
    </row>
    <row r="98" spans="1:5" s="188" customFormat="1" x14ac:dyDescent="0.2">
      <c r="A98" s="190"/>
      <c r="B98" s="189"/>
      <c r="C98" s="214"/>
      <c r="D98" s="214"/>
      <c r="E98" s="220"/>
    </row>
    <row r="99" spans="1:5" s="188" customFormat="1" x14ac:dyDescent="0.2">
      <c r="A99" s="190"/>
      <c r="B99" s="189"/>
      <c r="C99" s="214"/>
      <c r="D99" s="214"/>
      <c r="E99" s="220"/>
    </row>
    <row r="100" spans="1:5" s="188" customFormat="1" x14ac:dyDescent="0.2">
      <c r="A100" s="190"/>
      <c r="B100" s="189"/>
      <c r="C100" s="214"/>
      <c r="D100" s="214"/>
      <c r="E100" s="220"/>
    </row>
    <row r="101" spans="1:5" s="188" customFormat="1" x14ac:dyDescent="0.2">
      <c r="A101" s="190"/>
      <c r="B101" s="189"/>
      <c r="C101" s="214"/>
      <c r="D101" s="214"/>
      <c r="E101" s="220"/>
    </row>
    <row r="102" spans="1:5" s="188" customFormat="1" x14ac:dyDescent="0.2">
      <c r="A102" s="190"/>
      <c r="B102" s="189"/>
      <c r="C102" s="214"/>
      <c r="D102" s="214"/>
      <c r="E102" s="220"/>
    </row>
    <row r="103" spans="1:5" s="188" customFormat="1" x14ac:dyDescent="0.2">
      <c r="A103" s="190"/>
      <c r="B103" s="189"/>
      <c r="C103" s="214"/>
      <c r="D103" s="214"/>
      <c r="E103" s="220"/>
    </row>
    <row r="104" spans="1:5" s="188" customFormat="1" x14ac:dyDescent="0.2">
      <c r="A104" s="190"/>
      <c r="B104" s="189"/>
      <c r="C104" s="214"/>
      <c r="D104" s="214"/>
      <c r="E104" s="220"/>
    </row>
    <row r="105" spans="1:5" s="188" customFormat="1" x14ac:dyDescent="0.2">
      <c r="A105" s="190"/>
      <c r="B105" s="189"/>
      <c r="C105" s="214"/>
      <c r="D105" s="214"/>
      <c r="E105" s="220"/>
    </row>
    <row r="106" spans="1:5" s="188" customFormat="1" x14ac:dyDescent="0.2">
      <c r="A106" s="190"/>
      <c r="B106" s="189"/>
      <c r="C106" s="214"/>
      <c r="D106" s="214"/>
      <c r="E106" s="220"/>
    </row>
    <row r="107" spans="1:5" s="188" customFormat="1" x14ac:dyDescent="0.2">
      <c r="A107" s="190"/>
      <c r="B107" s="189"/>
      <c r="C107" s="214"/>
      <c r="D107" s="214"/>
      <c r="E107" s="220"/>
    </row>
    <row r="108" spans="1:5" s="188" customFormat="1" x14ac:dyDescent="0.2">
      <c r="A108" s="190"/>
      <c r="B108" s="189"/>
      <c r="C108" s="214"/>
      <c r="D108" s="214"/>
      <c r="E108" s="220"/>
    </row>
    <row r="109" spans="1:5" s="188" customFormat="1" x14ac:dyDescent="0.2">
      <c r="A109" s="190"/>
      <c r="B109" s="189"/>
      <c r="C109" s="214"/>
      <c r="D109" s="214"/>
      <c r="E109" s="220"/>
    </row>
    <row r="110" spans="1:5" s="188" customFormat="1" x14ac:dyDescent="0.2">
      <c r="A110" s="190"/>
      <c r="B110" s="189"/>
      <c r="C110" s="214"/>
      <c r="D110" s="214"/>
      <c r="E110" s="220"/>
    </row>
    <row r="111" spans="1:5" s="188" customFormat="1" x14ac:dyDescent="0.2">
      <c r="A111" s="190"/>
      <c r="B111" s="189"/>
      <c r="C111" s="214"/>
      <c r="D111" s="214"/>
      <c r="E111" s="220"/>
    </row>
    <row r="112" spans="1:5" s="188" customFormat="1" x14ac:dyDescent="0.2">
      <c r="A112" s="190"/>
      <c r="B112" s="189"/>
      <c r="C112" s="214"/>
      <c r="D112" s="214"/>
      <c r="E112" s="220"/>
    </row>
    <row r="113" spans="1:5" s="188" customFormat="1" x14ac:dyDescent="0.2">
      <c r="A113" s="190"/>
      <c r="B113" s="189"/>
      <c r="C113" s="214"/>
      <c r="D113" s="214"/>
      <c r="E113" s="220"/>
    </row>
    <row r="114" spans="1:5" s="188" customFormat="1" x14ac:dyDescent="0.2">
      <c r="A114" s="190"/>
      <c r="B114" s="189"/>
      <c r="C114" s="214"/>
      <c r="D114" s="214"/>
      <c r="E114" s="220"/>
    </row>
    <row r="115" spans="1:5" s="188" customFormat="1" x14ac:dyDescent="0.2">
      <c r="A115" s="190"/>
      <c r="B115" s="189"/>
      <c r="C115" s="214"/>
      <c r="D115" s="214"/>
      <c r="E115" s="220"/>
    </row>
  </sheetData>
  <printOptions horizontalCentered="1"/>
  <pageMargins left="0.25" right="0.25" top="0.9" bottom="0.6" header="0.25" footer="0.3"/>
  <pageSetup scale="80" fitToWidth="0" fitToHeight="0" orientation="portrait"/>
  <headerFooter>
    <oddHeader>&amp;L&amp;K00+000_&amp;K01+000&amp;G&amp;C&amp;"-,Bold"&amp;16BLM New Mexico&amp;"-,Regular"&amp;12 December 5 and 6, 2018&amp;R&amp;G&amp;K00+000__</oddHeader>
    <oddFooter>&amp;L&amp;12 &amp;K000000&amp;K00+000_Generated: 10/24/2018&amp;K00+000
_&amp;K01+000Click on the Parcel Info link to view the most up-to-date information on www.energynet.com&amp;R&amp;12 Page &amp;P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filterMode="1">
    <tabColor theme="5" tint="0.39997558519241921"/>
    <pageSetUpPr fitToPage="1"/>
  </sheetPr>
  <dimension ref="A1:AC2475"/>
  <sheetViews>
    <sheetView zoomScale="85" zoomScaleNormal="85" zoomScalePageLayoutView="85" workbookViewId="0">
      <pane ySplit="7" topLeftCell="A8" activePane="bottomLeft" state="frozen"/>
      <selection pane="bottomLeft" activeCell="D734" sqref="D734"/>
    </sheetView>
  </sheetViews>
  <sheetFormatPr baseColWidth="10" defaultColWidth="8.83203125" defaultRowHeight="15" x14ac:dyDescent="0.2"/>
  <cols>
    <col min="1" max="1" width="19.5" style="126" customWidth="1"/>
    <col min="2" max="2" width="8.5" style="118" customWidth="1"/>
    <col min="3" max="3" width="18.83203125" style="118" bestFit="1" customWidth="1"/>
    <col min="4" max="4" width="14.6640625" style="118" customWidth="1"/>
    <col min="5" max="6" width="13.5" style="158" customWidth="1"/>
    <col min="7" max="7" width="11.6640625" style="118" customWidth="1"/>
    <col min="8" max="8" width="23" style="118" customWidth="1"/>
    <col min="9" max="9" width="10.6640625" style="118" bestFit="1" customWidth="1"/>
    <col min="10" max="10" width="39.83203125" style="185" customWidth="1"/>
    <col min="11" max="11" width="15" style="185" customWidth="1"/>
    <col min="12" max="12" width="12.5" style="130" customWidth="1"/>
    <col min="13" max="13" width="10.33203125" style="130" customWidth="1"/>
    <col min="14" max="14" width="30.5" style="131" customWidth="1"/>
    <col min="15" max="15" width="40.5" style="131" customWidth="1"/>
    <col min="16" max="16" width="30.5" style="119" customWidth="1"/>
    <col min="17" max="17" width="19.33203125" style="60" customWidth="1"/>
    <col min="18" max="18" width="17.5" style="222" customWidth="1"/>
    <col min="19" max="19" width="14.1640625" style="222" customWidth="1"/>
    <col min="20" max="20" width="15.5" style="222" customWidth="1"/>
    <col min="21" max="21" width="17.83203125" style="223" customWidth="1"/>
    <col min="22" max="23" width="17.83203125" style="222" customWidth="1"/>
    <col min="24" max="24" width="17.83203125" style="223" customWidth="1"/>
    <col min="25" max="25" width="10.1640625" style="118" customWidth="1"/>
    <col min="26" max="26" width="13.33203125" style="118" customWidth="1"/>
    <col min="27" max="27" width="13.1640625" style="121" customWidth="1"/>
    <col min="28" max="28" width="21.33203125" style="160" customWidth="1"/>
    <col min="29" max="29" width="17.33203125" style="118" customWidth="1"/>
  </cols>
  <sheetData>
    <row r="1" spans="1:29" ht="20" customHeight="1" x14ac:dyDescent="0.25">
      <c r="A1" s="10"/>
      <c r="B1" s="11"/>
      <c r="C1" s="12"/>
      <c r="D1" s="26" t="s">
        <v>573</v>
      </c>
      <c r="E1" s="27"/>
      <c r="F1" s="27"/>
      <c r="G1" s="27"/>
      <c r="H1" s="27"/>
      <c r="I1" s="27"/>
      <c r="J1" s="13" t="s">
        <v>574</v>
      </c>
      <c r="K1" s="14">
        <f ca="1">TODAY()</f>
        <v>44545</v>
      </c>
      <c r="L1" s="15"/>
      <c r="M1" s="15"/>
      <c r="N1" s="16"/>
      <c r="O1" s="16"/>
      <c r="P1" s="17"/>
      <c r="Q1" s="18"/>
      <c r="R1" s="27"/>
      <c r="S1" s="27"/>
      <c r="T1" s="27"/>
      <c r="U1" s="19"/>
      <c r="V1" s="27"/>
      <c r="W1" s="27"/>
      <c r="X1" s="19"/>
      <c r="Y1" s="20"/>
      <c r="Z1" s="20"/>
      <c r="AA1" s="21"/>
      <c r="AB1" s="22"/>
      <c r="AC1" s="23"/>
    </row>
    <row r="2" spans="1:29" ht="24.75" customHeight="1" x14ac:dyDescent="0.25">
      <c r="A2" s="10"/>
      <c r="B2" s="11"/>
      <c r="C2" s="12"/>
      <c r="D2" s="26" t="s">
        <v>575</v>
      </c>
      <c r="E2" s="27"/>
      <c r="F2" s="27"/>
      <c r="G2" s="27"/>
      <c r="H2" s="27"/>
      <c r="I2" s="27"/>
      <c r="J2" s="24"/>
      <c r="K2" s="24"/>
      <c r="L2" s="15"/>
      <c r="M2" s="15"/>
      <c r="N2" s="16"/>
      <c r="O2" s="16"/>
      <c r="P2" s="17"/>
      <c r="Q2" s="18"/>
      <c r="R2" s="27"/>
      <c r="S2" s="27"/>
      <c r="T2" s="27"/>
      <c r="U2" s="19"/>
      <c r="V2" s="27"/>
      <c r="W2" s="27"/>
      <c r="X2" s="19"/>
      <c r="Y2" s="20"/>
      <c r="Z2" s="20"/>
      <c r="AA2" s="21"/>
      <c r="AB2" s="22"/>
      <c r="AC2" s="23"/>
    </row>
    <row r="3" spans="1:29" ht="22.5" customHeight="1" x14ac:dyDescent="0.25">
      <c r="A3" s="25"/>
      <c r="B3" s="11"/>
      <c r="C3" s="12"/>
      <c r="D3" s="26" t="s">
        <v>576</v>
      </c>
      <c r="E3" s="27"/>
      <c r="F3" s="27"/>
      <c r="G3" s="27"/>
      <c r="H3" s="27"/>
      <c r="I3" s="27"/>
      <c r="J3" s="28"/>
      <c r="K3" s="28"/>
      <c r="L3" s="29"/>
      <c r="M3" s="29"/>
      <c r="N3" s="28"/>
      <c r="O3" s="28"/>
      <c r="P3" s="30"/>
      <c r="Q3" s="18"/>
      <c r="R3" s="27"/>
      <c r="S3" s="27"/>
      <c r="T3" s="27"/>
      <c r="U3" s="19"/>
      <c r="V3" s="27"/>
      <c r="W3" s="27"/>
      <c r="X3" s="19"/>
      <c r="Y3" s="25"/>
      <c r="Z3" s="25"/>
      <c r="AA3" s="31"/>
      <c r="AB3" s="32"/>
      <c r="AC3" s="27"/>
    </row>
    <row r="4" spans="1:29" ht="10.5" customHeight="1" x14ac:dyDescent="0.25">
      <c r="A4" s="25"/>
      <c r="B4" s="11"/>
      <c r="C4" s="12"/>
      <c r="D4" s="26"/>
      <c r="E4" s="27"/>
      <c r="F4" s="27"/>
      <c r="G4" s="27"/>
      <c r="H4" s="27"/>
      <c r="I4" s="27"/>
      <c r="J4" s="28"/>
      <c r="K4" s="28"/>
      <c r="L4" s="29"/>
      <c r="M4" s="29"/>
      <c r="N4" s="28"/>
      <c r="O4" s="28"/>
      <c r="P4" s="30"/>
      <c r="Q4" s="18"/>
      <c r="R4" s="27"/>
      <c r="S4" s="27"/>
      <c r="T4" s="27"/>
      <c r="U4" s="19"/>
      <c r="V4" s="27"/>
      <c r="W4" s="27"/>
      <c r="X4" s="19"/>
      <c r="Y4" s="25"/>
      <c r="Z4" s="25"/>
      <c r="AA4" s="31"/>
      <c r="AB4" s="32"/>
      <c r="AC4" s="27"/>
    </row>
    <row r="5" spans="1:29" ht="9" customHeight="1" x14ac:dyDescent="0.2">
      <c r="A5" s="33"/>
      <c r="B5" s="34"/>
      <c r="C5" s="35"/>
      <c r="D5" s="37"/>
      <c r="E5" s="36"/>
      <c r="F5" s="36"/>
      <c r="G5" s="37"/>
      <c r="H5" s="224"/>
      <c r="I5" s="37"/>
      <c r="J5" s="38"/>
      <c r="K5" s="38"/>
      <c r="L5" s="39"/>
      <c r="M5" s="39"/>
      <c r="N5" s="40"/>
      <c r="O5" s="40"/>
      <c r="P5" s="41"/>
      <c r="Q5" s="42"/>
      <c r="R5" s="225"/>
      <c r="S5" s="225"/>
      <c r="T5" s="225"/>
      <c r="U5" s="226"/>
      <c r="V5" s="225"/>
      <c r="W5" s="225"/>
      <c r="X5" s="226"/>
      <c r="Y5" s="37"/>
      <c r="Z5" s="37"/>
      <c r="AA5" s="43"/>
      <c r="AB5" s="44"/>
      <c r="AC5" s="36"/>
    </row>
    <row r="6" spans="1:29" ht="20.25" customHeight="1" x14ac:dyDescent="0.2">
      <c r="A6" s="427" t="s">
        <v>577</v>
      </c>
      <c r="B6" s="428"/>
      <c r="C6" s="428"/>
      <c r="D6" s="428"/>
      <c r="E6" s="429"/>
      <c r="F6" s="429"/>
      <c r="G6" s="428"/>
      <c r="H6" s="428"/>
      <c r="I6" s="428"/>
      <c r="J6" s="45"/>
      <c r="K6" s="45"/>
      <c r="L6" s="46"/>
      <c r="M6" s="46"/>
      <c r="N6" s="47"/>
      <c r="O6" s="47"/>
      <c r="P6" s="48"/>
      <c r="Q6" s="430" t="s">
        <v>578</v>
      </c>
      <c r="R6" s="431"/>
      <c r="S6" s="431"/>
      <c r="T6" s="431"/>
      <c r="U6" s="432"/>
      <c r="V6" s="430" t="s">
        <v>579</v>
      </c>
      <c r="W6" s="431"/>
      <c r="X6" s="432"/>
      <c r="Y6" s="433" t="s">
        <v>580</v>
      </c>
      <c r="Z6" s="428"/>
      <c r="AA6" s="432"/>
      <c r="AB6" s="427" t="s">
        <v>581</v>
      </c>
      <c r="AC6" s="428"/>
    </row>
    <row r="7" spans="1:29" ht="55.5" customHeight="1" thickBot="1" x14ac:dyDescent="0.25">
      <c r="A7" s="49" t="s">
        <v>582</v>
      </c>
      <c r="B7" s="50" t="s">
        <v>583</v>
      </c>
      <c r="C7" s="50" t="s">
        <v>584</v>
      </c>
      <c r="D7" s="49" t="s">
        <v>585</v>
      </c>
      <c r="E7" s="49" t="s">
        <v>586</v>
      </c>
      <c r="F7" s="49" t="s">
        <v>587</v>
      </c>
      <c r="G7" s="49" t="s">
        <v>588</v>
      </c>
      <c r="H7" s="49" t="s">
        <v>589</v>
      </c>
      <c r="I7" s="49" t="s">
        <v>590</v>
      </c>
      <c r="J7" s="49" t="s">
        <v>591</v>
      </c>
      <c r="K7" s="49" t="s">
        <v>592</v>
      </c>
      <c r="L7" s="49" t="s">
        <v>593</v>
      </c>
      <c r="M7" s="49" t="s">
        <v>594</v>
      </c>
      <c r="N7" s="49" t="s">
        <v>595</v>
      </c>
      <c r="O7" s="49" t="s">
        <v>596</v>
      </c>
      <c r="P7" s="51" t="s">
        <v>597</v>
      </c>
      <c r="Q7" s="52" t="s">
        <v>598</v>
      </c>
      <c r="R7" s="227" t="s">
        <v>599</v>
      </c>
      <c r="S7" s="227" t="s">
        <v>600</v>
      </c>
      <c r="T7" s="227" t="s">
        <v>601</v>
      </c>
      <c r="U7" s="228" t="s">
        <v>602</v>
      </c>
      <c r="V7" s="227" t="s">
        <v>603</v>
      </c>
      <c r="W7" s="227" t="s">
        <v>604</v>
      </c>
      <c r="X7" s="228" t="s">
        <v>605</v>
      </c>
      <c r="Y7" s="53" t="s">
        <v>606</v>
      </c>
      <c r="Z7" s="53" t="s">
        <v>607</v>
      </c>
      <c r="AA7" s="54" t="s">
        <v>608</v>
      </c>
      <c r="AB7" s="49" t="s">
        <v>609</v>
      </c>
      <c r="AC7" s="49" t="s">
        <v>610</v>
      </c>
    </row>
    <row r="8" spans="1:29" hidden="1" x14ac:dyDescent="0.2">
      <c r="A8" s="117" t="s">
        <v>611</v>
      </c>
      <c r="B8" s="118" t="e">
        <f>IF(COUNTIF(GIS,A10),"YES","NO")</f>
        <v>#VALUE!</v>
      </c>
      <c r="C8" s="118" t="s">
        <v>612</v>
      </c>
      <c r="D8" s="84">
        <v>34991</v>
      </c>
      <c r="E8" s="84">
        <v>35034</v>
      </c>
      <c r="F8" s="84">
        <f>DATE(YEAR(E8)+10,MONTH(E8),DAY(E8))</f>
        <v>38687</v>
      </c>
      <c r="G8" s="229"/>
      <c r="H8" s="71" t="s">
        <v>613</v>
      </c>
      <c r="I8" s="71" t="s">
        <v>614</v>
      </c>
      <c r="J8" s="66" t="s">
        <v>615</v>
      </c>
      <c r="K8" s="55">
        <f>YEAR(F8)</f>
        <v>2005</v>
      </c>
      <c r="L8" s="67"/>
      <c r="M8" s="67"/>
      <c r="N8" s="73" t="s">
        <v>616</v>
      </c>
      <c r="O8" s="73" t="s">
        <v>617</v>
      </c>
      <c r="P8" s="74"/>
      <c r="Q8" s="56"/>
      <c r="R8" s="230"/>
      <c r="S8" s="230">
        <v>790.5</v>
      </c>
      <c r="T8" s="230">
        <v>790.5</v>
      </c>
      <c r="U8" s="231"/>
      <c r="V8" s="230"/>
      <c r="W8" s="230"/>
      <c r="X8" s="231"/>
      <c r="Y8" s="85" t="s">
        <v>618</v>
      </c>
      <c r="Z8" s="85"/>
      <c r="AA8" s="76"/>
      <c r="AB8" s="77"/>
      <c r="AC8" s="78"/>
    </row>
    <row r="9" spans="1:29" hidden="1" x14ac:dyDescent="0.2">
      <c r="A9" s="117"/>
      <c r="D9" s="84"/>
      <c r="E9" s="84"/>
      <c r="F9" s="84"/>
      <c r="G9" s="229"/>
      <c r="H9" s="71"/>
      <c r="I9" s="71"/>
      <c r="J9" s="66"/>
      <c r="K9" s="66"/>
      <c r="L9" s="67"/>
      <c r="M9" s="67"/>
      <c r="N9" s="73"/>
      <c r="O9" s="73"/>
      <c r="P9" s="74"/>
      <c r="Q9" s="56"/>
      <c r="R9" s="230"/>
      <c r="S9" s="230"/>
      <c r="T9" s="230"/>
      <c r="U9" s="231"/>
      <c r="V9" s="230"/>
      <c r="W9" s="230"/>
      <c r="X9" s="231"/>
      <c r="Y9" s="85"/>
      <c r="Z9" s="85"/>
      <c r="AA9" s="76"/>
      <c r="AB9" s="77"/>
      <c r="AC9" s="78"/>
    </row>
    <row r="10" spans="1:29" hidden="1" x14ac:dyDescent="0.2">
      <c r="A10" s="117" t="s">
        <v>619</v>
      </c>
      <c r="B10" s="118" t="e">
        <f>IF(COUNTIF(GIS,A12),"YES","NO")</f>
        <v>#VALUE!</v>
      </c>
      <c r="C10" s="118" t="s">
        <v>612</v>
      </c>
      <c r="D10" s="84">
        <v>36293</v>
      </c>
      <c r="E10" s="84">
        <v>36342</v>
      </c>
      <c r="F10" s="84">
        <f>DATE(YEAR(E10)+10,MONTH(E10),DAY(E10))</f>
        <v>39995</v>
      </c>
      <c r="G10" s="229"/>
      <c r="H10" s="71" t="s">
        <v>620</v>
      </c>
      <c r="I10" s="71" t="s">
        <v>614</v>
      </c>
      <c r="J10" s="72" t="s">
        <v>621</v>
      </c>
      <c r="K10" s="55">
        <f>YEAR(F10)</f>
        <v>2009</v>
      </c>
      <c r="L10" s="81"/>
      <c r="M10" s="81"/>
      <c r="N10" s="73" t="s">
        <v>622</v>
      </c>
      <c r="O10" s="73" t="s">
        <v>616</v>
      </c>
      <c r="P10" s="74"/>
      <c r="Q10" s="75"/>
      <c r="R10" s="230"/>
      <c r="S10" s="230">
        <v>1253.5</v>
      </c>
      <c r="T10" s="230">
        <v>1253.5</v>
      </c>
      <c r="Y10" s="85">
        <v>0.5</v>
      </c>
      <c r="Z10" s="85"/>
      <c r="AA10" s="76"/>
      <c r="AB10" s="77"/>
      <c r="AC10" s="78"/>
    </row>
    <row r="11" spans="1:29" hidden="1" x14ac:dyDescent="0.2">
      <c r="A11" s="117"/>
      <c r="D11" s="84"/>
      <c r="E11" s="84"/>
      <c r="F11" s="84"/>
      <c r="G11" s="229"/>
      <c r="H11" s="71"/>
      <c r="I11" s="71"/>
      <c r="J11" s="72"/>
      <c r="K11" s="72"/>
      <c r="L11" s="81"/>
      <c r="M11" s="81"/>
      <c r="N11" s="73"/>
      <c r="O11" s="73"/>
      <c r="P11" s="74"/>
      <c r="Q11" s="75"/>
      <c r="R11" s="230"/>
      <c r="S11" s="230"/>
      <c r="T11" s="230"/>
      <c r="U11" s="231"/>
      <c r="V11" s="230"/>
      <c r="W11" s="230"/>
      <c r="X11" s="231"/>
      <c r="Y11" s="85"/>
      <c r="Z11" s="85"/>
      <c r="AA11" s="76"/>
      <c r="AB11" s="77"/>
      <c r="AC11" s="78"/>
    </row>
    <row r="12" spans="1:29" hidden="1" x14ac:dyDescent="0.2">
      <c r="A12" s="117" t="s">
        <v>623</v>
      </c>
      <c r="B12" s="118" t="e">
        <f>IF(COUNTIF(GIS,A14),"YES","NO")</f>
        <v>#VALUE!</v>
      </c>
      <c r="C12" s="118" t="s">
        <v>612</v>
      </c>
      <c r="D12" s="84">
        <v>34171</v>
      </c>
      <c r="E12" s="84">
        <v>34213</v>
      </c>
      <c r="F12" s="84">
        <f>DATE(YEAR(E12)+10,MONTH(E12),DAY(E12))</f>
        <v>37865</v>
      </c>
      <c r="G12" s="229"/>
      <c r="H12" s="71" t="s">
        <v>624</v>
      </c>
      <c r="I12" s="71" t="s">
        <v>614</v>
      </c>
      <c r="J12" s="66" t="s">
        <v>625</v>
      </c>
      <c r="K12" s="55">
        <f>YEAR(F12)</f>
        <v>2003</v>
      </c>
      <c r="L12" s="67"/>
      <c r="M12" s="67"/>
      <c r="N12" s="73" t="s">
        <v>626</v>
      </c>
      <c r="O12" s="77" t="s">
        <v>627</v>
      </c>
      <c r="P12" s="74" t="s">
        <v>628</v>
      </c>
      <c r="Q12" s="56"/>
      <c r="R12" s="230"/>
      <c r="S12" s="230">
        <v>4200</v>
      </c>
      <c r="T12" s="230">
        <v>4200</v>
      </c>
      <c r="U12" s="231"/>
      <c r="V12" s="230"/>
      <c r="W12" s="230"/>
      <c r="X12" s="231"/>
      <c r="Y12" s="85">
        <v>0.5</v>
      </c>
      <c r="Z12" s="85"/>
      <c r="AA12" s="76"/>
      <c r="AB12" s="77"/>
      <c r="AC12" s="78"/>
    </row>
    <row r="13" spans="1:29" hidden="1" x14ac:dyDescent="0.2">
      <c r="A13" s="117"/>
      <c r="D13" s="84"/>
      <c r="E13" s="84"/>
      <c r="F13" s="84"/>
      <c r="G13" s="229"/>
      <c r="H13" s="71"/>
      <c r="I13" s="71"/>
      <c r="J13" s="66"/>
      <c r="K13" s="66"/>
      <c r="L13" s="67"/>
      <c r="M13" s="67"/>
      <c r="N13" s="73"/>
      <c r="O13" s="77"/>
      <c r="P13" s="74"/>
      <c r="Q13" s="56"/>
      <c r="R13" s="230"/>
      <c r="S13" s="230"/>
      <c r="T13" s="230"/>
      <c r="U13" s="231"/>
      <c r="V13" s="230"/>
      <c r="W13" s="230"/>
      <c r="X13" s="231"/>
      <c r="Y13" s="85"/>
      <c r="Z13" s="85"/>
      <c r="AA13" s="76"/>
      <c r="AB13" s="77"/>
      <c r="AC13" s="78"/>
    </row>
    <row r="14" spans="1:29" hidden="1" x14ac:dyDescent="0.2">
      <c r="A14" s="117" t="s">
        <v>629</v>
      </c>
      <c r="B14" s="118" t="e">
        <f>IF(COUNTIF(GIS,A16),"YES","NO")</f>
        <v>#VALUE!</v>
      </c>
      <c r="C14" s="118" t="s">
        <v>612</v>
      </c>
      <c r="D14" s="84">
        <v>36271</v>
      </c>
      <c r="E14" s="84">
        <v>36312</v>
      </c>
      <c r="F14" s="84">
        <f>DATE(YEAR(E14)+10,MONTH(E14),DAY(E14))</f>
        <v>39965</v>
      </c>
      <c r="G14" s="229"/>
      <c r="H14" s="71" t="s">
        <v>630</v>
      </c>
      <c r="I14" s="71" t="s">
        <v>614</v>
      </c>
      <c r="J14" s="66" t="s">
        <v>631</v>
      </c>
      <c r="K14" s="55">
        <f>YEAR(F14)</f>
        <v>2009</v>
      </c>
      <c r="L14" s="67"/>
      <c r="M14" s="67"/>
      <c r="N14" s="73" t="s">
        <v>632</v>
      </c>
      <c r="O14" s="73" t="s">
        <v>633</v>
      </c>
      <c r="P14" s="57"/>
      <c r="Q14" s="75">
        <v>9904002</v>
      </c>
      <c r="R14" s="230">
        <v>42612.5</v>
      </c>
      <c r="S14" s="230">
        <v>0</v>
      </c>
      <c r="T14" s="230">
        <v>42612.5</v>
      </c>
      <c r="U14" s="231"/>
      <c r="V14" s="230"/>
      <c r="W14" s="230"/>
      <c r="X14" s="231"/>
      <c r="Y14" s="85">
        <v>0.5</v>
      </c>
      <c r="Z14" s="85"/>
      <c r="AA14" s="76"/>
      <c r="AB14" s="77"/>
      <c r="AC14" s="78"/>
    </row>
    <row r="15" spans="1:29" hidden="1" x14ac:dyDescent="0.2">
      <c r="A15" s="117"/>
      <c r="D15" s="84"/>
      <c r="E15" s="84"/>
      <c r="F15" s="84"/>
      <c r="G15" s="229"/>
      <c r="H15" s="71"/>
      <c r="I15" s="71"/>
      <c r="J15" s="66"/>
      <c r="K15" s="66"/>
      <c r="L15" s="67"/>
      <c r="M15" s="67"/>
      <c r="N15" s="73"/>
      <c r="O15" s="73"/>
      <c r="P15" s="57"/>
      <c r="Q15" s="75"/>
      <c r="R15" s="230"/>
      <c r="S15" s="230"/>
      <c r="T15" s="230"/>
      <c r="U15" s="231"/>
      <c r="V15" s="230"/>
      <c r="W15" s="230"/>
      <c r="X15" s="231"/>
      <c r="Y15" s="85"/>
      <c r="Z15" s="85"/>
      <c r="AA15" s="76"/>
      <c r="AB15" s="77"/>
      <c r="AC15" s="78"/>
    </row>
    <row r="16" spans="1:29" hidden="1" x14ac:dyDescent="0.2">
      <c r="A16" s="117" t="s">
        <v>634</v>
      </c>
      <c r="B16" s="118" t="e">
        <f t="shared" ref="B16:B32" si="0">IF(COUNTIF(GIS,A18),"YES","NO")</f>
        <v>#VALUE!</v>
      </c>
      <c r="C16" s="118" t="s">
        <v>612</v>
      </c>
      <c r="D16" s="84">
        <v>36362</v>
      </c>
      <c r="E16" s="84">
        <v>36404</v>
      </c>
      <c r="F16" s="84">
        <f t="shared" ref="F16:F32" si="1">DATE(YEAR(E16)+10,MONTH(E16),DAY(E16))</f>
        <v>40057</v>
      </c>
      <c r="G16" s="229"/>
      <c r="H16" s="71" t="s">
        <v>620</v>
      </c>
      <c r="I16" s="71" t="s">
        <v>614</v>
      </c>
      <c r="J16" s="66" t="s">
        <v>635</v>
      </c>
      <c r="K16" s="55">
        <f t="shared" ref="K16:K32" si="2">YEAR(F16)</f>
        <v>2009</v>
      </c>
      <c r="L16" s="67"/>
      <c r="M16" s="67"/>
      <c r="N16" s="73" t="s">
        <v>636</v>
      </c>
      <c r="O16" s="73" t="s">
        <v>637</v>
      </c>
      <c r="P16" s="57"/>
      <c r="Q16" s="75">
        <v>9907041</v>
      </c>
      <c r="R16" s="230">
        <v>1744.5</v>
      </c>
      <c r="S16" s="230">
        <v>0</v>
      </c>
      <c r="T16" s="230">
        <v>1744.5</v>
      </c>
      <c r="U16" s="231"/>
      <c r="V16" s="230"/>
      <c r="W16" s="230"/>
      <c r="X16" s="231"/>
      <c r="Y16" s="85">
        <v>0.5</v>
      </c>
      <c r="Z16" s="85"/>
      <c r="AA16" s="76"/>
      <c r="AB16" s="77"/>
      <c r="AC16" s="78"/>
    </row>
    <row r="17" spans="1:29" hidden="1" x14ac:dyDescent="0.2">
      <c r="A17" s="117" t="s">
        <v>638</v>
      </c>
      <c r="B17" s="118" t="e">
        <f t="shared" si="0"/>
        <v>#VALUE!</v>
      </c>
      <c r="C17" s="118" t="s">
        <v>612</v>
      </c>
      <c r="D17" s="84">
        <v>36362</v>
      </c>
      <c r="E17" s="84">
        <v>36404</v>
      </c>
      <c r="F17" s="84">
        <f t="shared" si="1"/>
        <v>40057</v>
      </c>
      <c r="G17" s="229"/>
      <c r="H17" s="71" t="s">
        <v>620</v>
      </c>
      <c r="I17" s="71" t="s">
        <v>614</v>
      </c>
      <c r="J17" s="66" t="s">
        <v>635</v>
      </c>
      <c r="K17" s="55">
        <f t="shared" si="2"/>
        <v>2009</v>
      </c>
      <c r="L17" s="67"/>
      <c r="M17" s="67"/>
      <c r="N17" s="73" t="s">
        <v>636</v>
      </c>
      <c r="O17" s="73" t="s">
        <v>639</v>
      </c>
      <c r="P17" s="74" t="s">
        <v>640</v>
      </c>
      <c r="Q17" s="75">
        <v>9907042</v>
      </c>
      <c r="R17" s="230">
        <v>1436.5</v>
      </c>
      <c r="S17" s="230">
        <v>0</v>
      </c>
      <c r="T17" s="230">
        <v>1436.5</v>
      </c>
      <c r="U17" s="231"/>
      <c r="V17" s="230"/>
      <c r="W17" s="230"/>
      <c r="X17" s="231"/>
      <c r="Y17" s="85">
        <v>0.5</v>
      </c>
      <c r="Z17" s="85"/>
      <c r="AA17" s="76"/>
      <c r="AB17" s="77"/>
      <c r="AC17" s="78"/>
    </row>
    <row r="18" spans="1:29" hidden="1" x14ac:dyDescent="0.2">
      <c r="A18" s="117" t="s">
        <v>641</v>
      </c>
      <c r="B18" s="118" t="e">
        <f t="shared" si="0"/>
        <v>#VALUE!</v>
      </c>
      <c r="C18" s="118" t="s">
        <v>612</v>
      </c>
      <c r="D18" s="84">
        <v>36362</v>
      </c>
      <c r="E18" s="84">
        <v>36404</v>
      </c>
      <c r="F18" s="84">
        <f t="shared" si="1"/>
        <v>40057</v>
      </c>
      <c r="G18" s="229"/>
      <c r="H18" s="71" t="s">
        <v>642</v>
      </c>
      <c r="I18" s="71" t="s">
        <v>614</v>
      </c>
      <c r="J18" s="66" t="s">
        <v>635</v>
      </c>
      <c r="K18" s="55">
        <f t="shared" si="2"/>
        <v>2009</v>
      </c>
      <c r="L18" s="67"/>
      <c r="M18" s="67"/>
      <c r="N18" s="73" t="s">
        <v>636</v>
      </c>
      <c r="O18" s="73" t="s">
        <v>643</v>
      </c>
      <c r="P18" s="74"/>
      <c r="Q18" s="75">
        <v>9907043</v>
      </c>
      <c r="R18" s="230">
        <v>2265</v>
      </c>
      <c r="S18" s="230">
        <v>0</v>
      </c>
      <c r="T18" s="230">
        <v>2265</v>
      </c>
      <c r="U18" s="231"/>
      <c r="V18" s="230"/>
      <c r="W18" s="230"/>
      <c r="X18" s="231"/>
      <c r="Y18" s="85">
        <v>0.5</v>
      </c>
      <c r="Z18" s="85"/>
      <c r="AA18" s="76"/>
      <c r="AB18" s="77"/>
      <c r="AC18" s="78"/>
    </row>
    <row r="19" spans="1:29" hidden="1" x14ac:dyDescent="0.2">
      <c r="A19" s="117" t="s">
        <v>644</v>
      </c>
      <c r="B19" s="118" t="e">
        <f t="shared" si="0"/>
        <v>#VALUE!</v>
      </c>
      <c r="C19" s="118" t="s">
        <v>612</v>
      </c>
      <c r="D19" s="84">
        <v>36362</v>
      </c>
      <c r="E19" s="84">
        <v>36404</v>
      </c>
      <c r="F19" s="84">
        <f t="shared" si="1"/>
        <v>40057</v>
      </c>
      <c r="G19" s="229"/>
      <c r="H19" s="71" t="s">
        <v>620</v>
      </c>
      <c r="I19" s="71" t="s">
        <v>614</v>
      </c>
      <c r="J19" s="66" t="s">
        <v>635</v>
      </c>
      <c r="K19" s="55">
        <f t="shared" si="2"/>
        <v>2009</v>
      </c>
      <c r="L19" s="67"/>
      <c r="M19" s="67"/>
      <c r="N19" s="73" t="s">
        <v>636</v>
      </c>
      <c r="O19" s="73" t="s">
        <v>645</v>
      </c>
      <c r="P19" s="74"/>
      <c r="Q19" s="75">
        <v>9907052</v>
      </c>
      <c r="R19" s="230">
        <v>565</v>
      </c>
      <c r="S19" s="230">
        <v>0</v>
      </c>
      <c r="T19" s="230">
        <v>565</v>
      </c>
      <c r="U19" s="231"/>
      <c r="V19" s="230"/>
      <c r="W19" s="230"/>
      <c r="X19" s="231"/>
      <c r="Y19" s="85">
        <v>0.5</v>
      </c>
      <c r="Z19" s="85"/>
      <c r="AA19" s="76"/>
      <c r="AB19" s="77"/>
      <c r="AC19" s="78"/>
    </row>
    <row r="20" spans="1:29" hidden="1" x14ac:dyDescent="0.2">
      <c r="A20" s="117" t="s">
        <v>646</v>
      </c>
      <c r="B20" s="118" t="e">
        <f t="shared" si="0"/>
        <v>#VALUE!</v>
      </c>
      <c r="C20" s="118" t="s">
        <v>612</v>
      </c>
      <c r="D20" s="84">
        <v>36362</v>
      </c>
      <c r="E20" s="84">
        <v>36404</v>
      </c>
      <c r="F20" s="84">
        <f t="shared" si="1"/>
        <v>40057</v>
      </c>
      <c r="G20" s="229"/>
      <c r="H20" s="71" t="s">
        <v>620</v>
      </c>
      <c r="I20" s="71" t="s">
        <v>614</v>
      </c>
      <c r="J20" s="66" t="s">
        <v>635</v>
      </c>
      <c r="K20" s="55">
        <f t="shared" si="2"/>
        <v>2009</v>
      </c>
      <c r="L20" s="67"/>
      <c r="M20" s="67"/>
      <c r="N20" s="73" t="s">
        <v>636</v>
      </c>
      <c r="O20" s="73" t="s">
        <v>647</v>
      </c>
      <c r="P20" s="74"/>
      <c r="Q20" s="75">
        <v>9907053</v>
      </c>
      <c r="R20" s="230">
        <v>162.5</v>
      </c>
      <c r="S20" s="230">
        <v>0</v>
      </c>
      <c r="T20" s="230">
        <v>162.5</v>
      </c>
      <c r="U20" s="231"/>
      <c r="V20" s="230"/>
      <c r="W20" s="230"/>
      <c r="X20" s="231"/>
      <c r="Y20" s="85">
        <v>0.5</v>
      </c>
      <c r="Z20" s="85"/>
      <c r="AA20" s="76"/>
      <c r="AB20" s="77"/>
      <c r="AC20" s="78"/>
    </row>
    <row r="21" spans="1:29" hidden="1" x14ac:dyDescent="0.2">
      <c r="A21" s="117" t="s">
        <v>648</v>
      </c>
      <c r="B21" s="118" t="e">
        <f t="shared" si="0"/>
        <v>#VALUE!</v>
      </c>
      <c r="C21" s="118" t="s">
        <v>612</v>
      </c>
      <c r="D21" s="84">
        <v>36362</v>
      </c>
      <c r="E21" s="84">
        <v>36404</v>
      </c>
      <c r="F21" s="84">
        <f t="shared" si="1"/>
        <v>40057</v>
      </c>
      <c r="G21" s="229"/>
      <c r="H21" s="71" t="s">
        <v>642</v>
      </c>
      <c r="I21" s="71" t="s">
        <v>614</v>
      </c>
      <c r="J21" s="66" t="s">
        <v>635</v>
      </c>
      <c r="K21" s="55">
        <f t="shared" si="2"/>
        <v>2009</v>
      </c>
      <c r="L21" s="67"/>
      <c r="M21" s="67"/>
      <c r="N21" s="73" t="s">
        <v>636</v>
      </c>
      <c r="O21" s="73" t="s">
        <v>649</v>
      </c>
      <c r="P21" s="74"/>
      <c r="Q21" s="75">
        <v>9907055</v>
      </c>
      <c r="R21" s="230">
        <v>585</v>
      </c>
      <c r="S21" s="230">
        <v>0</v>
      </c>
      <c r="T21" s="230">
        <v>585</v>
      </c>
      <c r="U21" s="231"/>
      <c r="V21" s="230"/>
      <c r="W21" s="230"/>
      <c r="X21" s="231"/>
      <c r="Y21" s="85">
        <v>0.5</v>
      </c>
      <c r="Z21" s="85"/>
      <c r="AA21" s="76"/>
      <c r="AB21" s="77"/>
      <c r="AC21" s="78"/>
    </row>
    <row r="22" spans="1:29" hidden="1" x14ac:dyDescent="0.2">
      <c r="A22" s="117" t="s">
        <v>650</v>
      </c>
      <c r="B22" s="118" t="e">
        <f t="shared" si="0"/>
        <v>#VALUE!</v>
      </c>
      <c r="C22" s="118" t="s">
        <v>612</v>
      </c>
      <c r="D22" s="84">
        <v>36362</v>
      </c>
      <c r="E22" s="84">
        <v>36404</v>
      </c>
      <c r="F22" s="84">
        <f t="shared" si="1"/>
        <v>40057</v>
      </c>
      <c r="G22" s="229"/>
      <c r="H22" s="71" t="s">
        <v>642</v>
      </c>
      <c r="I22" s="71" t="s">
        <v>614</v>
      </c>
      <c r="J22" s="66" t="s">
        <v>635</v>
      </c>
      <c r="K22" s="55">
        <f t="shared" si="2"/>
        <v>2009</v>
      </c>
      <c r="L22" s="67"/>
      <c r="M22" s="67"/>
      <c r="N22" s="73" t="s">
        <v>636</v>
      </c>
      <c r="O22" s="73" t="s">
        <v>651</v>
      </c>
      <c r="P22" s="74"/>
      <c r="Q22" s="75">
        <v>9907056</v>
      </c>
      <c r="R22" s="230">
        <v>204.5</v>
      </c>
      <c r="S22" s="230">
        <v>0</v>
      </c>
      <c r="T22" s="230">
        <v>204.5</v>
      </c>
      <c r="U22" s="231"/>
      <c r="V22" s="230"/>
      <c r="W22" s="230"/>
      <c r="X22" s="231"/>
      <c r="Y22" s="85">
        <v>0.5</v>
      </c>
      <c r="Z22" s="85"/>
      <c r="AA22" s="76"/>
      <c r="AB22" s="77"/>
      <c r="AC22" s="78"/>
    </row>
    <row r="23" spans="1:29" hidden="1" x14ac:dyDescent="0.2">
      <c r="A23" s="117" t="s">
        <v>652</v>
      </c>
      <c r="B23" s="118" t="e">
        <f t="shared" si="0"/>
        <v>#VALUE!</v>
      </c>
      <c r="C23" s="118" t="s">
        <v>612</v>
      </c>
      <c r="D23" s="84">
        <v>36362</v>
      </c>
      <c r="E23" s="84">
        <v>36404</v>
      </c>
      <c r="F23" s="84">
        <f t="shared" si="1"/>
        <v>40057</v>
      </c>
      <c r="G23" s="229"/>
      <c r="H23" s="71" t="s">
        <v>653</v>
      </c>
      <c r="I23" s="71" t="s">
        <v>614</v>
      </c>
      <c r="J23" s="66" t="s">
        <v>631</v>
      </c>
      <c r="K23" s="55">
        <f t="shared" si="2"/>
        <v>2009</v>
      </c>
      <c r="L23" s="67"/>
      <c r="M23" s="67"/>
      <c r="N23" s="73" t="s">
        <v>654</v>
      </c>
      <c r="O23" s="73" t="s">
        <v>655</v>
      </c>
      <c r="P23" s="74"/>
      <c r="Q23" s="75">
        <v>9907061</v>
      </c>
      <c r="R23" s="230">
        <v>3004.5</v>
      </c>
      <c r="S23" s="230">
        <v>0</v>
      </c>
      <c r="T23" s="230">
        <v>3004.5</v>
      </c>
      <c r="U23" s="231"/>
      <c r="V23" s="230"/>
      <c r="W23" s="230"/>
      <c r="X23" s="231"/>
      <c r="Y23" s="85">
        <v>0.5</v>
      </c>
      <c r="Z23" s="85"/>
      <c r="AA23" s="76"/>
      <c r="AB23" s="77"/>
      <c r="AC23" s="78"/>
    </row>
    <row r="24" spans="1:29" hidden="1" x14ac:dyDescent="0.2">
      <c r="A24" s="117" t="s">
        <v>656</v>
      </c>
      <c r="B24" s="118" t="e">
        <f t="shared" si="0"/>
        <v>#VALUE!</v>
      </c>
      <c r="C24" s="118" t="s">
        <v>612</v>
      </c>
      <c r="D24" s="84">
        <v>36362</v>
      </c>
      <c r="E24" s="84">
        <v>36404</v>
      </c>
      <c r="F24" s="84">
        <f t="shared" si="1"/>
        <v>40057</v>
      </c>
      <c r="G24" s="229"/>
      <c r="H24" s="71" t="s">
        <v>653</v>
      </c>
      <c r="I24" s="71" t="s">
        <v>614</v>
      </c>
      <c r="J24" s="66" t="s">
        <v>631</v>
      </c>
      <c r="K24" s="55">
        <f t="shared" si="2"/>
        <v>2009</v>
      </c>
      <c r="L24" s="67"/>
      <c r="M24" s="67"/>
      <c r="N24" s="73" t="s">
        <v>654</v>
      </c>
      <c r="O24" s="73" t="s">
        <v>657</v>
      </c>
      <c r="P24" s="74" t="s">
        <v>658</v>
      </c>
      <c r="Q24" s="75">
        <v>9907062</v>
      </c>
      <c r="R24" s="230">
        <v>4457</v>
      </c>
      <c r="S24" s="230">
        <v>0</v>
      </c>
      <c r="T24" s="230">
        <v>4457</v>
      </c>
      <c r="U24" s="231"/>
      <c r="V24" s="230"/>
      <c r="W24" s="230"/>
      <c r="X24" s="231"/>
      <c r="Y24" s="85">
        <v>0.5</v>
      </c>
      <c r="Z24" s="85"/>
      <c r="AA24" s="76"/>
      <c r="AB24" s="77"/>
      <c r="AC24" s="78"/>
    </row>
    <row r="25" spans="1:29" hidden="1" x14ac:dyDescent="0.2">
      <c r="A25" s="117" t="s">
        <v>659</v>
      </c>
      <c r="B25" s="118" t="e">
        <f t="shared" si="0"/>
        <v>#VALUE!</v>
      </c>
      <c r="C25" s="118" t="s">
        <v>612</v>
      </c>
      <c r="D25" s="84">
        <v>36362</v>
      </c>
      <c r="E25" s="84">
        <v>36404</v>
      </c>
      <c r="F25" s="84">
        <f t="shared" si="1"/>
        <v>40057</v>
      </c>
      <c r="G25" s="229"/>
      <c r="H25" s="71" t="s">
        <v>660</v>
      </c>
      <c r="I25" s="71" t="s">
        <v>614</v>
      </c>
      <c r="J25" s="66" t="s">
        <v>631</v>
      </c>
      <c r="K25" s="55">
        <f t="shared" si="2"/>
        <v>2009</v>
      </c>
      <c r="L25" s="67"/>
      <c r="M25" s="67"/>
      <c r="N25" s="73" t="s">
        <v>661</v>
      </c>
      <c r="O25" s="73" t="s">
        <v>662</v>
      </c>
      <c r="P25" s="74"/>
      <c r="Q25" s="75">
        <v>9907072</v>
      </c>
      <c r="R25" s="230">
        <v>603.5</v>
      </c>
      <c r="S25" s="230">
        <v>0</v>
      </c>
      <c r="T25" s="230">
        <v>603.5</v>
      </c>
      <c r="U25" s="231"/>
      <c r="V25" s="230"/>
      <c r="W25" s="230"/>
      <c r="X25" s="231"/>
      <c r="Y25" s="85">
        <v>0.5</v>
      </c>
      <c r="Z25" s="85"/>
      <c r="AA25" s="76"/>
      <c r="AB25" s="77"/>
      <c r="AC25" s="78"/>
    </row>
    <row r="26" spans="1:29" hidden="1" x14ac:dyDescent="0.2">
      <c r="A26" s="117" t="s">
        <v>663</v>
      </c>
      <c r="B26" s="118" t="e">
        <f t="shared" si="0"/>
        <v>#VALUE!</v>
      </c>
      <c r="C26" s="118" t="s">
        <v>612</v>
      </c>
      <c r="D26" s="84">
        <v>36362</v>
      </c>
      <c r="E26" s="84">
        <v>36404</v>
      </c>
      <c r="F26" s="84">
        <f t="shared" si="1"/>
        <v>40057</v>
      </c>
      <c r="G26" s="229"/>
      <c r="H26" s="71" t="s">
        <v>660</v>
      </c>
      <c r="I26" s="71" t="s">
        <v>614</v>
      </c>
      <c r="J26" s="66" t="s">
        <v>631</v>
      </c>
      <c r="K26" s="55">
        <f t="shared" si="2"/>
        <v>2009</v>
      </c>
      <c r="L26" s="67"/>
      <c r="M26" s="67"/>
      <c r="N26" s="73" t="s">
        <v>661</v>
      </c>
      <c r="O26" s="73" t="s">
        <v>664</v>
      </c>
      <c r="P26" s="74"/>
      <c r="Q26" s="75">
        <v>9907073</v>
      </c>
      <c r="R26" s="230">
        <v>911.5</v>
      </c>
      <c r="S26" s="230">
        <v>0</v>
      </c>
      <c r="T26" s="230">
        <v>911.5</v>
      </c>
      <c r="U26" s="231"/>
      <c r="V26" s="230"/>
      <c r="W26" s="230"/>
      <c r="X26" s="231"/>
      <c r="Y26" s="85">
        <v>0.5</v>
      </c>
      <c r="Z26" s="85"/>
      <c r="AA26" s="76"/>
      <c r="AB26" s="77"/>
      <c r="AC26" s="78"/>
    </row>
    <row r="27" spans="1:29" hidden="1" x14ac:dyDescent="0.2">
      <c r="A27" s="117" t="s">
        <v>665</v>
      </c>
      <c r="B27" s="118" t="e">
        <f t="shared" si="0"/>
        <v>#VALUE!</v>
      </c>
      <c r="C27" s="118" t="s">
        <v>612</v>
      </c>
      <c r="D27" s="84">
        <v>36362</v>
      </c>
      <c r="E27" s="84">
        <v>36404</v>
      </c>
      <c r="F27" s="84">
        <f t="shared" si="1"/>
        <v>40057</v>
      </c>
      <c r="G27" s="71"/>
      <c r="H27" s="71" t="s">
        <v>666</v>
      </c>
      <c r="I27" s="71" t="s">
        <v>614</v>
      </c>
      <c r="J27" s="66" t="s">
        <v>631</v>
      </c>
      <c r="K27" s="55">
        <f t="shared" si="2"/>
        <v>2009</v>
      </c>
      <c r="L27" s="67"/>
      <c r="M27" s="67"/>
      <c r="N27" s="73" t="s">
        <v>654</v>
      </c>
      <c r="O27" s="73" t="s">
        <v>667</v>
      </c>
      <c r="P27" s="74"/>
      <c r="Q27" s="75">
        <v>9907081</v>
      </c>
      <c r="R27" s="230">
        <v>3774.5</v>
      </c>
      <c r="S27" s="230">
        <v>0</v>
      </c>
      <c r="T27" s="230">
        <v>3774.5</v>
      </c>
      <c r="U27" s="231"/>
      <c r="V27" s="230"/>
      <c r="W27" s="230"/>
      <c r="X27" s="231"/>
      <c r="Y27" s="85">
        <v>0.5</v>
      </c>
      <c r="Z27" s="85"/>
      <c r="AA27" s="76"/>
      <c r="AB27" s="77"/>
      <c r="AC27" s="78"/>
    </row>
    <row r="28" spans="1:29" hidden="1" x14ac:dyDescent="0.2">
      <c r="A28" s="117" t="s">
        <v>668</v>
      </c>
      <c r="B28" s="118" t="e">
        <f t="shared" si="0"/>
        <v>#VALUE!</v>
      </c>
      <c r="C28" s="118" t="s">
        <v>612</v>
      </c>
      <c r="D28" s="84">
        <v>36362</v>
      </c>
      <c r="E28" s="84">
        <v>36404</v>
      </c>
      <c r="F28" s="84">
        <f t="shared" si="1"/>
        <v>40057</v>
      </c>
      <c r="G28" s="71"/>
      <c r="H28" s="71" t="s">
        <v>620</v>
      </c>
      <c r="I28" s="71" t="s">
        <v>614</v>
      </c>
      <c r="J28" s="66" t="s">
        <v>635</v>
      </c>
      <c r="K28" s="55">
        <f t="shared" si="2"/>
        <v>2009</v>
      </c>
      <c r="L28" s="67"/>
      <c r="M28" s="67"/>
      <c r="N28" s="73" t="s">
        <v>636</v>
      </c>
      <c r="O28" s="73" t="s">
        <v>669</v>
      </c>
      <c r="P28" s="74" t="s">
        <v>670</v>
      </c>
      <c r="Q28" s="75">
        <v>9907035</v>
      </c>
      <c r="R28" s="230">
        <v>3898.5</v>
      </c>
      <c r="S28" s="230">
        <v>0</v>
      </c>
      <c r="T28" s="230">
        <v>3898.5</v>
      </c>
      <c r="U28" s="231"/>
      <c r="V28" s="230"/>
      <c r="W28" s="230"/>
      <c r="X28" s="231"/>
      <c r="Y28" s="85">
        <v>0.5</v>
      </c>
      <c r="Z28" s="85"/>
      <c r="AA28" s="76"/>
      <c r="AB28" s="77"/>
      <c r="AC28" s="78"/>
    </row>
    <row r="29" spans="1:29" hidden="1" x14ac:dyDescent="0.2">
      <c r="A29" s="117" t="s">
        <v>671</v>
      </c>
      <c r="B29" s="118" t="e">
        <f t="shared" si="0"/>
        <v>#VALUE!</v>
      </c>
      <c r="C29" s="118" t="s">
        <v>612</v>
      </c>
      <c r="D29" s="84">
        <v>36362</v>
      </c>
      <c r="E29" s="84">
        <v>36404</v>
      </c>
      <c r="F29" s="84">
        <f t="shared" si="1"/>
        <v>40057</v>
      </c>
      <c r="G29" s="71"/>
      <c r="H29" s="71" t="s">
        <v>620</v>
      </c>
      <c r="I29" s="71" t="s">
        <v>614</v>
      </c>
      <c r="J29" s="66" t="s">
        <v>635</v>
      </c>
      <c r="K29" s="55">
        <f t="shared" si="2"/>
        <v>2009</v>
      </c>
      <c r="L29" s="67"/>
      <c r="M29" s="67"/>
      <c r="N29" s="73" t="s">
        <v>636</v>
      </c>
      <c r="O29" s="73" t="s">
        <v>672</v>
      </c>
      <c r="P29" s="74" t="s">
        <v>673</v>
      </c>
      <c r="Q29" s="75">
        <v>9907036</v>
      </c>
      <c r="R29" s="230">
        <v>3871.5</v>
      </c>
      <c r="S29" s="230">
        <v>0</v>
      </c>
      <c r="T29" s="230">
        <v>3871.5</v>
      </c>
      <c r="U29" s="231"/>
      <c r="V29" s="230"/>
      <c r="W29" s="230"/>
      <c r="X29" s="231"/>
      <c r="Y29" s="85">
        <v>0.5</v>
      </c>
      <c r="Z29" s="85"/>
      <c r="AA29" s="76"/>
      <c r="AB29" s="77"/>
      <c r="AC29" s="78"/>
    </row>
    <row r="30" spans="1:29" ht="27" hidden="1" customHeight="1" x14ac:dyDescent="0.2">
      <c r="A30" s="117" t="s">
        <v>674</v>
      </c>
      <c r="B30" s="118" t="e">
        <f t="shared" si="0"/>
        <v>#VALUE!</v>
      </c>
      <c r="C30" s="118" t="s">
        <v>612</v>
      </c>
      <c r="D30" s="84">
        <v>36426</v>
      </c>
      <c r="E30" s="84">
        <v>36465</v>
      </c>
      <c r="F30" s="84">
        <f t="shared" si="1"/>
        <v>40118</v>
      </c>
      <c r="G30" s="229"/>
      <c r="H30" s="71" t="s">
        <v>675</v>
      </c>
      <c r="I30" s="71" t="s">
        <v>676</v>
      </c>
      <c r="J30" s="66" t="s">
        <v>677</v>
      </c>
      <c r="K30" s="55">
        <f t="shared" si="2"/>
        <v>2009</v>
      </c>
      <c r="L30" s="66"/>
      <c r="M30" s="66"/>
      <c r="N30" s="73" t="s">
        <v>678</v>
      </c>
      <c r="O30" s="73" t="s">
        <v>679</v>
      </c>
      <c r="P30" s="74" t="s">
        <v>680</v>
      </c>
      <c r="Q30" s="75" t="s">
        <v>681</v>
      </c>
      <c r="R30" s="230">
        <v>215</v>
      </c>
      <c r="S30" s="230">
        <v>1720</v>
      </c>
      <c r="T30" s="230">
        <v>1935</v>
      </c>
      <c r="U30" s="231"/>
      <c r="V30" s="230"/>
      <c r="W30" s="230"/>
      <c r="X30" s="231"/>
      <c r="Y30" s="85">
        <v>0.5</v>
      </c>
      <c r="Z30" s="85"/>
      <c r="AA30" s="76"/>
      <c r="AB30" s="77"/>
      <c r="AC30" s="78"/>
    </row>
    <row r="31" spans="1:29" hidden="1" x14ac:dyDescent="0.2">
      <c r="A31" s="117" t="s">
        <v>682</v>
      </c>
      <c r="B31" s="118" t="e">
        <f t="shared" si="0"/>
        <v>#VALUE!</v>
      </c>
      <c r="C31" s="118" t="s">
        <v>612</v>
      </c>
      <c r="D31" s="84">
        <v>36426</v>
      </c>
      <c r="E31" s="84">
        <v>36465</v>
      </c>
      <c r="F31" s="84">
        <f t="shared" si="1"/>
        <v>40118</v>
      </c>
      <c r="G31" s="229"/>
      <c r="H31" s="71" t="s">
        <v>683</v>
      </c>
      <c r="I31" s="71" t="s">
        <v>684</v>
      </c>
      <c r="J31" s="66" t="s">
        <v>631</v>
      </c>
      <c r="K31" s="55">
        <f t="shared" si="2"/>
        <v>2009</v>
      </c>
      <c r="L31" s="67"/>
      <c r="M31" s="67"/>
      <c r="N31" s="73" t="s">
        <v>685</v>
      </c>
      <c r="O31" s="77" t="s">
        <v>686</v>
      </c>
      <c r="P31" s="74" t="s">
        <v>687</v>
      </c>
      <c r="Q31" s="75" t="s">
        <v>688</v>
      </c>
      <c r="R31" s="230">
        <v>222</v>
      </c>
      <c r="S31" s="230">
        <v>15666</v>
      </c>
      <c r="T31" s="230">
        <v>15888</v>
      </c>
      <c r="U31" s="231"/>
      <c r="V31" s="230"/>
      <c r="W31" s="230"/>
      <c r="X31" s="231"/>
      <c r="Y31" s="85">
        <v>0.5</v>
      </c>
      <c r="Z31" s="85"/>
      <c r="AA31" s="76"/>
      <c r="AB31" s="77"/>
      <c r="AC31" s="78"/>
    </row>
    <row r="32" spans="1:29" hidden="1" x14ac:dyDescent="0.2">
      <c r="A32" s="117" t="s">
        <v>689</v>
      </c>
      <c r="B32" s="118" t="e">
        <f t="shared" si="0"/>
        <v>#VALUE!</v>
      </c>
      <c r="C32" s="118" t="s">
        <v>612</v>
      </c>
      <c r="D32" s="84">
        <v>36426</v>
      </c>
      <c r="E32" s="84">
        <v>36465</v>
      </c>
      <c r="F32" s="84">
        <f t="shared" si="1"/>
        <v>40118</v>
      </c>
      <c r="G32" s="229"/>
      <c r="H32" s="71" t="s">
        <v>690</v>
      </c>
      <c r="I32" s="71" t="s">
        <v>691</v>
      </c>
      <c r="J32" s="66" t="s">
        <v>631</v>
      </c>
      <c r="K32" s="55">
        <f t="shared" si="2"/>
        <v>2009</v>
      </c>
      <c r="L32" s="67"/>
      <c r="M32" s="67"/>
      <c r="N32" s="73" t="s">
        <v>692</v>
      </c>
      <c r="O32" s="73" t="s">
        <v>693</v>
      </c>
      <c r="P32" s="74" t="s">
        <v>694</v>
      </c>
      <c r="Q32" s="75" t="s">
        <v>695</v>
      </c>
      <c r="R32" s="230">
        <v>638.5</v>
      </c>
      <c r="S32" s="230">
        <v>11753</v>
      </c>
      <c r="T32" s="230">
        <v>12391.5</v>
      </c>
      <c r="U32" s="231"/>
      <c r="V32" s="230"/>
      <c r="W32" s="230"/>
      <c r="X32" s="231"/>
      <c r="Y32" s="85">
        <v>0.5</v>
      </c>
      <c r="Z32" s="85"/>
      <c r="AA32" s="76"/>
      <c r="AB32" s="77"/>
      <c r="AC32" s="78"/>
    </row>
    <row r="33" spans="1:29" hidden="1" x14ac:dyDescent="0.2">
      <c r="A33" s="117"/>
      <c r="D33" s="84"/>
      <c r="E33" s="84"/>
      <c r="F33" s="84"/>
      <c r="G33" s="229"/>
      <c r="H33" s="71"/>
      <c r="I33" s="71"/>
      <c r="J33" s="66"/>
      <c r="K33" s="66"/>
      <c r="L33" s="67"/>
      <c r="M33" s="67"/>
      <c r="N33" s="73"/>
      <c r="O33" s="73"/>
      <c r="P33" s="74"/>
      <c r="Q33" s="75"/>
      <c r="R33" s="230"/>
      <c r="S33" s="230"/>
      <c r="T33" s="230"/>
      <c r="U33" s="231"/>
      <c r="V33" s="230"/>
      <c r="W33" s="230"/>
      <c r="X33" s="231"/>
      <c r="Y33" s="85"/>
      <c r="Z33" s="85"/>
      <c r="AA33" s="76"/>
      <c r="AB33" s="77"/>
      <c r="AC33" s="78"/>
    </row>
    <row r="34" spans="1:29" hidden="1" x14ac:dyDescent="0.2">
      <c r="A34" s="117" t="s">
        <v>696</v>
      </c>
      <c r="B34" s="118" t="e">
        <f>IF(COUNTIF(GIS,A36),"YES","NO")</f>
        <v>#VALUE!</v>
      </c>
      <c r="C34" s="118" t="s">
        <v>612</v>
      </c>
      <c r="D34" s="84">
        <v>36510</v>
      </c>
      <c r="E34" s="84">
        <v>36557</v>
      </c>
      <c r="F34" s="84">
        <f>DATE(YEAR(E34)+10,MONTH(E34),DAY(E34))</f>
        <v>40210</v>
      </c>
      <c r="G34" s="229">
        <v>199.75</v>
      </c>
      <c r="H34" s="71" t="s">
        <v>697</v>
      </c>
      <c r="I34" s="71" t="s">
        <v>684</v>
      </c>
      <c r="J34" s="66" t="s">
        <v>698</v>
      </c>
      <c r="K34" s="55">
        <f>YEAR(F34)</f>
        <v>2010</v>
      </c>
      <c r="L34" s="67"/>
      <c r="M34" s="67"/>
      <c r="N34" s="73" t="s">
        <v>685</v>
      </c>
      <c r="O34" s="73" t="s">
        <v>699</v>
      </c>
      <c r="P34" s="74" t="s">
        <v>700</v>
      </c>
      <c r="Q34" s="75" t="s">
        <v>701</v>
      </c>
      <c r="R34" s="230">
        <v>775</v>
      </c>
      <c r="S34" s="230">
        <v>54600</v>
      </c>
      <c r="T34" s="230">
        <v>55375</v>
      </c>
      <c r="U34" s="231">
        <v>400</v>
      </c>
      <c r="V34" s="230"/>
      <c r="W34" s="230"/>
      <c r="X34" s="231"/>
      <c r="Y34" s="85">
        <v>0.5</v>
      </c>
      <c r="Z34" s="85"/>
      <c r="AA34" s="76"/>
      <c r="AB34" s="77"/>
      <c r="AC34" s="78"/>
    </row>
    <row r="35" spans="1:29" ht="27" hidden="1" customHeight="1" x14ac:dyDescent="0.2">
      <c r="A35" s="117" t="s">
        <v>702</v>
      </c>
      <c r="B35" s="118" t="e">
        <f>IF(COUNTIF(GIS,A37),"YES","NO")</f>
        <v>#VALUE!</v>
      </c>
      <c r="C35" s="118" t="s">
        <v>612</v>
      </c>
      <c r="D35" s="84">
        <v>36510</v>
      </c>
      <c r="E35" s="84">
        <v>36557</v>
      </c>
      <c r="F35" s="84">
        <f>DATE(YEAR(E35)+10,MONTH(E35),DAY(E35))</f>
        <v>40210</v>
      </c>
      <c r="G35" s="229">
        <v>433.54</v>
      </c>
      <c r="H35" s="71" t="s">
        <v>703</v>
      </c>
      <c r="I35" s="71" t="s">
        <v>691</v>
      </c>
      <c r="J35" s="66" t="s">
        <v>704</v>
      </c>
      <c r="K35" s="55">
        <f>YEAR(F35)</f>
        <v>2010</v>
      </c>
      <c r="L35" s="67"/>
      <c r="M35" s="67"/>
      <c r="N35" s="73" t="s">
        <v>685</v>
      </c>
      <c r="O35" s="73" t="s">
        <v>705</v>
      </c>
      <c r="P35" s="74" t="s">
        <v>706</v>
      </c>
      <c r="Q35" s="75" t="s">
        <v>707</v>
      </c>
      <c r="R35" s="230">
        <v>1594</v>
      </c>
      <c r="S35" s="230">
        <v>42532</v>
      </c>
      <c r="T35" s="230">
        <v>44126</v>
      </c>
      <c r="U35" s="231">
        <v>868</v>
      </c>
      <c r="V35" s="230"/>
      <c r="W35" s="230"/>
      <c r="X35" s="231"/>
      <c r="Y35" s="85">
        <v>0.5</v>
      </c>
      <c r="Z35" s="85"/>
      <c r="AA35" s="76"/>
      <c r="AB35" s="77"/>
      <c r="AC35" s="78"/>
    </row>
    <row r="36" spans="1:29" ht="53" hidden="1" customHeight="1" x14ac:dyDescent="0.2">
      <c r="A36" s="117" t="s">
        <v>708</v>
      </c>
      <c r="B36" s="118" t="e">
        <f>IF(COUNTIF(GIS,A38),"YES","NO")</f>
        <v>#VALUE!</v>
      </c>
      <c r="C36" s="118" t="s">
        <v>612</v>
      </c>
      <c r="D36" s="84">
        <v>36510</v>
      </c>
      <c r="E36" s="84">
        <v>36557</v>
      </c>
      <c r="F36" s="84">
        <f>DATE(YEAR(E36)+10,MONTH(E36),DAY(E36))</f>
        <v>40210</v>
      </c>
      <c r="G36" s="232"/>
      <c r="H36" s="71" t="s">
        <v>709</v>
      </c>
      <c r="I36" s="71" t="s">
        <v>691</v>
      </c>
      <c r="J36" s="72" t="s">
        <v>710</v>
      </c>
      <c r="K36" s="55">
        <f>YEAR(F36)</f>
        <v>2010</v>
      </c>
      <c r="L36" s="72"/>
      <c r="M36" s="72"/>
      <c r="N36" s="73" t="s">
        <v>711</v>
      </c>
      <c r="O36" s="73" t="s">
        <v>712</v>
      </c>
      <c r="P36" s="74" t="s">
        <v>713</v>
      </c>
      <c r="Q36" s="75" t="s">
        <v>714</v>
      </c>
      <c r="R36" s="230">
        <v>1664</v>
      </c>
      <c r="S36" s="230">
        <v>6356</v>
      </c>
      <c r="T36" s="230">
        <v>8020</v>
      </c>
      <c r="U36" s="231"/>
      <c r="V36" s="230"/>
      <c r="W36" s="230"/>
      <c r="X36" s="231"/>
      <c r="Y36" s="85">
        <v>0.5</v>
      </c>
      <c r="Z36" s="85"/>
      <c r="AA36" s="76"/>
      <c r="AB36" s="77"/>
      <c r="AC36" s="78"/>
    </row>
    <row r="37" spans="1:29" hidden="1" x14ac:dyDescent="0.2">
      <c r="A37" s="117"/>
      <c r="D37" s="84">
        <v>36525</v>
      </c>
      <c r="E37" s="84">
        <v>36525</v>
      </c>
      <c r="F37" s="84">
        <f>DATE(YEAR(E37)+10,MONTH(E37),DAY(E37))</f>
        <v>40178</v>
      </c>
      <c r="G37" s="58"/>
      <c r="H37" s="58"/>
      <c r="I37" s="58"/>
      <c r="J37" s="72" t="s">
        <v>715</v>
      </c>
      <c r="K37" s="72"/>
      <c r="L37" s="81"/>
      <c r="M37" s="81"/>
      <c r="N37" s="77"/>
      <c r="O37" s="59"/>
      <c r="P37" s="74"/>
      <c r="S37" s="233">
        <v>577.51</v>
      </c>
      <c r="T37" s="234">
        <v>577.51</v>
      </c>
      <c r="U37" s="235"/>
      <c r="V37" s="236"/>
      <c r="W37" s="236"/>
      <c r="X37" s="235"/>
      <c r="Y37" s="85"/>
      <c r="Z37" s="85"/>
      <c r="AA37" s="76"/>
      <c r="AB37" s="61"/>
      <c r="AC37" s="58"/>
    </row>
    <row r="38" spans="1:29" hidden="1" x14ac:dyDescent="0.2">
      <c r="A38" s="117"/>
      <c r="D38" s="84">
        <v>36525</v>
      </c>
      <c r="E38" s="84">
        <v>36525</v>
      </c>
      <c r="F38" s="84">
        <f>DATE(YEAR(E38)+10,MONTH(E38),DAY(E38))</f>
        <v>40178</v>
      </c>
      <c r="G38" s="58"/>
      <c r="H38" s="58"/>
      <c r="I38" s="58"/>
      <c r="J38" s="72" t="s">
        <v>716</v>
      </c>
      <c r="K38" s="72"/>
      <c r="L38" s="81"/>
      <c r="M38" s="81"/>
      <c r="N38" s="77"/>
      <c r="O38" s="59"/>
      <c r="P38" s="74"/>
      <c r="S38" s="234">
        <v>300</v>
      </c>
      <c r="T38" s="234">
        <v>300</v>
      </c>
      <c r="U38" s="235"/>
      <c r="V38" s="236"/>
      <c r="W38" s="236"/>
      <c r="X38" s="235"/>
      <c r="Y38" s="85"/>
      <c r="Z38" s="85"/>
      <c r="AA38" s="76"/>
      <c r="AB38" s="61"/>
      <c r="AC38" s="58"/>
    </row>
    <row r="39" spans="1:29" hidden="1" x14ac:dyDescent="0.2">
      <c r="A39" s="117"/>
      <c r="D39" s="84"/>
      <c r="E39" s="84"/>
      <c r="F39" s="84"/>
      <c r="G39" s="58"/>
      <c r="H39" s="58"/>
      <c r="I39" s="58"/>
      <c r="J39" s="72"/>
      <c r="K39" s="72"/>
      <c r="L39" s="81"/>
      <c r="M39" s="81"/>
      <c r="N39" s="77"/>
      <c r="O39" s="59"/>
      <c r="P39" s="74"/>
      <c r="S39" s="234"/>
      <c r="T39" s="234"/>
      <c r="U39" s="235"/>
      <c r="V39" s="236"/>
      <c r="W39" s="236"/>
      <c r="X39" s="235"/>
      <c r="Y39" s="85"/>
      <c r="Z39" s="85"/>
      <c r="AA39" s="76"/>
      <c r="AB39" s="61"/>
      <c r="AC39" s="58"/>
    </row>
    <row r="40" spans="1:29" hidden="1" x14ac:dyDescent="0.2">
      <c r="A40" s="117" t="s">
        <v>717</v>
      </c>
      <c r="B40" s="118" t="e">
        <f t="shared" ref="B40:B45" si="3">IF(COUNTIF(GIS,A42),"YES","NO")</f>
        <v>#VALUE!</v>
      </c>
      <c r="C40" s="118" t="s">
        <v>612</v>
      </c>
      <c r="D40" s="84">
        <v>36608</v>
      </c>
      <c r="F40" s="84"/>
      <c r="G40" s="237"/>
      <c r="H40" s="237"/>
      <c r="I40" s="71" t="s">
        <v>691</v>
      </c>
      <c r="J40" s="88" t="s">
        <v>718</v>
      </c>
      <c r="K40" s="55"/>
      <c r="L40" s="89"/>
      <c r="M40" s="89"/>
      <c r="N40" s="73"/>
      <c r="O40" s="73"/>
      <c r="P40" s="74"/>
      <c r="Q40" s="75"/>
      <c r="R40" s="230">
        <v>298.5</v>
      </c>
      <c r="S40" s="230">
        <v>-223.5</v>
      </c>
      <c r="T40" s="230">
        <v>75</v>
      </c>
      <c r="U40" s="231"/>
      <c r="V40" s="230"/>
      <c r="W40" s="230"/>
      <c r="X40" s="231"/>
      <c r="Y40" s="85"/>
      <c r="Z40" s="85"/>
      <c r="AA40" s="76"/>
      <c r="AB40" s="77"/>
      <c r="AC40" s="78"/>
    </row>
    <row r="41" spans="1:29" hidden="1" x14ac:dyDescent="0.2">
      <c r="A41" s="117" t="s">
        <v>719</v>
      </c>
      <c r="B41" s="118" t="e">
        <f t="shared" si="3"/>
        <v>#VALUE!</v>
      </c>
      <c r="C41" s="118" t="s">
        <v>612</v>
      </c>
      <c r="D41" s="84">
        <v>36608</v>
      </c>
      <c r="F41" s="84"/>
      <c r="G41" s="237"/>
      <c r="H41" s="237"/>
      <c r="I41" s="71" t="s">
        <v>691</v>
      </c>
      <c r="J41" s="88" t="s">
        <v>720</v>
      </c>
      <c r="K41" s="55"/>
      <c r="L41" s="89"/>
      <c r="M41" s="89"/>
      <c r="N41" s="73"/>
      <c r="O41" s="73"/>
      <c r="P41" s="74"/>
      <c r="Q41" s="75"/>
      <c r="R41" s="230">
        <v>745.5</v>
      </c>
      <c r="S41" s="230">
        <v>-670.5</v>
      </c>
      <c r="T41" s="230">
        <v>75</v>
      </c>
      <c r="U41" s="231"/>
      <c r="V41" s="230"/>
      <c r="W41" s="230"/>
      <c r="X41" s="231"/>
      <c r="Y41" s="85"/>
      <c r="Z41" s="85"/>
      <c r="AA41" s="76"/>
      <c r="AB41" s="77"/>
      <c r="AC41" s="78"/>
    </row>
    <row r="42" spans="1:29" hidden="1" x14ac:dyDescent="0.2">
      <c r="A42" s="117" t="s">
        <v>721</v>
      </c>
      <c r="B42" s="118" t="e">
        <f t="shared" si="3"/>
        <v>#VALUE!</v>
      </c>
      <c r="C42" s="118" t="s">
        <v>612</v>
      </c>
      <c r="D42" s="84">
        <v>36608</v>
      </c>
      <c r="E42" s="84">
        <v>36617</v>
      </c>
      <c r="F42" s="84">
        <f>DATE(YEAR(E42)+10,MONTH(E42),DAY(E42))</f>
        <v>40269</v>
      </c>
      <c r="G42" s="229">
        <v>376.8</v>
      </c>
      <c r="H42" s="62" t="s">
        <v>722</v>
      </c>
      <c r="I42" s="62" t="s">
        <v>691</v>
      </c>
      <c r="J42" s="66" t="s">
        <v>698</v>
      </c>
      <c r="K42" s="55">
        <f>YEAR(F42)</f>
        <v>2010</v>
      </c>
      <c r="L42" s="67"/>
      <c r="M42" s="67"/>
      <c r="N42" s="77" t="s">
        <v>723</v>
      </c>
      <c r="O42" s="73" t="s">
        <v>724</v>
      </c>
      <c r="P42" s="74" t="s">
        <v>725</v>
      </c>
      <c r="Q42" s="75" t="s">
        <v>726</v>
      </c>
      <c r="R42" s="230">
        <v>640.5</v>
      </c>
      <c r="S42" s="230">
        <v>0</v>
      </c>
      <c r="T42" s="230">
        <v>640.5</v>
      </c>
      <c r="U42" s="231">
        <v>754</v>
      </c>
      <c r="V42" s="230"/>
      <c r="W42" s="230"/>
      <c r="X42" s="231"/>
      <c r="Y42" s="85">
        <v>0.5</v>
      </c>
      <c r="Z42" s="85"/>
      <c r="AA42" s="76"/>
      <c r="AB42" s="77"/>
      <c r="AC42" s="78"/>
    </row>
    <row r="43" spans="1:29" hidden="1" x14ac:dyDescent="0.2">
      <c r="A43" s="117" t="s">
        <v>727</v>
      </c>
      <c r="B43" s="118" t="e">
        <f t="shared" si="3"/>
        <v>#VALUE!</v>
      </c>
      <c r="C43" s="118" t="s">
        <v>612</v>
      </c>
      <c r="D43" s="84">
        <v>36608</v>
      </c>
      <c r="F43" s="84"/>
      <c r="G43" s="237"/>
      <c r="H43" s="237"/>
      <c r="I43" s="71" t="s">
        <v>691</v>
      </c>
      <c r="J43" s="88" t="s">
        <v>728</v>
      </c>
      <c r="K43" s="55"/>
      <c r="L43" s="89"/>
      <c r="M43" s="89"/>
      <c r="N43" s="73"/>
      <c r="O43" s="73" t="s">
        <v>729</v>
      </c>
      <c r="P43" s="74" t="s">
        <v>729</v>
      </c>
      <c r="Q43" s="75"/>
      <c r="R43" s="230">
        <v>586.5</v>
      </c>
      <c r="S43" s="230">
        <v>-511.5</v>
      </c>
      <c r="T43" s="230">
        <v>75</v>
      </c>
      <c r="U43" s="231"/>
      <c r="V43" s="230"/>
      <c r="W43" s="230"/>
      <c r="X43" s="231"/>
      <c r="Y43" s="85"/>
      <c r="Z43" s="85"/>
      <c r="AA43" s="76"/>
      <c r="AB43" s="77"/>
      <c r="AC43" s="78"/>
    </row>
    <row r="44" spans="1:29" hidden="1" x14ac:dyDescent="0.2">
      <c r="A44" s="117" t="s">
        <v>730</v>
      </c>
      <c r="B44" s="118" t="e">
        <f t="shared" si="3"/>
        <v>#VALUE!</v>
      </c>
      <c r="C44" s="118" t="s">
        <v>612</v>
      </c>
      <c r="D44" s="84">
        <v>36608</v>
      </c>
      <c r="E44" s="84">
        <v>36617</v>
      </c>
      <c r="F44" s="84">
        <f>DATE(YEAR(E44)+10,MONTH(E44),DAY(E44))</f>
        <v>40269</v>
      </c>
      <c r="G44" s="229">
        <v>152.11000000000001</v>
      </c>
      <c r="H44" s="62" t="s">
        <v>722</v>
      </c>
      <c r="I44" s="62" t="s">
        <v>691</v>
      </c>
      <c r="J44" s="66" t="s">
        <v>698</v>
      </c>
      <c r="K44" s="55">
        <f>YEAR(F44)</f>
        <v>2010</v>
      </c>
      <c r="L44" s="67"/>
      <c r="M44" s="67"/>
      <c r="N44" s="77" t="s">
        <v>723</v>
      </c>
      <c r="O44" s="73" t="s">
        <v>724</v>
      </c>
      <c r="P44" s="74" t="s">
        <v>731</v>
      </c>
      <c r="Q44" s="75" t="s">
        <v>732</v>
      </c>
      <c r="R44" s="230">
        <v>304.5</v>
      </c>
      <c r="S44" s="230">
        <v>0</v>
      </c>
      <c r="T44" s="230">
        <v>304.5</v>
      </c>
      <c r="U44" s="231">
        <v>306</v>
      </c>
      <c r="V44" s="230"/>
      <c r="W44" s="230"/>
      <c r="X44" s="231"/>
      <c r="Y44" s="85">
        <v>0.5</v>
      </c>
      <c r="Z44" s="85"/>
      <c r="AA44" s="76"/>
      <c r="AB44" s="77"/>
      <c r="AC44" s="78"/>
    </row>
    <row r="45" spans="1:29" hidden="1" x14ac:dyDescent="0.2">
      <c r="A45" s="117" t="s">
        <v>733</v>
      </c>
      <c r="B45" s="118" t="e">
        <f t="shared" si="3"/>
        <v>#VALUE!</v>
      </c>
      <c r="C45" s="118" t="s">
        <v>612</v>
      </c>
      <c r="D45" s="84">
        <v>36608</v>
      </c>
      <c r="E45" s="84">
        <v>36617</v>
      </c>
      <c r="F45" s="84">
        <f>DATE(YEAR(E45)+10,MONTH(E45),DAY(E45))</f>
        <v>40269</v>
      </c>
      <c r="G45" s="229">
        <v>39.65</v>
      </c>
      <c r="H45" s="71" t="s">
        <v>703</v>
      </c>
      <c r="I45" s="71" t="s">
        <v>691</v>
      </c>
      <c r="J45" s="66" t="s">
        <v>698</v>
      </c>
      <c r="K45" s="55">
        <f>YEAR(F45)</f>
        <v>2010</v>
      </c>
      <c r="L45" s="67"/>
      <c r="M45" s="67"/>
      <c r="N45" s="73" t="s">
        <v>692</v>
      </c>
      <c r="O45" s="73" t="s">
        <v>734</v>
      </c>
      <c r="P45" s="74" t="s">
        <v>735</v>
      </c>
      <c r="Q45" s="75" t="s">
        <v>736</v>
      </c>
      <c r="R45" s="230">
        <v>13135</v>
      </c>
      <c r="S45" s="230">
        <v>0</v>
      </c>
      <c r="T45" s="230">
        <v>13135</v>
      </c>
      <c r="U45" s="231">
        <v>80</v>
      </c>
      <c r="V45" s="230"/>
      <c r="W45" s="230"/>
      <c r="X45" s="231"/>
      <c r="Y45" s="85">
        <v>0.5</v>
      </c>
      <c r="Z45" s="85"/>
      <c r="AA45" s="76"/>
      <c r="AB45" s="77"/>
      <c r="AC45" s="78"/>
    </row>
    <row r="46" spans="1:29" hidden="1" x14ac:dyDescent="0.2">
      <c r="A46" s="117"/>
      <c r="D46" s="84"/>
      <c r="E46" s="84"/>
      <c r="F46" s="84"/>
      <c r="G46" s="229"/>
      <c r="H46" s="71"/>
      <c r="I46" s="71"/>
      <c r="J46" s="66"/>
      <c r="K46" s="66"/>
      <c r="L46" s="67"/>
      <c r="M46" s="67"/>
      <c r="N46" s="73"/>
      <c r="O46" s="73"/>
      <c r="P46" s="74"/>
      <c r="Q46" s="75"/>
      <c r="R46" s="230"/>
      <c r="S46" s="230"/>
      <c r="T46" s="230"/>
      <c r="U46" s="231"/>
      <c r="V46" s="230"/>
      <c r="W46" s="230"/>
      <c r="X46" s="231"/>
      <c r="Y46" s="85"/>
      <c r="Z46" s="85"/>
      <c r="AA46" s="76"/>
      <c r="AB46" s="77"/>
      <c r="AC46" s="78"/>
    </row>
    <row r="47" spans="1:29" hidden="1" x14ac:dyDescent="0.2">
      <c r="A47" s="117" t="s">
        <v>737</v>
      </c>
      <c r="B47" s="118" t="e">
        <f t="shared" ref="B47:B69" si="4">IF(COUNTIF(GIS,A49),"YES","NO")</f>
        <v>#VALUE!</v>
      </c>
      <c r="C47" s="118" t="s">
        <v>612</v>
      </c>
      <c r="D47" s="84">
        <v>36706</v>
      </c>
      <c r="E47" s="84">
        <v>36800</v>
      </c>
      <c r="F47" s="84">
        <f t="shared" ref="F47:F69" si="5">DATE(YEAR(E47)+10,MONTH(E47),DAY(E47))</f>
        <v>40452</v>
      </c>
      <c r="G47" s="229">
        <v>80</v>
      </c>
      <c r="H47" s="71" t="s">
        <v>738</v>
      </c>
      <c r="I47" s="71" t="s">
        <v>684</v>
      </c>
      <c r="J47" s="66" t="s">
        <v>698</v>
      </c>
      <c r="K47" s="55">
        <f t="shared" ref="K47:K69" si="6">YEAR(F47)</f>
        <v>2010</v>
      </c>
      <c r="L47" s="67"/>
      <c r="M47" s="67"/>
      <c r="N47" s="73" t="s">
        <v>685</v>
      </c>
      <c r="O47" s="73" t="s">
        <v>739</v>
      </c>
      <c r="P47" s="74" t="s">
        <v>740</v>
      </c>
      <c r="Q47" s="75" t="s">
        <v>741</v>
      </c>
      <c r="R47" s="230">
        <v>355</v>
      </c>
      <c r="S47" s="230">
        <v>15840</v>
      </c>
      <c r="T47" s="230">
        <v>16195</v>
      </c>
      <c r="U47" s="231">
        <v>160</v>
      </c>
      <c r="V47" s="230"/>
      <c r="W47" s="230"/>
      <c r="X47" s="231"/>
      <c r="Y47" s="85">
        <v>0.5</v>
      </c>
      <c r="Z47" s="85"/>
      <c r="AA47" s="76"/>
      <c r="AB47" s="77"/>
      <c r="AC47" s="78"/>
    </row>
    <row r="48" spans="1:29" hidden="1" x14ac:dyDescent="0.2">
      <c r="A48" s="117" t="s">
        <v>742</v>
      </c>
      <c r="B48" s="118" t="e">
        <f t="shared" si="4"/>
        <v>#VALUE!</v>
      </c>
      <c r="C48" s="118" t="s">
        <v>612</v>
      </c>
      <c r="D48" s="84">
        <v>36706</v>
      </c>
      <c r="E48" s="84">
        <v>36739</v>
      </c>
      <c r="F48" s="84">
        <f t="shared" si="5"/>
        <v>40391</v>
      </c>
      <c r="G48" s="229">
        <v>600</v>
      </c>
      <c r="H48" s="71" t="s">
        <v>703</v>
      </c>
      <c r="I48" s="71" t="s">
        <v>691</v>
      </c>
      <c r="J48" s="66" t="s">
        <v>698</v>
      </c>
      <c r="K48" s="55">
        <f t="shared" si="6"/>
        <v>2010</v>
      </c>
      <c r="L48" s="67"/>
      <c r="M48" s="67"/>
      <c r="N48" s="73" t="s">
        <v>692</v>
      </c>
      <c r="O48" s="73" t="s">
        <v>743</v>
      </c>
      <c r="P48" s="74" t="s">
        <v>744</v>
      </c>
      <c r="Q48" s="75" t="s">
        <v>745</v>
      </c>
      <c r="R48" s="230">
        <v>2175</v>
      </c>
      <c r="S48" s="230">
        <v>0</v>
      </c>
      <c r="T48" s="230">
        <v>2175</v>
      </c>
      <c r="U48" s="231">
        <v>1200</v>
      </c>
      <c r="V48" s="230"/>
      <c r="W48" s="230"/>
      <c r="X48" s="231"/>
      <c r="Y48" s="85">
        <v>0.5</v>
      </c>
      <c r="Z48" s="85"/>
      <c r="AA48" s="76"/>
      <c r="AB48" s="77"/>
      <c r="AC48" s="78"/>
    </row>
    <row r="49" spans="1:29" hidden="1" x14ac:dyDescent="0.2">
      <c r="A49" s="117" t="s">
        <v>746</v>
      </c>
      <c r="B49" s="118" t="e">
        <f t="shared" si="4"/>
        <v>#VALUE!</v>
      </c>
      <c r="C49" s="118" t="s">
        <v>612</v>
      </c>
      <c r="D49" s="84">
        <v>36706</v>
      </c>
      <c r="E49" s="84">
        <v>36739</v>
      </c>
      <c r="F49" s="84">
        <f t="shared" si="5"/>
        <v>40391</v>
      </c>
      <c r="G49" s="229">
        <v>160.4</v>
      </c>
      <c r="H49" s="71" t="s">
        <v>703</v>
      </c>
      <c r="I49" s="71" t="s">
        <v>691</v>
      </c>
      <c r="J49" s="66" t="s">
        <v>698</v>
      </c>
      <c r="K49" s="55">
        <f t="shared" si="6"/>
        <v>2010</v>
      </c>
      <c r="L49" s="67"/>
      <c r="M49" s="67"/>
      <c r="N49" s="73" t="s">
        <v>692</v>
      </c>
      <c r="O49" s="73" t="s">
        <v>743</v>
      </c>
      <c r="P49" s="74" t="s">
        <v>747</v>
      </c>
      <c r="Q49" s="75" t="s">
        <v>748</v>
      </c>
      <c r="R49" s="230">
        <v>638.5</v>
      </c>
      <c r="S49" s="230">
        <v>644</v>
      </c>
      <c r="T49" s="230">
        <v>1282.5</v>
      </c>
      <c r="U49" s="231">
        <v>322</v>
      </c>
      <c r="V49" s="230"/>
      <c r="W49" s="230"/>
      <c r="X49" s="231"/>
      <c r="Y49" s="85">
        <v>0.5</v>
      </c>
      <c r="Z49" s="85"/>
      <c r="AA49" s="76"/>
      <c r="AB49" s="77"/>
      <c r="AC49" s="78"/>
    </row>
    <row r="50" spans="1:29" hidden="1" x14ac:dyDescent="0.2">
      <c r="A50" s="117" t="s">
        <v>749</v>
      </c>
      <c r="B50" s="118" t="e">
        <f t="shared" si="4"/>
        <v>#VALUE!</v>
      </c>
      <c r="C50" s="118" t="s">
        <v>612</v>
      </c>
      <c r="D50" s="84">
        <v>36706</v>
      </c>
      <c r="E50" s="84">
        <v>36739</v>
      </c>
      <c r="F50" s="84">
        <f t="shared" si="5"/>
        <v>40391</v>
      </c>
      <c r="G50" s="229">
        <v>561.13800000000003</v>
      </c>
      <c r="H50" s="71" t="s">
        <v>703</v>
      </c>
      <c r="I50" s="71" t="s">
        <v>691</v>
      </c>
      <c r="J50" s="66" t="s">
        <v>698</v>
      </c>
      <c r="K50" s="55">
        <f t="shared" si="6"/>
        <v>2010</v>
      </c>
      <c r="L50" s="67"/>
      <c r="M50" s="67"/>
      <c r="N50" s="73" t="s">
        <v>692</v>
      </c>
      <c r="O50" s="73" t="s">
        <v>743</v>
      </c>
      <c r="P50" s="74" t="s">
        <v>750</v>
      </c>
      <c r="Q50" s="75" t="s">
        <v>751</v>
      </c>
      <c r="R50" s="230">
        <v>2042</v>
      </c>
      <c r="S50" s="230">
        <v>1124</v>
      </c>
      <c r="T50" s="230">
        <v>3166</v>
      </c>
      <c r="U50" s="231">
        <v>1124</v>
      </c>
      <c r="V50" s="230"/>
      <c r="W50" s="230"/>
      <c r="X50" s="231"/>
      <c r="Y50" s="85">
        <v>0.5</v>
      </c>
      <c r="Z50" s="85"/>
      <c r="AA50" s="76"/>
      <c r="AB50" s="77"/>
      <c r="AC50" s="78"/>
    </row>
    <row r="51" spans="1:29" hidden="1" x14ac:dyDescent="0.2">
      <c r="A51" s="117" t="s">
        <v>752</v>
      </c>
      <c r="B51" s="118" t="e">
        <f t="shared" si="4"/>
        <v>#VALUE!</v>
      </c>
      <c r="C51" s="118" t="s">
        <v>612</v>
      </c>
      <c r="D51" s="84">
        <v>36706</v>
      </c>
      <c r="E51" s="84">
        <v>36739</v>
      </c>
      <c r="F51" s="84">
        <f t="shared" si="5"/>
        <v>40391</v>
      </c>
      <c r="G51" s="229">
        <v>639.5</v>
      </c>
      <c r="H51" s="71" t="s">
        <v>703</v>
      </c>
      <c r="I51" s="71" t="s">
        <v>691</v>
      </c>
      <c r="J51" s="66" t="s">
        <v>698</v>
      </c>
      <c r="K51" s="55">
        <f t="shared" si="6"/>
        <v>2010</v>
      </c>
      <c r="L51" s="67"/>
      <c r="M51" s="67"/>
      <c r="N51" s="73" t="s">
        <v>692</v>
      </c>
      <c r="O51" s="73" t="s">
        <v>753</v>
      </c>
      <c r="P51" s="74" t="s">
        <v>754</v>
      </c>
      <c r="Q51" s="75" t="s">
        <v>755</v>
      </c>
      <c r="R51" s="230">
        <v>2315</v>
      </c>
      <c r="S51" s="230">
        <v>2560</v>
      </c>
      <c r="T51" s="230">
        <v>4875</v>
      </c>
      <c r="U51" s="231">
        <v>1280</v>
      </c>
      <c r="V51" s="230"/>
      <c r="W51" s="230"/>
      <c r="X51" s="231"/>
      <c r="Y51" s="85">
        <v>0.5</v>
      </c>
      <c r="Z51" s="85"/>
      <c r="AA51" s="76"/>
      <c r="AB51" s="77"/>
      <c r="AC51" s="78"/>
    </row>
    <row r="52" spans="1:29" hidden="1" x14ac:dyDescent="0.2">
      <c r="A52" s="117" t="s">
        <v>756</v>
      </c>
      <c r="B52" s="118" t="e">
        <f t="shared" si="4"/>
        <v>#VALUE!</v>
      </c>
      <c r="C52" s="118" t="s">
        <v>612</v>
      </c>
      <c r="D52" s="84">
        <v>36706</v>
      </c>
      <c r="E52" s="84">
        <v>36739</v>
      </c>
      <c r="F52" s="84">
        <f t="shared" si="5"/>
        <v>40391</v>
      </c>
      <c r="G52" s="229">
        <v>481.05</v>
      </c>
      <c r="H52" s="71" t="s">
        <v>703</v>
      </c>
      <c r="I52" s="71" t="s">
        <v>691</v>
      </c>
      <c r="J52" s="66" t="s">
        <v>698</v>
      </c>
      <c r="K52" s="55">
        <f t="shared" si="6"/>
        <v>2010</v>
      </c>
      <c r="L52" s="67"/>
      <c r="M52" s="67"/>
      <c r="N52" s="73" t="s">
        <v>692</v>
      </c>
      <c r="O52" s="73" t="s">
        <v>753</v>
      </c>
      <c r="P52" s="74" t="s">
        <v>757</v>
      </c>
      <c r="Q52" s="75" t="s">
        <v>758</v>
      </c>
      <c r="R52" s="230">
        <v>1762</v>
      </c>
      <c r="S52" s="230">
        <v>0</v>
      </c>
      <c r="T52" s="230">
        <v>1762</v>
      </c>
      <c r="U52" s="231">
        <v>964</v>
      </c>
      <c r="V52" s="230"/>
      <c r="W52" s="230"/>
      <c r="X52" s="231"/>
      <c r="Y52" s="85">
        <v>0.5</v>
      </c>
      <c r="Z52" s="85"/>
      <c r="AA52" s="76"/>
      <c r="AB52" s="77"/>
      <c r="AC52" s="78"/>
    </row>
    <row r="53" spans="1:29" hidden="1" x14ac:dyDescent="0.2">
      <c r="A53" s="117" t="s">
        <v>759</v>
      </c>
      <c r="B53" s="118" t="e">
        <f t="shared" si="4"/>
        <v>#VALUE!</v>
      </c>
      <c r="C53" s="118" t="s">
        <v>612</v>
      </c>
      <c r="D53" s="84">
        <v>36706</v>
      </c>
      <c r="E53" s="84">
        <v>36739</v>
      </c>
      <c r="F53" s="84">
        <f t="shared" si="5"/>
        <v>40391</v>
      </c>
      <c r="G53" s="229">
        <v>479.25</v>
      </c>
      <c r="H53" s="71" t="s">
        <v>703</v>
      </c>
      <c r="I53" s="71" t="s">
        <v>691</v>
      </c>
      <c r="J53" s="66" t="s">
        <v>698</v>
      </c>
      <c r="K53" s="55">
        <f t="shared" si="6"/>
        <v>2010</v>
      </c>
      <c r="L53" s="67"/>
      <c r="M53" s="67"/>
      <c r="N53" s="73" t="s">
        <v>692</v>
      </c>
      <c r="O53" s="73" t="s">
        <v>753</v>
      </c>
      <c r="P53" s="74" t="s">
        <v>760</v>
      </c>
      <c r="Q53" s="75" t="s">
        <v>761</v>
      </c>
      <c r="R53" s="230">
        <v>1755</v>
      </c>
      <c r="S53" s="230">
        <v>1920</v>
      </c>
      <c r="T53" s="230">
        <v>3675</v>
      </c>
      <c r="U53" s="231">
        <v>960</v>
      </c>
      <c r="V53" s="230"/>
      <c r="W53" s="230"/>
      <c r="X53" s="231"/>
      <c r="Y53" s="85">
        <v>0.5</v>
      </c>
      <c r="Z53" s="85"/>
      <c r="AA53" s="76"/>
      <c r="AB53" s="77"/>
      <c r="AC53" s="78"/>
    </row>
    <row r="54" spans="1:29" hidden="1" x14ac:dyDescent="0.2">
      <c r="A54" s="117" t="s">
        <v>762</v>
      </c>
      <c r="B54" s="118" t="e">
        <f t="shared" si="4"/>
        <v>#VALUE!</v>
      </c>
      <c r="C54" s="118" t="s">
        <v>612</v>
      </c>
      <c r="D54" s="84">
        <v>36706</v>
      </c>
      <c r="E54" s="84">
        <v>36739</v>
      </c>
      <c r="F54" s="84">
        <f t="shared" si="5"/>
        <v>40391</v>
      </c>
      <c r="G54" s="229">
        <v>437.93799999999999</v>
      </c>
      <c r="H54" s="71" t="s">
        <v>703</v>
      </c>
      <c r="I54" s="71" t="s">
        <v>691</v>
      </c>
      <c r="J54" s="66" t="s">
        <v>698</v>
      </c>
      <c r="K54" s="55">
        <f t="shared" si="6"/>
        <v>2010</v>
      </c>
      <c r="L54" s="67"/>
      <c r="M54" s="67"/>
      <c r="N54" s="73" t="s">
        <v>692</v>
      </c>
      <c r="O54" s="73" t="s">
        <v>753</v>
      </c>
      <c r="P54" s="74" t="s">
        <v>763</v>
      </c>
      <c r="Q54" s="75" t="s">
        <v>764</v>
      </c>
      <c r="R54" s="230">
        <v>1608</v>
      </c>
      <c r="S54" s="230">
        <v>3066</v>
      </c>
      <c r="T54" s="230">
        <v>4674</v>
      </c>
      <c r="U54" s="231">
        <v>876</v>
      </c>
      <c r="V54" s="230"/>
      <c r="W54" s="230"/>
      <c r="X54" s="231"/>
      <c r="Y54" s="85">
        <v>0.5</v>
      </c>
      <c r="Z54" s="85"/>
      <c r="AA54" s="76"/>
      <c r="AB54" s="77"/>
      <c r="AC54" s="78"/>
    </row>
    <row r="55" spans="1:29" hidden="1" x14ac:dyDescent="0.2">
      <c r="A55" s="117" t="s">
        <v>765</v>
      </c>
      <c r="B55" s="118" t="e">
        <f t="shared" si="4"/>
        <v>#VALUE!</v>
      </c>
      <c r="C55" s="118" t="s">
        <v>612</v>
      </c>
      <c r="D55" s="84">
        <v>36706</v>
      </c>
      <c r="E55" s="84">
        <v>36739</v>
      </c>
      <c r="F55" s="84">
        <f t="shared" si="5"/>
        <v>40391</v>
      </c>
      <c r="G55" s="229">
        <v>39.813000000000002</v>
      </c>
      <c r="H55" s="71" t="s">
        <v>703</v>
      </c>
      <c r="I55" s="71" t="s">
        <v>691</v>
      </c>
      <c r="J55" s="66" t="s">
        <v>698</v>
      </c>
      <c r="K55" s="55">
        <f t="shared" si="6"/>
        <v>2010</v>
      </c>
      <c r="L55" s="67"/>
      <c r="M55" s="67"/>
      <c r="N55" s="73" t="s">
        <v>692</v>
      </c>
      <c r="O55" s="73" t="s">
        <v>753</v>
      </c>
      <c r="P55" s="74" t="s">
        <v>766</v>
      </c>
      <c r="Q55" s="75" t="s">
        <v>767</v>
      </c>
      <c r="R55" s="230">
        <v>215</v>
      </c>
      <c r="S55" s="230">
        <v>0</v>
      </c>
      <c r="T55" s="230">
        <v>215</v>
      </c>
      <c r="U55" s="231">
        <v>80</v>
      </c>
      <c r="V55" s="230"/>
      <c r="W55" s="230"/>
      <c r="X55" s="231"/>
      <c r="Y55" s="85">
        <v>0.5</v>
      </c>
      <c r="Z55" s="85"/>
      <c r="AA55" s="76"/>
      <c r="AB55" s="77"/>
      <c r="AC55" s="78"/>
    </row>
    <row r="56" spans="1:29" hidden="1" x14ac:dyDescent="0.2">
      <c r="A56" s="117" t="s">
        <v>768</v>
      </c>
      <c r="B56" s="118" t="e">
        <f t="shared" si="4"/>
        <v>#VALUE!</v>
      </c>
      <c r="C56" s="118" t="s">
        <v>612</v>
      </c>
      <c r="D56" s="84">
        <v>36706</v>
      </c>
      <c r="E56" s="84">
        <v>36739</v>
      </c>
      <c r="F56" s="84">
        <f t="shared" si="5"/>
        <v>40391</v>
      </c>
      <c r="G56" s="229">
        <v>475.28</v>
      </c>
      <c r="H56" s="71" t="s">
        <v>703</v>
      </c>
      <c r="I56" s="71" t="s">
        <v>691</v>
      </c>
      <c r="J56" s="66" t="s">
        <v>698</v>
      </c>
      <c r="K56" s="55">
        <f t="shared" si="6"/>
        <v>2010</v>
      </c>
      <c r="L56" s="67"/>
      <c r="M56" s="67"/>
      <c r="N56" s="73" t="s">
        <v>692</v>
      </c>
      <c r="O56" s="73" t="s">
        <v>753</v>
      </c>
      <c r="P56" s="74" t="s">
        <v>769</v>
      </c>
      <c r="Q56" s="75" t="s">
        <v>770</v>
      </c>
      <c r="R56" s="230">
        <v>1741</v>
      </c>
      <c r="S56" s="230">
        <v>0</v>
      </c>
      <c r="T56" s="230">
        <v>1741</v>
      </c>
      <c r="U56" s="231">
        <v>952</v>
      </c>
      <c r="V56" s="230"/>
      <c r="W56" s="230"/>
      <c r="X56" s="231"/>
      <c r="Y56" s="85">
        <v>0.5</v>
      </c>
      <c r="Z56" s="85"/>
      <c r="AA56" s="76"/>
      <c r="AB56" s="77"/>
      <c r="AC56" s="78"/>
    </row>
    <row r="57" spans="1:29" hidden="1" x14ac:dyDescent="0.2">
      <c r="A57" s="117" t="s">
        <v>771</v>
      </c>
      <c r="B57" s="118" t="e">
        <f t="shared" si="4"/>
        <v>#VALUE!</v>
      </c>
      <c r="C57" s="118" t="s">
        <v>612</v>
      </c>
      <c r="D57" s="84">
        <v>36706</v>
      </c>
      <c r="E57" s="84">
        <v>36739</v>
      </c>
      <c r="F57" s="84">
        <f t="shared" si="5"/>
        <v>40391</v>
      </c>
      <c r="G57" s="229">
        <v>200</v>
      </c>
      <c r="H57" s="71" t="s">
        <v>703</v>
      </c>
      <c r="I57" s="71" t="s">
        <v>691</v>
      </c>
      <c r="J57" s="66" t="s">
        <v>698</v>
      </c>
      <c r="K57" s="55">
        <f t="shared" si="6"/>
        <v>2010</v>
      </c>
      <c r="L57" s="67"/>
      <c r="M57" s="67"/>
      <c r="N57" s="73" t="s">
        <v>692</v>
      </c>
      <c r="O57" s="73" t="s">
        <v>753</v>
      </c>
      <c r="P57" s="74" t="s">
        <v>772</v>
      </c>
      <c r="Q57" s="75" t="s">
        <v>773</v>
      </c>
      <c r="R57" s="230">
        <v>775</v>
      </c>
      <c r="S57" s="230">
        <v>1400</v>
      </c>
      <c r="T57" s="230">
        <v>2175</v>
      </c>
      <c r="U57" s="231">
        <v>400</v>
      </c>
      <c r="V57" s="230"/>
      <c r="W57" s="230"/>
      <c r="X57" s="231"/>
      <c r="Y57" s="85">
        <v>0.5</v>
      </c>
      <c r="Z57" s="85"/>
      <c r="AA57" s="76"/>
      <c r="AB57" s="77"/>
      <c r="AC57" s="78"/>
    </row>
    <row r="58" spans="1:29" hidden="1" x14ac:dyDescent="0.2">
      <c r="A58" s="117" t="s">
        <v>774</v>
      </c>
      <c r="B58" s="118" t="e">
        <f t="shared" si="4"/>
        <v>#VALUE!</v>
      </c>
      <c r="C58" s="118" t="s">
        <v>612</v>
      </c>
      <c r="D58" s="84">
        <v>36706</v>
      </c>
      <c r="E58" s="84">
        <v>36739</v>
      </c>
      <c r="F58" s="84">
        <f t="shared" si="5"/>
        <v>40391</v>
      </c>
      <c r="G58" s="229">
        <v>642.70000000000005</v>
      </c>
      <c r="H58" s="71" t="s">
        <v>703</v>
      </c>
      <c r="I58" s="71" t="s">
        <v>691</v>
      </c>
      <c r="J58" s="66" t="s">
        <v>698</v>
      </c>
      <c r="K58" s="55">
        <f t="shared" si="6"/>
        <v>2010</v>
      </c>
      <c r="L58" s="67"/>
      <c r="M58" s="67"/>
      <c r="N58" s="73" t="s">
        <v>692</v>
      </c>
      <c r="O58" s="73" t="s">
        <v>753</v>
      </c>
      <c r="P58" s="74" t="s">
        <v>775</v>
      </c>
      <c r="Q58" s="75" t="s">
        <v>776</v>
      </c>
      <c r="R58" s="230">
        <v>2325.5</v>
      </c>
      <c r="S58" s="230">
        <v>0</v>
      </c>
      <c r="T58" s="230">
        <v>2325.5</v>
      </c>
      <c r="U58" s="231">
        <v>1286</v>
      </c>
      <c r="V58" s="230"/>
      <c r="W58" s="230"/>
      <c r="X58" s="231"/>
      <c r="Y58" s="85">
        <v>0.5</v>
      </c>
      <c r="Z58" s="85"/>
      <c r="AA58" s="76"/>
      <c r="AB58" s="77"/>
      <c r="AC58" s="78"/>
    </row>
    <row r="59" spans="1:29" hidden="1" x14ac:dyDescent="0.2">
      <c r="A59" s="117" t="s">
        <v>777</v>
      </c>
      <c r="B59" s="118" t="e">
        <f t="shared" si="4"/>
        <v>#VALUE!</v>
      </c>
      <c r="C59" s="118" t="s">
        <v>612</v>
      </c>
      <c r="D59" s="84">
        <v>36706</v>
      </c>
      <c r="E59" s="84">
        <v>36739</v>
      </c>
      <c r="F59" s="84">
        <f t="shared" si="5"/>
        <v>40391</v>
      </c>
      <c r="G59" s="229">
        <v>637.6</v>
      </c>
      <c r="H59" s="71" t="s">
        <v>703</v>
      </c>
      <c r="I59" s="71" t="s">
        <v>691</v>
      </c>
      <c r="J59" s="66" t="s">
        <v>698</v>
      </c>
      <c r="K59" s="55">
        <f t="shared" si="6"/>
        <v>2010</v>
      </c>
      <c r="L59" s="67"/>
      <c r="M59" s="67"/>
      <c r="N59" s="73" t="s">
        <v>692</v>
      </c>
      <c r="O59" s="73" t="s">
        <v>753</v>
      </c>
      <c r="P59" s="74" t="s">
        <v>778</v>
      </c>
      <c r="Q59" s="75" t="s">
        <v>779</v>
      </c>
      <c r="R59" s="230">
        <v>2308</v>
      </c>
      <c r="S59" s="230">
        <v>3828</v>
      </c>
      <c r="T59" s="230">
        <v>6136</v>
      </c>
      <c r="U59" s="231">
        <v>1276</v>
      </c>
      <c r="V59" s="230"/>
      <c r="W59" s="230"/>
      <c r="X59" s="231"/>
      <c r="Y59" s="85">
        <v>0.5</v>
      </c>
      <c r="Z59" s="85"/>
      <c r="AA59" s="76"/>
      <c r="AB59" s="77"/>
      <c r="AC59" s="78"/>
    </row>
    <row r="60" spans="1:29" hidden="1" x14ac:dyDescent="0.2">
      <c r="A60" s="117" t="s">
        <v>780</v>
      </c>
      <c r="B60" s="118" t="e">
        <f t="shared" si="4"/>
        <v>#VALUE!</v>
      </c>
      <c r="C60" s="118" t="s">
        <v>612</v>
      </c>
      <c r="D60" s="84">
        <v>36706</v>
      </c>
      <c r="E60" s="84">
        <v>36739</v>
      </c>
      <c r="F60" s="84">
        <f t="shared" si="5"/>
        <v>40391</v>
      </c>
      <c r="G60" s="229">
        <v>637.79999999999995</v>
      </c>
      <c r="H60" s="71" t="s">
        <v>703</v>
      </c>
      <c r="I60" s="71" t="s">
        <v>691</v>
      </c>
      <c r="J60" s="66" t="s">
        <v>698</v>
      </c>
      <c r="K60" s="55">
        <f t="shared" si="6"/>
        <v>2010</v>
      </c>
      <c r="L60" s="67"/>
      <c r="M60" s="67"/>
      <c r="N60" s="73" t="s">
        <v>692</v>
      </c>
      <c r="O60" s="73" t="s">
        <v>753</v>
      </c>
      <c r="P60" s="74" t="s">
        <v>781</v>
      </c>
      <c r="Q60" s="75" t="s">
        <v>782</v>
      </c>
      <c r="R60" s="230">
        <v>2308</v>
      </c>
      <c r="S60" s="230">
        <v>3828</v>
      </c>
      <c r="T60" s="230">
        <v>6136</v>
      </c>
      <c r="U60" s="231">
        <v>1276</v>
      </c>
      <c r="V60" s="230"/>
      <c r="W60" s="230"/>
      <c r="X60" s="231"/>
      <c r="Y60" s="85">
        <v>0.5</v>
      </c>
      <c r="Z60" s="85"/>
      <c r="AA60" s="76"/>
      <c r="AB60" s="77"/>
      <c r="AC60" s="78"/>
    </row>
    <row r="61" spans="1:29" hidden="1" x14ac:dyDescent="0.2">
      <c r="A61" s="117" t="s">
        <v>783</v>
      </c>
      <c r="B61" s="118" t="e">
        <f t="shared" si="4"/>
        <v>#VALUE!</v>
      </c>
      <c r="C61" s="118" t="s">
        <v>612</v>
      </c>
      <c r="D61" s="84">
        <v>36706</v>
      </c>
      <c r="E61" s="84">
        <v>36739</v>
      </c>
      <c r="F61" s="84">
        <f t="shared" si="5"/>
        <v>40391</v>
      </c>
      <c r="G61" s="229">
        <v>640.5</v>
      </c>
      <c r="H61" s="71" t="s">
        <v>703</v>
      </c>
      <c r="I61" s="71" t="s">
        <v>691</v>
      </c>
      <c r="J61" s="66" t="s">
        <v>698</v>
      </c>
      <c r="K61" s="55">
        <f t="shared" si="6"/>
        <v>2010</v>
      </c>
      <c r="L61" s="67"/>
      <c r="M61" s="67"/>
      <c r="N61" s="73" t="s">
        <v>692</v>
      </c>
      <c r="O61" s="73" t="s">
        <v>753</v>
      </c>
      <c r="P61" s="74" t="s">
        <v>784</v>
      </c>
      <c r="Q61" s="75" t="s">
        <v>785</v>
      </c>
      <c r="R61" s="230">
        <v>2318.5</v>
      </c>
      <c r="S61" s="230">
        <v>0</v>
      </c>
      <c r="T61" s="230">
        <v>2318.5</v>
      </c>
      <c r="U61" s="231">
        <v>1282</v>
      </c>
      <c r="V61" s="230"/>
      <c r="W61" s="230"/>
      <c r="X61" s="231"/>
      <c r="Y61" s="85">
        <v>0.5</v>
      </c>
      <c r="Z61" s="85"/>
      <c r="AA61" s="76"/>
      <c r="AB61" s="77"/>
      <c r="AC61" s="78"/>
    </row>
    <row r="62" spans="1:29" hidden="1" x14ac:dyDescent="0.2">
      <c r="A62" s="117" t="s">
        <v>786</v>
      </c>
      <c r="B62" s="118" t="e">
        <f t="shared" si="4"/>
        <v>#VALUE!</v>
      </c>
      <c r="C62" s="118" t="s">
        <v>612</v>
      </c>
      <c r="D62" s="84">
        <v>36706</v>
      </c>
      <c r="E62" s="84">
        <v>36739</v>
      </c>
      <c r="F62" s="84">
        <f t="shared" si="5"/>
        <v>40391</v>
      </c>
      <c r="G62" s="229">
        <v>240.45</v>
      </c>
      <c r="H62" s="71" t="s">
        <v>703</v>
      </c>
      <c r="I62" s="71" t="s">
        <v>691</v>
      </c>
      <c r="J62" s="66" t="s">
        <v>698</v>
      </c>
      <c r="K62" s="55">
        <f t="shared" si="6"/>
        <v>2010</v>
      </c>
      <c r="L62" s="67"/>
      <c r="M62" s="67"/>
      <c r="N62" s="73" t="s">
        <v>692</v>
      </c>
      <c r="O62" s="73" t="s">
        <v>753</v>
      </c>
      <c r="P62" s="74" t="s">
        <v>787</v>
      </c>
      <c r="Q62" s="75" t="s">
        <v>788</v>
      </c>
      <c r="R62" s="230">
        <v>918.5</v>
      </c>
      <c r="S62" s="230">
        <v>1446</v>
      </c>
      <c r="T62" s="230">
        <v>2364.5</v>
      </c>
      <c r="U62" s="231">
        <v>482</v>
      </c>
      <c r="V62" s="230"/>
      <c r="W62" s="230"/>
      <c r="X62" s="231"/>
      <c r="Y62" s="85">
        <v>0.5</v>
      </c>
      <c r="Z62" s="85"/>
      <c r="AA62" s="76"/>
      <c r="AB62" s="77"/>
      <c r="AC62" s="78"/>
    </row>
    <row r="63" spans="1:29" hidden="1" x14ac:dyDescent="0.2">
      <c r="A63" s="117" t="s">
        <v>789</v>
      </c>
      <c r="B63" s="118" t="e">
        <f t="shared" si="4"/>
        <v>#VALUE!</v>
      </c>
      <c r="C63" s="118" t="s">
        <v>612</v>
      </c>
      <c r="D63" s="84">
        <v>36706</v>
      </c>
      <c r="E63" s="84">
        <v>36739</v>
      </c>
      <c r="F63" s="84">
        <f t="shared" si="5"/>
        <v>40391</v>
      </c>
      <c r="G63" s="229">
        <v>642.4</v>
      </c>
      <c r="H63" s="71" t="s">
        <v>703</v>
      </c>
      <c r="I63" s="71" t="s">
        <v>691</v>
      </c>
      <c r="J63" s="66" t="s">
        <v>698</v>
      </c>
      <c r="K63" s="55">
        <f t="shared" si="6"/>
        <v>2010</v>
      </c>
      <c r="L63" s="67"/>
      <c r="M63" s="67"/>
      <c r="N63" s="73" t="s">
        <v>692</v>
      </c>
      <c r="O63" s="73" t="s">
        <v>753</v>
      </c>
      <c r="P63" s="74" t="s">
        <v>790</v>
      </c>
      <c r="Q63" s="75" t="s">
        <v>791</v>
      </c>
      <c r="R63" s="230">
        <v>2325.5</v>
      </c>
      <c r="S63" s="230">
        <v>0</v>
      </c>
      <c r="T63" s="230">
        <v>2325.5</v>
      </c>
      <c r="U63" s="231">
        <v>1286</v>
      </c>
      <c r="V63" s="230"/>
      <c r="W63" s="230"/>
      <c r="X63" s="231"/>
      <c r="Y63" s="85">
        <v>0.5</v>
      </c>
      <c r="Z63" s="85"/>
      <c r="AA63" s="76"/>
      <c r="AB63" s="77"/>
      <c r="AC63" s="78"/>
    </row>
    <row r="64" spans="1:29" hidden="1" x14ac:dyDescent="0.2">
      <c r="A64" s="117" t="s">
        <v>792</v>
      </c>
      <c r="B64" s="118" t="e">
        <f t="shared" si="4"/>
        <v>#VALUE!</v>
      </c>
      <c r="C64" s="118" t="s">
        <v>612</v>
      </c>
      <c r="D64" s="84">
        <v>36706</v>
      </c>
      <c r="E64" s="84">
        <v>36739</v>
      </c>
      <c r="F64" s="84">
        <f t="shared" si="5"/>
        <v>40391</v>
      </c>
      <c r="G64" s="229">
        <v>69.938000000000002</v>
      </c>
      <c r="H64" s="71" t="s">
        <v>703</v>
      </c>
      <c r="I64" s="71" t="s">
        <v>691</v>
      </c>
      <c r="J64" s="66" t="s">
        <v>698</v>
      </c>
      <c r="K64" s="55">
        <f t="shared" si="6"/>
        <v>2010</v>
      </c>
      <c r="L64" s="67"/>
      <c r="M64" s="67"/>
      <c r="N64" s="73" t="s">
        <v>692</v>
      </c>
      <c r="O64" s="73" t="s">
        <v>753</v>
      </c>
      <c r="P64" s="74" t="s">
        <v>793</v>
      </c>
      <c r="Q64" s="75" t="s">
        <v>794</v>
      </c>
      <c r="R64" s="230">
        <v>320</v>
      </c>
      <c r="S64" s="230">
        <v>1120</v>
      </c>
      <c r="T64" s="230">
        <v>1440</v>
      </c>
      <c r="U64" s="231">
        <v>140</v>
      </c>
      <c r="V64" s="230"/>
      <c r="W64" s="230"/>
      <c r="X64" s="231"/>
      <c r="Y64" s="85">
        <v>0.5</v>
      </c>
      <c r="Z64" s="85"/>
      <c r="AA64" s="76"/>
      <c r="AB64" s="77"/>
      <c r="AC64" s="78"/>
    </row>
    <row r="65" spans="1:29" hidden="1" x14ac:dyDescent="0.2">
      <c r="A65" s="117" t="s">
        <v>795</v>
      </c>
      <c r="B65" s="118" t="e">
        <f t="shared" si="4"/>
        <v>#VALUE!</v>
      </c>
      <c r="C65" s="118" t="s">
        <v>612</v>
      </c>
      <c r="D65" s="84">
        <v>36706</v>
      </c>
      <c r="E65" s="84">
        <v>36739</v>
      </c>
      <c r="F65" s="84">
        <f t="shared" si="5"/>
        <v>40391</v>
      </c>
      <c r="G65" s="229">
        <v>560</v>
      </c>
      <c r="H65" s="71" t="s">
        <v>703</v>
      </c>
      <c r="I65" s="71" t="s">
        <v>691</v>
      </c>
      <c r="J65" s="66" t="s">
        <v>698</v>
      </c>
      <c r="K65" s="55">
        <f t="shared" si="6"/>
        <v>2010</v>
      </c>
      <c r="L65" s="67"/>
      <c r="M65" s="67"/>
      <c r="N65" s="73" t="s">
        <v>692</v>
      </c>
      <c r="O65" s="73" t="s">
        <v>753</v>
      </c>
      <c r="P65" s="74" t="s">
        <v>796</v>
      </c>
      <c r="Q65" s="75" t="s">
        <v>797</v>
      </c>
      <c r="R65" s="230">
        <v>2035</v>
      </c>
      <c r="S65" s="230">
        <v>0</v>
      </c>
      <c r="T65" s="230">
        <v>2035</v>
      </c>
      <c r="U65" s="231">
        <v>1120</v>
      </c>
      <c r="V65" s="230"/>
      <c r="W65" s="230"/>
      <c r="X65" s="231"/>
      <c r="Y65" s="85">
        <v>0.5</v>
      </c>
      <c r="Z65" s="85"/>
      <c r="AA65" s="76"/>
      <c r="AB65" s="77"/>
      <c r="AC65" s="78"/>
    </row>
    <row r="66" spans="1:29" hidden="1" x14ac:dyDescent="0.2">
      <c r="A66" s="117" t="s">
        <v>798</v>
      </c>
      <c r="B66" s="118" t="e">
        <f t="shared" si="4"/>
        <v>#VALUE!</v>
      </c>
      <c r="C66" s="118" t="s">
        <v>612</v>
      </c>
      <c r="D66" s="84">
        <v>36706</v>
      </c>
      <c r="E66" s="84">
        <v>36739</v>
      </c>
      <c r="F66" s="84">
        <f t="shared" si="5"/>
        <v>40391</v>
      </c>
      <c r="G66" s="229">
        <v>640</v>
      </c>
      <c r="H66" s="71" t="s">
        <v>703</v>
      </c>
      <c r="I66" s="71" t="s">
        <v>691</v>
      </c>
      <c r="J66" s="66" t="s">
        <v>698</v>
      </c>
      <c r="K66" s="55">
        <f t="shared" si="6"/>
        <v>2010</v>
      </c>
      <c r="L66" s="67"/>
      <c r="M66" s="67"/>
      <c r="N66" s="73" t="s">
        <v>692</v>
      </c>
      <c r="O66" s="73" t="s">
        <v>753</v>
      </c>
      <c r="P66" s="74" t="s">
        <v>799</v>
      </c>
      <c r="Q66" s="75" t="s">
        <v>800</v>
      </c>
      <c r="R66" s="230">
        <v>2315</v>
      </c>
      <c r="S66" s="230">
        <v>0</v>
      </c>
      <c r="T66" s="230">
        <v>2315</v>
      </c>
      <c r="U66" s="231">
        <v>1280</v>
      </c>
      <c r="V66" s="230"/>
      <c r="W66" s="230"/>
      <c r="X66" s="231"/>
      <c r="Y66" s="85">
        <v>0.5</v>
      </c>
      <c r="Z66" s="85"/>
      <c r="AA66" s="76"/>
      <c r="AB66" s="77"/>
      <c r="AC66" s="78"/>
    </row>
    <row r="67" spans="1:29" hidden="1" x14ac:dyDescent="0.2">
      <c r="A67" s="117" t="s">
        <v>801</v>
      </c>
      <c r="B67" s="118" t="e">
        <f t="shared" si="4"/>
        <v>#VALUE!</v>
      </c>
      <c r="C67" s="118" t="s">
        <v>612</v>
      </c>
      <c r="D67" s="84">
        <v>36706</v>
      </c>
      <c r="E67" s="84">
        <v>36739</v>
      </c>
      <c r="F67" s="84">
        <f t="shared" si="5"/>
        <v>40391</v>
      </c>
      <c r="G67" s="229">
        <v>438.97</v>
      </c>
      <c r="H67" s="71" t="s">
        <v>703</v>
      </c>
      <c r="I67" s="71" t="s">
        <v>691</v>
      </c>
      <c r="J67" s="66" t="s">
        <v>698</v>
      </c>
      <c r="K67" s="55">
        <f t="shared" si="6"/>
        <v>2010</v>
      </c>
      <c r="L67" s="67"/>
      <c r="M67" s="67"/>
      <c r="N67" s="73" t="s">
        <v>692</v>
      </c>
      <c r="O67" s="73" t="s">
        <v>753</v>
      </c>
      <c r="P67" s="74" t="s">
        <v>802</v>
      </c>
      <c r="Q67" s="75" t="s">
        <v>803</v>
      </c>
      <c r="R67" s="230">
        <v>1611.5</v>
      </c>
      <c r="S67" s="230">
        <v>0</v>
      </c>
      <c r="T67" s="230">
        <v>1611.5</v>
      </c>
      <c r="U67" s="231">
        <v>878</v>
      </c>
      <c r="V67" s="230"/>
      <c r="W67" s="230"/>
      <c r="X67" s="231"/>
      <c r="Y67" s="85">
        <v>0.5</v>
      </c>
      <c r="Z67" s="85"/>
      <c r="AA67" s="76"/>
      <c r="AB67" s="77"/>
      <c r="AC67" s="78"/>
    </row>
    <row r="68" spans="1:29" hidden="1" x14ac:dyDescent="0.2">
      <c r="A68" s="117" t="s">
        <v>804</v>
      </c>
      <c r="B68" s="118" t="e">
        <f t="shared" si="4"/>
        <v>#VALUE!</v>
      </c>
      <c r="C68" s="118" t="s">
        <v>612</v>
      </c>
      <c r="D68" s="84">
        <v>36706</v>
      </c>
      <c r="E68" s="84">
        <v>36739</v>
      </c>
      <c r="F68" s="84">
        <f t="shared" si="5"/>
        <v>40391</v>
      </c>
      <c r="G68" s="229">
        <v>440</v>
      </c>
      <c r="H68" s="71" t="s">
        <v>703</v>
      </c>
      <c r="I68" s="71" t="s">
        <v>691</v>
      </c>
      <c r="J68" s="66" t="s">
        <v>698</v>
      </c>
      <c r="K68" s="55">
        <f t="shared" si="6"/>
        <v>2010</v>
      </c>
      <c r="L68" s="67"/>
      <c r="M68" s="67"/>
      <c r="N68" s="73" t="s">
        <v>692</v>
      </c>
      <c r="O68" s="73" t="s">
        <v>753</v>
      </c>
      <c r="P68" s="74" t="s">
        <v>805</v>
      </c>
      <c r="Q68" s="75" t="s">
        <v>806</v>
      </c>
      <c r="R68" s="230">
        <v>1615</v>
      </c>
      <c r="S68" s="230">
        <v>0</v>
      </c>
      <c r="T68" s="230">
        <v>1615</v>
      </c>
      <c r="U68" s="231">
        <v>880</v>
      </c>
      <c r="V68" s="230"/>
      <c r="W68" s="230"/>
      <c r="X68" s="231"/>
      <c r="Y68" s="85">
        <v>0.5</v>
      </c>
      <c r="Z68" s="85"/>
      <c r="AA68" s="76"/>
      <c r="AB68" s="77"/>
      <c r="AC68" s="78"/>
    </row>
    <row r="69" spans="1:29" ht="27" hidden="1" customHeight="1" x14ac:dyDescent="0.2">
      <c r="A69" s="117" t="s">
        <v>807</v>
      </c>
      <c r="B69" s="118" t="e">
        <f t="shared" si="4"/>
        <v>#VALUE!</v>
      </c>
      <c r="C69" s="118" t="s">
        <v>612</v>
      </c>
      <c r="D69" s="84">
        <v>36706</v>
      </c>
      <c r="E69" s="84">
        <v>36739</v>
      </c>
      <c r="F69" s="84">
        <f t="shared" si="5"/>
        <v>40391</v>
      </c>
      <c r="G69" s="229">
        <v>320</v>
      </c>
      <c r="H69" s="71" t="s">
        <v>703</v>
      </c>
      <c r="I69" s="71" t="s">
        <v>691</v>
      </c>
      <c r="J69" s="66" t="s">
        <v>698</v>
      </c>
      <c r="K69" s="55">
        <f t="shared" si="6"/>
        <v>2010</v>
      </c>
      <c r="L69" s="67"/>
      <c r="M69" s="67"/>
      <c r="N69" s="73" t="s">
        <v>692</v>
      </c>
      <c r="O69" s="73" t="s">
        <v>753</v>
      </c>
      <c r="P69" s="74" t="s">
        <v>808</v>
      </c>
      <c r="Q69" s="75" t="s">
        <v>809</v>
      </c>
      <c r="R69" s="230">
        <v>1195</v>
      </c>
      <c r="S69" s="230">
        <v>3840</v>
      </c>
      <c r="T69" s="230">
        <v>5035</v>
      </c>
      <c r="U69" s="231">
        <v>640</v>
      </c>
      <c r="V69" s="230"/>
      <c r="W69" s="230"/>
      <c r="X69" s="231"/>
      <c r="Y69" s="85">
        <v>0.5</v>
      </c>
      <c r="Z69" s="85"/>
      <c r="AA69" s="76"/>
      <c r="AB69" s="77"/>
      <c r="AC69" s="78"/>
    </row>
    <row r="70" spans="1:29" hidden="1" x14ac:dyDescent="0.2">
      <c r="A70" s="117"/>
      <c r="D70" s="84"/>
      <c r="E70" s="84"/>
      <c r="F70" s="84"/>
      <c r="G70" s="229"/>
      <c r="H70" s="71"/>
      <c r="I70" s="71"/>
      <c r="J70" s="238"/>
      <c r="K70" s="238"/>
      <c r="L70" s="239"/>
      <c r="M70" s="239"/>
      <c r="N70" s="73"/>
      <c r="O70" s="73"/>
      <c r="P70" s="74"/>
      <c r="Q70" s="75"/>
      <c r="R70" s="230"/>
      <c r="S70" s="230"/>
      <c r="T70" s="230"/>
      <c r="U70" s="231"/>
      <c r="V70" s="230"/>
      <c r="W70" s="230"/>
      <c r="X70" s="231"/>
      <c r="Y70" s="85"/>
      <c r="Z70" s="85"/>
      <c r="AA70" s="76"/>
      <c r="AB70" s="77"/>
      <c r="AC70" s="78"/>
    </row>
    <row r="71" spans="1:29" hidden="1" x14ac:dyDescent="0.2">
      <c r="A71" s="117" t="s">
        <v>810</v>
      </c>
      <c r="B71" s="118" t="e">
        <f>IF(COUNTIF(GIS,A73),"YES","NO")</f>
        <v>#VALUE!</v>
      </c>
      <c r="C71" s="118" t="s">
        <v>612</v>
      </c>
      <c r="D71" s="84">
        <v>36726</v>
      </c>
      <c r="E71" s="84">
        <v>36770</v>
      </c>
      <c r="F71" s="84">
        <f>DATE(YEAR(E71)+10,MONTH(E71),DAY(E71))</f>
        <v>40422</v>
      </c>
      <c r="G71" s="229">
        <v>49.7</v>
      </c>
      <c r="H71" s="71" t="s">
        <v>811</v>
      </c>
      <c r="I71" s="71" t="s">
        <v>812</v>
      </c>
      <c r="J71" s="66" t="s">
        <v>698</v>
      </c>
      <c r="K71" s="55">
        <f>YEAR(F71)</f>
        <v>2010</v>
      </c>
      <c r="L71" s="67"/>
      <c r="M71" s="67"/>
      <c r="N71" s="73" t="s">
        <v>618</v>
      </c>
      <c r="O71" s="73" t="s">
        <v>813</v>
      </c>
      <c r="P71" s="74" t="s">
        <v>814</v>
      </c>
      <c r="Q71" s="75">
        <v>200007009</v>
      </c>
      <c r="R71" s="230">
        <v>250</v>
      </c>
      <c r="S71" s="230">
        <v>4400</v>
      </c>
      <c r="T71" s="230">
        <v>4650</v>
      </c>
      <c r="U71" s="231">
        <v>100</v>
      </c>
      <c r="V71" s="230"/>
      <c r="W71" s="230"/>
      <c r="X71" s="231"/>
      <c r="Y71" s="85">
        <v>0.5</v>
      </c>
      <c r="Z71" s="85"/>
      <c r="AA71" s="76"/>
      <c r="AB71" s="77"/>
      <c r="AC71" s="78"/>
    </row>
    <row r="72" spans="1:29" hidden="1" x14ac:dyDescent="0.2">
      <c r="A72" s="117" t="s">
        <v>815</v>
      </c>
      <c r="B72" s="118" t="e">
        <f>IF(COUNTIF(GIS,A74),"YES","NO")</f>
        <v>#VALUE!</v>
      </c>
      <c r="C72" s="118" t="s">
        <v>612</v>
      </c>
      <c r="D72" s="84">
        <v>36726</v>
      </c>
      <c r="E72" s="84">
        <v>36770</v>
      </c>
      <c r="F72" s="84">
        <f>DATE(YEAR(E72)+10,MONTH(E72),DAY(E72))</f>
        <v>40422</v>
      </c>
      <c r="G72" s="229">
        <v>259.39</v>
      </c>
      <c r="H72" s="71" t="s">
        <v>816</v>
      </c>
      <c r="I72" s="71" t="s">
        <v>614</v>
      </c>
      <c r="J72" s="66" t="s">
        <v>698</v>
      </c>
      <c r="K72" s="55">
        <f>YEAR(F72)</f>
        <v>2010</v>
      </c>
      <c r="L72" s="67"/>
      <c r="M72" s="67"/>
      <c r="N72" s="73" t="s">
        <v>817</v>
      </c>
      <c r="O72" s="73" t="s">
        <v>818</v>
      </c>
      <c r="P72" s="74" t="s">
        <v>819</v>
      </c>
      <c r="Q72" s="75">
        <v>200007011</v>
      </c>
      <c r="R72" s="230">
        <v>985</v>
      </c>
      <c r="S72" s="230">
        <v>56680</v>
      </c>
      <c r="T72" s="230">
        <v>57665</v>
      </c>
      <c r="U72" s="231">
        <v>520</v>
      </c>
      <c r="V72" s="230"/>
      <c r="W72" s="230"/>
      <c r="X72" s="231"/>
      <c r="Y72" s="85">
        <v>0.5</v>
      </c>
      <c r="Z72" s="85"/>
      <c r="AA72" s="76"/>
      <c r="AB72" s="77"/>
      <c r="AC72" s="78"/>
    </row>
    <row r="73" spans="1:29" hidden="1" x14ac:dyDescent="0.2">
      <c r="A73" s="117" t="s">
        <v>820</v>
      </c>
      <c r="B73" s="118" t="e">
        <f>IF(COUNTIF(GIS,A75),"YES","NO")</f>
        <v>#VALUE!</v>
      </c>
      <c r="C73" s="118" t="s">
        <v>612</v>
      </c>
      <c r="D73" s="84">
        <v>36726</v>
      </c>
      <c r="E73" s="84">
        <v>36770</v>
      </c>
      <c r="F73" s="84">
        <f>DATE(YEAR(E73)+10,MONTH(E73),DAY(E73))</f>
        <v>40422</v>
      </c>
      <c r="G73" s="229">
        <v>642</v>
      </c>
      <c r="H73" s="71" t="s">
        <v>613</v>
      </c>
      <c r="I73" s="71" t="s">
        <v>614</v>
      </c>
      <c r="J73" s="66" t="s">
        <v>821</v>
      </c>
      <c r="K73" s="55">
        <f>YEAR(F73)</f>
        <v>2010</v>
      </c>
      <c r="L73" s="67"/>
      <c r="M73" s="67"/>
      <c r="N73" s="73" t="s">
        <v>622</v>
      </c>
      <c r="O73" s="73" t="s">
        <v>822</v>
      </c>
      <c r="P73" s="63"/>
      <c r="Q73" s="75">
        <v>200007012</v>
      </c>
      <c r="R73" s="230">
        <v>2322</v>
      </c>
      <c r="S73" s="230">
        <v>7062</v>
      </c>
      <c r="T73" s="230">
        <v>9384</v>
      </c>
      <c r="U73" s="231">
        <v>1284</v>
      </c>
      <c r="V73" s="230"/>
      <c r="W73" s="230"/>
      <c r="X73" s="231"/>
      <c r="Y73" s="85">
        <v>0.5</v>
      </c>
      <c r="Z73" s="85"/>
      <c r="AA73" s="76"/>
      <c r="AB73" s="77"/>
      <c r="AC73" s="78"/>
    </row>
    <row r="74" spans="1:29" hidden="1" x14ac:dyDescent="0.2">
      <c r="A74" s="117"/>
      <c r="D74" s="84"/>
      <c r="E74" s="84"/>
      <c r="F74" s="84"/>
      <c r="G74" s="229"/>
      <c r="H74" s="71"/>
      <c r="I74" s="71"/>
      <c r="J74" s="66"/>
      <c r="K74" s="66"/>
      <c r="L74" s="67"/>
      <c r="M74" s="67"/>
      <c r="N74" s="73"/>
      <c r="O74" s="73"/>
      <c r="P74" s="63"/>
      <c r="Q74" s="75"/>
      <c r="R74" s="230"/>
      <c r="S74" s="230"/>
      <c r="T74" s="230"/>
      <c r="U74" s="231"/>
      <c r="V74" s="230"/>
      <c r="W74" s="230"/>
      <c r="X74" s="231"/>
      <c r="Y74" s="85"/>
      <c r="Z74" s="85"/>
      <c r="AA74" s="76"/>
      <c r="AB74" s="77"/>
      <c r="AC74" s="78"/>
    </row>
    <row r="75" spans="1:29" hidden="1" x14ac:dyDescent="0.2">
      <c r="A75" s="117" t="s">
        <v>823</v>
      </c>
      <c r="B75" s="118" t="e">
        <f t="shared" ref="B75:B87" si="7">IF(COUNTIF(GIS,A77),"YES","NO")</f>
        <v>#VALUE!</v>
      </c>
      <c r="C75" s="118" t="s">
        <v>612</v>
      </c>
      <c r="D75" s="84">
        <v>36817</v>
      </c>
      <c r="E75" s="84">
        <v>36861</v>
      </c>
      <c r="F75" s="84">
        <f t="shared" ref="F75:F86" si="8">DATE(YEAR(E75)+10,MONTH(E75),DAY(E75))</f>
        <v>40513</v>
      </c>
      <c r="G75" s="229">
        <v>51</v>
      </c>
      <c r="H75" s="71" t="s">
        <v>824</v>
      </c>
      <c r="I75" s="71" t="s">
        <v>614</v>
      </c>
      <c r="J75" s="66" t="s">
        <v>698</v>
      </c>
      <c r="K75" s="55">
        <f t="shared" ref="K75:K86" si="9">YEAR(F75)</f>
        <v>2010</v>
      </c>
      <c r="L75" s="67"/>
      <c r="M75" s="67"/>
      <c r="N75" s="73" t="s">
        <v>622</v>
      </c>
      <c r="O75" s="73" t="s">
        <v>825</v>
      </c>
      <c r="P75" s="74"/>
      <c r="Q75" s="75">
        <v>200010065</v>
      </c>
      <c r="R75" s="230">
        <v>253.5</v>
      </c>
      <c r="S75" s="230">
        <v>2448</v>
      </c>
      <c r="T75" s="230">
        <v>2701.5</v>
      </c>
      <c r="U75" s="231">
        <v>102</v>
      </c>
      <c r="V75" s="230"/>
      <c r="W75" s="230"/>
      <c r="X75" s="231"/>
      <c r="Y75" s="85">
        <v>0.5</v>
      </c>
      <c r="Z75" s="85"/>
      <c r="AA75" s="76"/>
      <c r="AB75" s="77"/>
      <c r="AC75" s="78"/>
    </row>
    <row r="76" spans="1:29" hidden="1" x14ac:dyDescent="0.2">
      <c r="A76" s="117" t="s">
        <v>826</v>
      </c>
      <c r="B76" s="118" t="e">
        <f t="shared" si="7"/>
        <v>#VALUE!</v>
      </c>
      <c r="C76" s="118" t="s">
        <v>612</v>
      </c>
      <c r="D76" s="84">
        <v>36817</v>
      </c>
      <c r="E76" s="84">
        <v>36861</v>
      </c>
      <c r="F76" s="84">
        <f t="shared" si="8"/>
        <v>40513</v>
      </c>
      <c r="G76" s="229">
        <v>15</v>
      </c>
      <c r="H76" s="71" t="s">
        <v>824</v>
      </c>
      <c r="I76" s="71" t="s">
        <v>614</v>
      </c>
      <c r="J76" s="66" t="s">
        <v>698</v>
      </c>
      <c r="K76" s="55">
        <f t="shared" si="9"/>
        <v>2010</v>
      </c>
      <c r="L76" s="67"/>
      <c r="M76" s="67"/>
      <c r="N76" s="73" t="s">
        <v>622</v>
      </c>
      <c r="O76" s="73" t="s">
        <v>827</v>
      </c>
      <c r="P76" s="74"/>
      <c r="Q76" s="75">
        <v>200010066</v>
      </c>
      <c r="R76" s="230">
        <v>127.5</v>
      </c>
      <c r="S76" s="230">
        <v>705</v>
      </c>
      <c r="T76" s="230">
        <v>832.5</v>
      </c>
      <c r="U76" s="231">
        <v>30</v>
      </c>
      <c r="V76" s="230"/>
      <c r="W76" s="230"/>
      <c r="X76" s="231"/>
      <c r="Y76" s="85">
        <v>0.5</v>
      </c>
      <c r="Z76" s="85"/>
      <c r="AA76" s="76"/>
      <c r="AB76" s="77"/>
      <c r="AC76" s="78"/>
    </row>
    <row r="77" spans="1:29" hidden="1" x14ac:dyDescent="0.2">
      <c r="A77" s="117" t="s">
        <v>828</v>
      </c>
      <c r="B77" s="118" t="e">
        <f t="shared" si="7"/>
        <v>#VALUE!</v>
      </c>
      <c r="C77" s="118" t="s">
        <v>612</v>
      </c>
      <c r="D77" s="84">
        <v>36817</v>
      </c>
      <c r="E77" s="84">
        <v>36861</v>
      </c>
      <c r="F77" s="84">
        <f t="shared" si="8"/>
        <v>40513</v>
      </c>
      <c r="G77" s="229">
        <v>11</v>
      </c>
      <c r="H77" s="71" t="s">
        <v>824</v>
      </c>
      <c r="I77" s="71" t="s">
        <v>614</v>
      </c>
      <c r="J77" s="66" t="s">
        <v>698</v>
      </c>
      <c r="K77" s="55">
        <f t="shared" si="9"/>
        <v>2010</v>
      </c>
      <c r="L77" s="67"/>
      <c r="M77" s="67"/>
      <c r="N77" s="73" t="s">
        <v>622</v>
      </c>
      <c r="O77" s="73" t="s">
        <v>829</v>
      </c>
      <c r="P77" s="74"/>
      <c r="Q77" s="75">
        <v>200010067</v>
      </c>
      <c r="R77" s="230">
        <v>113.5</v>
      </c>
      <c r="S77" s="230">
        <v>363</v>
      </c>
      <c r="T77" s="230">
        <v>476.5</v>
      </c>
      <c r="U77" s="231">
        <v>22</v>
      </c>
      <c r="V77" s="230"/>
      <c r="W77" s="230"/>
      <c r="X77" s="231"/>
      <c r="Y77" s="85">
        <v>0.5</v>
      </c>
      <c r="Z77" s="85"/>
      <c r="AA77" s="76"/>
      <c r="AB77" s="77"/>
      <c r="AC77" s="78"/>
    </row>
    <row r="78" spans="1:29" hidden="1" x14ac:dyDescent="0.2">
      <c r="A78" s="117" t="s">
        <v>830</v>
      </c>
      <c r="B78" s="118" t="e">
        <f t="shared" si="7"/>
        <v>#VALUE!</v>
      </c>
      <c r="C78" s="118" t="s">
        <v>612</v>
      </c>
      <c r="D78" s="84">
        <v>36817</v>
      </c>
      <c r="E78" s="84">
        <v>36861</v>
      </c>
      <c r="F78" s="84">
        <f t="shared" si="8"/>
        <v>40513</v>
      </c>
      <c r="G78" s="229">
        <v>119</v>
      </c>
      <c r="H78" s="71" t="s">
        <v>824</v>
      </c>
      <c r="I78" s="71" t="s">
        <v>614</v>
      </c>
      <c r="J78" s="66" t="s">
        <v>698</v>
      </c>
      <c r="K78" s="55">
        <f t="shared" si="9"/>
        <v>2010</v>
      </c>
      <c r="L78" s="67"/>
      <c r="M78" s="67"/>
      <c r="N78" s="73" t="s">
        <v>622</v>
      </c>
      <c r="O78" s="73" t="s">
        <v>831</v>
      </c>
      <c r="P78" s="74"/>
      <c r="Q78" s="75">
        <v>200010068</v>
      </c>
      <c r="R78" s="230">
        <v>491.5</v>
      </c>
      <c r="S78" s="230">
        <v>5712</v>
      </c>
      <c r="T78" s="230">
        <v>6203.5</v>
      </c>
      <c r="U78" s="231">
        <v>238</v>
      </c>
      <c r="V78" s="230"/>
      <c r="W78" s="230"/>
      <c r="X78" s="231"/>
      <c r="Y78" s="85">
        <v>0.5</v>
      </c>
      <c r="Z78" s="85"/>
      <c r="AA78" s="76"/>
      <c r="AB78" s="77"/>
      <c r="AC78" s="78"/>
    </row>
    <row r="79" spans="1:29" hidden="1" x14ac:dyDescent="0.2">
      <c r="A79" s="117" t="s">
        <v>832</v>
      </c>
      <c r="B79" s="118" t="e">
        <f t="shared" si="7"/>
        <v>#VALUE!</v>
      </c>
      <c r="C79" s="118" t="s">
        <v>612</v>
      </c>
      <c r="D79" s="84">
        <v>36817</v>
      </c>
      <c r="E79" s="84">
        <v>36861</v>
      </c>
      <c r="F79" s="84">
        <f t="shared" si="8"/>
        <v>40513</v>
      </c>
      <c r="G79" s="229">
        <v>59</v>
      </c>
      <c r="H79" s="71" t="s">
        <v>824</v>
      </c>
      <c r="I79" s="71" t="s">
        <v>614</v>
      </c>
      <c r="J79" s="66" t="s">
        <v>698</v>
      </c>
      <c r="K79" s="55">
        <f t="shared" si="9"/>
        <v>2010</v>
      </c>
      <c r="L79" s="67"/>
      <c r="M79" s="67"/>
      <c r="N79" s="73" t="s">
        <v>622</v>
      </c>
      <c r="O79" s="73" t="s">
        <v>833</v>
      </c>
      <c r="P79" s="74"/>
      <c r="Q79" s="75">
        <v>200010069</v>
      </c>
      <c r="R79" s="230">
        <v>281.5</v>
      </c>
      <c r="S79" s="230">
        <v>4012</v>
      </c>
      <c r="T79" s="230">
        <v>4293.5</v>
      </c>
      <c r="U79" s="231">
        <v>118</v>
      </c>
      <c r="V79" s="230"/>
      <c r="W79" s="230"/>
      <c r="X79" s="231"/>
      <c r="Y79" s="85">
        <v>0.5</v>
      </c>
      <c r="Z79" s="85"/>
      <c r="AA79" s="76"/>
      <c r="AB79" s="77"/>
      <c r="AC79" s="78"/>
    </row>
    <row r="80" spans="1:29" hidden="1" x14ac:dyDescent="0.2">
      <c r="A80" s="117" t="s">
        <v>834</v>
      </c>
      <c r="B80" s="118" t="e">
        <f t="shared" si="7"/>
        <v>#VALUE!</v>
      </c>
      <c r="C80" s="118" t="s">
        <v>612</v>
      </c>
      <c r="D80" s="84">
        <v>36817</v>
      </c>
      <c r="E80" s="84">
        <v>36861</v>
      </c>
      <c r="F80" s="84">
        <f t="shared" si="8"/>
        <v>40513</v>
      </c>
      <c r="G80" s="229">
        <v>52</v>
      </c>
      <c r="H80" s="71" t="s">
        <v>824</v>
      </c>
      <c r="I80" s="71" t="s">
        <v>614</v>
      </c>
      <c r="J80" s="66" t="s">
        <v>698</v>
      </c>
      <c r="K80" s="55">
        <f t="shared" si="9"/>
        <v>2010</v>
      </c>
      <c r="L80" s="67"/>
      <c r="M80" s="67"/>
      <c r="N80" s="73" t="s">
        <v>622</v>
      </c>
      <c r="O80" s="73" t="s">
        <v>835</v>
      </c>
      <c r="P80" s="74"/>
      <c r="Q80" s="75">
        <v>200010071</v>
      </c>
      <c r="R80" s="230">
        <v>257</v>
      </c>
      <c r="S80" s="230">
        <v>104</v>
      </c>
      <c r="T80" s="230">
        <v>361</v>
      </c>
      <c r="U80" s="231">
        <v>104</v>
      </c>
      <c r="V80" s="230"/>
      <c r="W80" s="230"/>
      <c r="X80" s="231"/>
      <c r="Y80" s="85">
        <v>0.5</v>
      </c>
      <c r="Z80" s="85"/>
      <c r="AA80" s="76"/>
      <c r="AB80" s="77"/>
      <c r="AC80" s="78"/>
    </row>
    <row r="81" spans="1:29" hidden="1" x14ac:dyDescent="0.2">
      <c r="A81" s="117" t="s">
        <v>836</v>
      </c>
      <c r="B81" s="118" t="e">
        <f t="shared" si="7"/>
        <v>#VALUE!</v>
      </c>
      <c r="C81" s="118" t="s">
        <v>612</v>
      </c>
      <c r="D81" s="84">
        <v>36817</v>
      </c>
      <c r="E81" s="84">
        <v>36861</v>
      </c>
      <c r="F81" s="84">
        <f t="shared" si="8"/>
        <v>40513</v>
      </c>
      <c r="G81" s="229">
        <v>183.5</v>
      </c>
      <c r="H81" s="71" t="s">
        <v>824</v>
      </c>
      <c r="I81" s="71" t="s">
        <v>614</v>
      </c>
      <c r="J81" s="66" t="s">
        <v>698</v>
      </c>
      <c r="K81" s="55">
        <f t="shared" si="9"/>
        <v>2010</v>
      </c>
      <c r="L81" s="67"/>
      <c r="M81" s="67"/>
      <c r="N81" s="73" t="s">
        <v>622</v>
      </c>
      <c r="O81" s="73" t="s">
        <v>837</v>
      </c>
      <c r="P81" s="74" t="s">
        <v>838</v>
      </c>
      <c r="Q81" s="75">
        <v>200010072</v>
      </c>
      <c r="R81" s="230">
        <v>719</v>
      </c>
      <c r="S81" s="230">
        <v>5152</v>
      </c>
      <c r="T81" s="230">
        <v>5871</v>
      </c>
      <c r="U81" s="231">
        <v>368</v>
      </c>
      <c r="V81" s="230"/>
      <c r="W81" s="230"/>
      <c r="X81" s="231"/>
      <c r="Y81" s="85">
        <v>0.5</v>
      </c>
      <c r="Z81" s="85"/>
      <c r="AA81" s="76"/>
      <c r="AB81" s="77"/>
      <c r="AC81" s="78"/>
    </row>
    <row r="82" spans="1:29" hidden="1" x14ac:dyDescent="0.2">
      <c r="A82" s="117" t="s">
        <v>839</v>
      </c>
      <c r="B82" s="118" t="e">
        <f t="shared" si="7"/>
        <v>#VALUE!</v>
      </c>
      <c r="C82" s="118" t="s">
        <v>612</v>
      </c>
      <c r="D82" s="84">
        <v>36817</v>
      </c>
      <c r="E82" s="84">
        <v>36861</v>
      </c>
      <c r="F82" s="84">
        <f t="shared" si="8"/>
        <v>40513</v>
      </c>
      <c r="G82" s="229">
        <v>1395.31</v>
      </c>
      <c r="H82" s="71" t="s">
        <v>840</v>
      </c>
      <c r="I82" s="71" t="s">
        <v>614</v>
      </c>
      <c r="J82" s="66" t="s">
        <v>841</v>
      </c>
      <c r="K82" s="55">
        <f t="shared" si="9"/>
        <v>2010</v>
      </c>
      <c r="L82" s="67"/>
      <c r="M82" s="67"/>
      <c r="N82" s="73" t="s">
        <v>654</v>
      </c>
      <c r="O82" s="73" t="s">
        <v>842</v>
      </c>
      <c r="P82" s="74" t="s">
        <v>843</v>
      </c>
      <c r="Q82" s="75">
        <v>200010079</v>
      </c>
      <c r="R82" s="230">
        <v>4961</v>
      </c>
      <c r="S82" s="230">
        <v>6980</v>
      </c>
      <c r="T82" s="230">
        <v>11941</v>
      </c>
      <c r="Y82" s="85">
        <v>0.5</v>
      </c>
      <c r="Z82" s="85"/>
      <c r="AA82" s="76"/>
      <c r="AB82" s="77"/>
      <c r="AC82" s="78"/>
    </row>
    <row r="83" spans="1:29" hidden="1" x14ac:dyDescent="0.2">
      <c r="A83" s="117" t="s">
        <v>844</v>
      </c>
      <c r="B83" s="118" t="e">
        <f t="shared" si="7"/>
        <v>#VALUE!</v>
      </c>
      <c r="C83" s="118" t="s">
        <v>612</v>
      </c>
      <c r="D83" s="84">
        <v>36817</v>
      </c>
      <c r="E83" s="84">
        <v>36861</v>
      </c>
      <c r="F83" s="84">
        <f t="shared" si="8"/>
        <v>40513</v>
      </c>
      <c r="G83" s="229">
        <v>2209.64</v>
      </c>
      <c r="H83" s="71" t="s">
        <v>845</v>
      </c>
      <c r="I83" s="71" t="s">
        <v>614</v>
      </c>
      <c r="J83" s="66" t="s">
        <v>698</v>
      </c>
      <c r="K83" s="55">
        <f t="shared" si="9"/>
        <v>2010</v>
      </c>
      <c r="L83" s="67"/>
      <c r="M83" s="67"/>
      <c r="N83" s="73" t="s">
        <v>622</v>
      </c>
      <c r="O83" s="73" t="s">
        <v>846</v>
      </c>
      <c r="P83" s="74" t="s">
        <v>847</v>
      </c>
      <c r="Q83" s="75">
        <v>200010082</v>
      </c>
      <c r="R83" s="230">
        <v>7810</v>
      </c>
      <c r="S83" s="230">
        <v>15470</v>
      </c>
      <c r="T83" s="230">
        <v>23280</v>
      </c>
      <c r="U83" s="231">
        <v>4420</v>
      </c>
      <c r="V83" s="230"/>
      <c r="W83" s="230"/>
      <c r="X83" s="231"/>
      <c r="Y83" s="85">
        <v>0.5</v>
      </c>
      <c r="Z83" s="85"/>
      <c r="AA83" s="76"/>
      <c r="AB83" s="77"/>
      <c r="AC83" s="78"/>
    </row>
    <row r="84" spans="1:29" hidden="1" x14ac:dyDescent="0.2">
      <c r="A84" s="117" t="s">
        <v>848</v>
      </c>
      <c r="B84" s="118" t="e">
        <f t="shared" si="7"/>
        <v>#VALUE!</v>
      </c>
      <c r="C84" s="118" t="s">
        <v>612</v>
      </c>
      <c r="D84" s="84">
        <v>36817</v>
      </c>
      <c r="E84" s="84">
        <v>36861</v>
      </c>
      <c r="F84" s="84">
        <f t="shared" si="8"/>
        <v>40513</v>
      </c>
      <c r="G84" s="229">
        <v>34</v>
      </c>
      <c r="H84" s="71" t="s">
        <v>845</v>
      </c>
      <c r="I84" s="71" t="s">
        <v>614</v>
      </c>
      <c r="J84" s="66" t="s">
        <v>698</v>
      </c>
      <c r="K84" s="55">
        <f t="shared" si="9"/>
        <v>2010</v>
      </c>
      <c r="L84" s="67"/>
      <c r="M84" s="67"/>
      <c r="N84" s="73" t="s">
        <v>622</v>
      </c>
      <c r="O84" s="73" t="s">
        <v>849</v>
      </c>
      <c r="P84" s="74"/>
      <c r="Q84" s="75">
        <v>200010083</v>
      </c>
      <c r="R84" s="230">
        <v>194</v>
      </c>
      <c r="S84" s="230">
        <v>782</v>
      </c>
      <c r="T84" s="230">
        <v>976</v>
      </c>
      <c r="U84" s="231">
        <v>68</v>
      </c>
      <c r="V84" s="230"/>
      <c r="W84" s="230"/>
      <c r="X84" s="231"/>
      <c r="Y84" s="85">
        <v>0.5</v>
      </c>
      <c r="Z84" s="85"/>
      <c r="AA84" s="76"/>
      <c r="AB84" s="77"/>
      <c r="AC84" s="78"/>
    </row>
    <row r="85" spans="1:29" hidden="1" x14ac:dyDescent="0.2">
      <c r="A85" s="117" t="s">
        <v>850</v>
      </c>
      <c r="B85" s="118" t="e">
        <f t="shared" si="7"/>
        <v>#VALUE!</v>
      </c>
      <c r="C85" s="118" t="s">
        <v>612</v>
      </c>
      <c r="D85" s="84">
        <v>36817</v>
      </c>
      <c r="E85" s="84">
        <v>36861</v>
      </c>
      <c r="F85" s="84">
        <f t="shared" si="8"/>
        <v>40513</v>
      </c>
      <c r="G85" s="229">
        <v>614</v>
      </c>
      <c r="H85" s="71" t="s">
        <v>845</v>
      </c>
      <c r="I85" s="71" t="s">
        <v>614</v>
      </c>
      <c r="J85" s="66" t="s">
        <v>698</v>
      </c>
      <c r="K85" s="55">
        <f t="shared" si="9"/>
        <v>2010</v>
      </c>
      <c r="L85" s="67"/>
      <c r="M85" s="67"/>
      <c r="N85" s="73" t="s">
        <v>622</v>
      </c>
      <c r="O85" s="73" t="s">
        <v>851</v>
      </c>
      <c r="P85" s="74"/>
      <c r="Q85" s="75">
        <v>200010084</v>
      </c>
      <c r="R85" s="230">
        <v>2224</v>
      </c>
      <c r="S85" s="230">
        <v>1228</v>
      </c>
      <c r="T85" s="230">
        <v>3452</v>
      </c>
      <c r="U85" s="231">
        <v>1228</v>
      </c>
      <c r="V85" s="230"/>
      <c r="W85" s="230"/>
      <c r="X85" s="231"/>
      <c r="Y85" s="85">
        <v>0.5</v>
      </c>
      <c r="Z85" s="85"/>
      <c r="AA85" s="76"/>
      <c r="AB85" s="77"/>
      <c r="AC85" s="78"/>
    </row>
    <row r="86" spans="1:29" ht="27" hidden="1" customHeight="1" x14ac:dyDescent="0.2">
      <c r="A86" s="117" t="s">
        <v>852</v>
      </c>
      <c r="B86" s="118" t="e">
        <f t="shared" si="7"/>
        <v>#VALUE!</v>
      </c>
      <c r="C86" s="118" t="s">
        <v>612</v>
      </c>
      <c r="D86" s="84">
        <v>36817</v>
      </c>
      <c r="E86" s="84">
        <v>36861</v>
      </c>
      <c r="F86" s="84">
        <f t="shared" si="8"/>
        <v>40513</v>
      </c>
      <c r="G86" s="229">
        <v>184.01</v>
      </c>
      <c r="H86" s="71" t="s">
        <v>853</v>
      </c>
      <c r="I86" s="71" t="s">
        <v>614</v>
      </c>
      <c r="J86" s="66" t="s">
        <v>698</v>
      </c>
      <c r="K86" s="55">
        <f t="shared" si="9"/>
        <v>2010</v>
      </c>
      <c r="L86" s="67"/>
      <c r="M86" s="67"/>
      <c r="N86" s="73" t="s">
        <v>854</v>
      </c>
      <c r="O86" s="73"/>
      <c r="P86" s="74" t="s">
        <v>855</v>
      </c>
      <c r="Q86" s="75">
        <v>200010091</v>
      </c>
      <c r="R86" s="230">
        <v>722.5</v>
      </c>
      <c r="S86" s="230">
        <v>1480</v>
      </c>
      <c r="T86" s="230">
        <v>2202.5</v>
      </c>
      <c r="U86" s="231">
        <v>370</v>
      </c>
      <c r="V86" s="230"/>
      <c r="W86" s="230"/>
      <c r="X86" s="231"/>
      <c r="Y86" s="85">
        <v>0.5</v>
      </c>
      <c r="Z86" s="85"/>
      <c r="AA86" s="76"/>
      <c r="AB86" s="77"/>
      <c r="AC86" s="78"/>
    </row>
    <row r="87" spans="1:29" ht="27" hidden="1" customHeight="1" x14ac:dyDescent="0.2">
      <c r="A87" s="117" t="s">
        <v>856</v>
      </c>
      <c r="B87" s="118" t="e">
        <f t="shared" si="7"/>
        <v>#VALUE!</v>
      </c>
      <c r="C87" s="118" t="s">
        <v>612</v>
      </c>
      <c r="D87" s="84">
        <v>36817</v>
      </c>
      <c r="E87" s="84"/>
      <c r="F87" s="84"/>
      <c r="G87" s="237"/>
      <c r="H87" s="237"/>
      <c r="I87" s="71"/>
      <c r="J87" s="66" t="s">
        <v>857</v>
      </c>
      <c r="K87" s="55"/>
      <c r="L87" s="67"/>
      <c r="M87" s="67"/>
      <c r="N87" s="73"/>
      <c r="O87" s="73"/>
      <c r="P87" s="74"/>
      <c r="Q87" s="240"/>
      <c r="R87" s="230">
        <v>2955</v>
      </c>
      <c r="S87" s="230">
        <v>-2880</v>
      </c>
      <c r="T87" s="230">
        <v>75</v>
      </c>
      <c r="U87" s="231"/>
      <c r="V87" s="230"/>
      <c r="W87" s="230"/>
      <c r="X87" s="231"/>
      <c r="Y87" s="85">
        <v>0.5</v>
      </c>
      <c r="Z87" s="85"/>
      <c r="AA87" s="76"/>
      <c r="AB87" s="77"/>
      <c r="AC87" s="78"/>
    </row>
    <row r="88" spans="1:29" hidden="1" x14ac:dyDescent="0.2">
      <c r="A88" s="117"/>
      <c r="D88" s="84"/>
      <c r="E88" s="84"/>
      <c r="F88" s="84"/>
      <c r="G88" s="237"/>
      <c r="H88" s="71"/>
      <c r="I88" s="71"/>
      <c r="J88" s="238"/>
      <c r="K88" s="238"/>
      <c r="L88" s="239"/>
      <c r="M88" s="239"/>
      <c r="N88" s="73"/>
      <c r="O88" s="73"/>
      <c r="P88" s="74"/>
      <c r="Q88" s="240"/>
      <c r="R88" s="230"/>
      <c r="S88" s="230"/>
      <c r="T88" s="230"/>
      <c r="U88" s="231"/>
      <c r="V88" s="230"/>
      <c r="W88" s="230"/>
      <c r="X88" s="231"/>
      <c r="Y88" s="85"/>
      <c r="Z88" s="85"/>
      <c r="AA88" s="76"/>
      <c r="AB88" s="77"/>
      <c r="AC88" s="78"/>
    </row>
    <row r="89" spans="1:29" ht="27" hidden="1" customHeight="1" x14ac:dyDescent="0.2">
      <c r="A89" s="117" t="s">
        <v>858</v>
      </c>
      <c r="B89" s="118" t="e">
        <f t="shared" ref="B89:B105" si="10">IF(COUNTIF(GIS,A91),"YES","NO")</f>
        <v>#VALUE!</v>
      </c>
      <c r="C89" s="118" t="s">
        <v>612</v>
      </c>
      <c r="D89" s="84">
        <v>36972</v>
      </c>
      <c r="E89" s="84">
        <v>36982</v>
      </c>
      <c r="F89" s="84">
        <f t="shared" ref="F89:F98" si="11">DATE(YEAR(E89)+10,MONTH(E89),DAY(E89))</f>
        <v>40634</v>
      </c>
      <c r="G89" s="229">
        <v>6.43</v>
      </c>
      <c r="H89" s="71" t="s">
        <v>859</v>
      </c>
      <c r="I89" s="71" t="s">
        <v>684</v>
      </c>
      <c r="J89" s="66" t="s">
        <v>860</v>
      </c>
      <c r="K89" s="55">
        <f t="shared" ref="K89:K98" si="12">YEAR(F89)</f>
        <v>2011</v>
      </c>
      <c r="L89" s="67"/>
      <c r="M89" s="67"/>
      <c r="N89" s="73"/>
      <c r="O89" s="73" t="s">
        <v>861</v>
      </c>
      <c r="P89" s="74" t="s">
        <v>862</v>
      </c>
      <c r="Q89" s="75" t="s">
        <v>863</v>
      </c>
      <c r="R89" s="230">
        <v>127.5</v>
      </c>
      <c r="S89" s="230">
        <v>0</v>
      </c>
      <c r="T89" s="230">
        <v>127.5</v>
      </c>
      <c r="U89" s="231">
        <v>14</v>
      </c>
      <c r="V89" s="230"/>
      <c r="W89" s="230"/>
      <c r="X89" s="231"/>
      <c r="Y89" s="85">
        <v>0.5</v>
      </c>
      <c r="Z89" s="85"/>
      <c r="AA89" s="76"/>
      <c r="AB89" s="77"/>
      <c r="AC89" s="78"/>
    </row>
    <row r="90" spans="1:29" hidden="1" x14ac:dyDescent="0.2">
      <c r="A90" s="117" t="s">
        <v>864</v>
      </c>
      <c r="B90" s="118" t="e">
        <f t="shared" si="10"/>
        <v>#VALUE!</v>
      </c>
      <c r="C90" s="118" t="s">
        <v>612</v>
      </c>
      <c r="D90" s="84">
        <v>36972</v>
      </c>
      <c r="E90" s="84">
        <v>36982</v>
      </c>
      <c r="F90" s="84">
        <f t="shared" si="11"/>
        <v>40634</v>
      </c>
      <c r="G90" s="229">
        <v>40.799999999999997</v>
      </c>
      <c r="H90" s="71" t="s">
        <v>865</v>
      </c>
      <c r="I90" s="71" t="s">
        <v>691</v>
      </c>
      <c r="J90" s="66" t="s">
        <v>860</v>
      </c>
      <c r="K90" s="55">
        <f t="shared" si="12"/>
        <v>2011</v>
      </c>
      <c r="L90" s="67"/>
      <c r="M90" s="67"/>
      <c r="N90" s="73"/>
      <c r="O90" s="73" t="s">
        <v>866</v>
      </c>
      <c r="P90" s="74" t="s">
        <v>867</v>
      </c>
      <c r="Q90" s="75" t="s">
        <v>868</v>
      </c>
      <c r="R90" s="230">
        <v>2391.5</v>
      </c>
      <c r="S90" s="230">
        <v>0</v>
      </c>
      <c r="T90" s="230">
        <v>2391.5</v>
      </c>
      <c r="U90" s="231">
        <v>82</v>
      </c>
      <c r="V90" s="230"/>
      <c r="W90" s="230"/>
      <c r="X90" s="231"/>
      <c r="Y90" s="85">
        <v>0.5</v>
      </c>
      <c r="Z90" s="85"/>
      <c r="AA90" s="76"/>
      <c r="AB90" s="77"/>
      <c r="AC90" s="78"/>
    </row>
    <row r="91" spans="1:29" hidden="1" x14ac:dyDescent="0.2">
      <c r="A91" s="117" t="s">
        <v>869</v>
      </c>
      <c r="B91" s="118" t="e">
        <f t="shared" si="10"/>
        <v>#VALUE!</v>
      </c>
      <c r="C91" s="118" t="s">
        <v>612</v>
      </c>
      <c r="D91" s="84">
        <v>36972</v>
      </c>
      <c r="E91" s="84">
        <v>36982</v>
      </c>
      <c r="F91" s="84">
        <f t="shared" si="11"/>
        <v>40634</v>
      </c>
      <c r="G91" s="229">
        <v>80</v>
      </c>
      <c r="H91" s="71" t="s">
        <v>690</v>
      </c>
      <c r="I91" s="71" t="s">
        <v>691</v>
      </c>
      <c r="J91" s="66" t="s">
        <v>860</v>
      </c>
      <c r="K91" s="55">
        <f t="shared" si="12"/>
        <v>2011</v>
      </c>
      <c r="L91" s="67"/>
      <c r="M91" s="67"/>
      <c r="N91" s="73"/>
      <c r="O91" s="73" t="s">
        <v>870</v>
      </c>
      <c r="P91" s="74" t="s">
        <v>871</v>
      </c>
      <c r="Q91" s="75" t="s">
        <v>872</v>
      </c>
      <c r="R91" s="230">
        <v>14195</v>
      </c>
      <c r="S91" s="230">
        <v>0</v>
      </c>
      <c r="T91" s="230">
        <v>14195</v>
      </c>
      <c r="U91" s="231">
        <v>160</v>
      </c>
      <c r="V91" s="230"/>
      <c r="W91" s="230"/>
      <c r="X91" s="231"/>
      <c r="Y91" s="85">
        <v>0.5</v>
      </c>
      <c r="Z91" s="85"/>
      <c r="AA91" s="76"/>
      <c r="AB91" s="77"/>
      <c r="AC91" s="78"/>
    </row>
    <row r="92" spans="1:29" hidden="1" x14ac:dyDescent="0.2">
      <c r="A92" s="117" t="s">
        <v>873</v>
      </c>
      <c r="B92" s="118" t="e">
        <f t="shared" si="10"/>
        <v>#VALUE!</v>
      </c>
      <c r="C92" s="118" t="s">
        <v>612</v>
      </c>
      <c r="D92" s="84">
        <v>36972</v>
      </c>
      <c r="E92" s="84">
        <v>36982</v>
      </c>
      <c r="F92" s="84">
        <f t="shared" si="11"/>
        <v>40634</v>
      </c>
      <c r="G92" s="229">
        <v>106.24</v>
      </c>
      <c r="H92" s="71" t="s">
        <v>722</v>
      </c>
      <c r="I92" s="71" t="s">
        <v>691</v>
      </c>
      <c r="J92" s="66" t="s">
        <v>860</v>
      </c>
      <c r="K92" s="55">
        <f t="shared" si="12"/>
        <v>2011</v>
      </c>
      <c r="L92" s="67"/>
      <c r="M92" s="67"/>
      <c r="N92" s="73"/>
      <c r="O92" s="73" t="s">
        <v>874</v>
      </c>
      <c r="P92" s="74" t="s">
        <v>875</v>
      </c>
      <c r="Q92" s="75" t="s">
        <v>876</v>
      </c>
      <c r="R92" s="230">
        <v>6655.5</v>
      </c>
      <c r="S92" s="230">
        <v>0</v>
      </c>
      <c r="T92" s="230">
        <v>6655.5</v>
      </c>
      <c r="U92" s="231">
        <v>214</v>
      </c>
      <c r="V92" s="230"/>
      <c r="W92" s="230"/>
      <c r="X92" s="231"/>
      <c r="Y92" s="85">
        <v>0.5</v>
      </c>
      <c r="Z92" s="85"/>
      <c r="AA92" s="76"/>
      <c r="AB92" s="77"/>
      <c r="AC92" s="78"/>
    </row>
    <row r="93" spans="1:29" ht="27" hidden="1" customHeight="1" x14ac:dyDescent="0.2">
      <c r="A93" s="117" t="s">
        <v>877</v>
      </c>
      <c r="B93" s="118" t="e">
        <f t="shared" si="10"/>
        <v>#VALUE!</v>
      </c>
      <c r="C93" s="118" t="s">
        <v>612</v>
      </c>
      <c r="D93" s="84">
        <v>36972</v>
      </c>
      <c r="E93" s="84">
        <v>36982</v>
      </c>
      <c r="F93" s="84">
        <f t="shared" si="11"/>
        <v>40634</v>
      </c>
      <c r="G93" s="229">
        <v>398.47</v>
      </c>
      <c r="H93" s="71" t="s">
        <v>878</v>
      </c>
      <c r="I93" s="71" t="s">
        <v>691</v>
      </c>
      <c r="J93" s="66" t="s">
        <v>879</v>
      </c>
      <c r="K93" s="55">
        <f t="shared" si="12"/>
        <v>2011</v>
      </c>
      <c r="L93" s="66"/>
      <c r="M93" s="66"/>
      <c r="N93" s="104"/>
      <c r="O93" s="73" t="s">
        <v>880</v>
      </c>
      <c r="P93" s="74" t="s">
        <v>881</v>
      </c>
      <c r="Q93" s="75" t="s">
        <v>882</v>
      </c>
      <c r="R93" s="230">
        <v>36583.5</v>
      </c>
      <c r="S93" s="230">
        <v>0</v>
      </c>
      <c r="T93" s="230">
        <v>36583.5</v>
      </c>
      <c r="U93" s="231">
        <v>798</v>
      </c>
      <c r="V93" s="230"/>
      <c r="W93" s="230"/>
      <c r="X93" s="231"/>
      <c r="Y93" s="85">
        <v>0.5</v>
      </c>
      <c r="Z93" s="85"/>
      <c r="AA93" s="76"/>
      <c r="AB93" s="77"/>
      <c r="AC93" s="78"/>
    </row>
    <row r="94" spans="1:29" ht="27" hidden="1" customHeight="1" x14ac:dyDescent="0.2">
      <c r="A94" s="117" t="s">
        <v>883</v>
      </c>
      <c r="B94" s="118" t="e">
        <f t="shared" si="10"/>
        <v>#VALUE!</v>
      </c>
      <c r="C94" s="118" t="s">
        <v>612</v>
      </c>
      <c r="D94" s="84">
        <v>36973</v>
      </c>
      <c r="E94" s="84">
        <v>36982</v>
      </c>
      <c r="F94" s="84">
        <f t="shared" si="11"/>
        <v>40634</v>
      </c>
      <c r="G94" s="229">
        <v>2167.4899999999998</v>
      </c>
      <c r="H94" s="71" t="s">
        <v>884</v>
      </c>
      <c r="I94" s="71" t="s">
        <v>676</v>
      </c>
      <c r="J94" s="66" t="s">
        <v>860</v>
      </c>
      <c r="K94" s="55">
        <f t="shared" si="12"/>
        <v>2011</v>
      </c>
      <c r="L94" s="67"/>
      <c r="M94" s="67"/>
      <c r="N94" s="73" t="s">
        <v>885</v>
      </c>
      <c r="O94" s="73" t="s">
        <v>886</v>
      </c>
      <c r="P94" s="74" t="s">
        <v>887</v>
      </c>
      <c r="Q94" s="75" t="s">
        <v>888</v>
      </c>
      <c r="R94" s="230">
        <v>3327</v>
      </c>
      <c r="S94" s="230"/>
      <c r="T94" s="230">
        <v>3327</v>
      </c>
      <c r="U94" s="231">
        <v>4336</v>
      </c>
      <c r="V94" s="230"/>
      <c r="W94" s="230"/>
      <c r="X94" s="231"/>
      <c r="Y94" s="85">
        <v>0.5</v>
      </c>
      <c r="Z94" s="85"/>
      <c r="AA94" s="76"/>
      <c r="AB94" s="77"/>
      <c r="AC94" s="78"/>
    </row>
    <row r="95" spans="1:29" ht="27" hidden="1" customHeight="1" x14ac:dyDescent="0.2">
      <c r="A95" s="117" t="s">
        <v>889</v>
      </c>
      <c r="B95" s="118" t="e">
        <f t="shared" si="10"/>
        <v>#VALUE!</v>
      </c>
      <c r="C95" s="118" t="s">
        <v>612</v>
      </c>
      <c r="D95" s="84">
        <v>36973</v>
      </c>
      <c r="E95" s="84">
        <v>36982</v>
      </c>
      <c r="F95" s="84">
        <f t="shared" si="11"/>
        <v>40634</v>
      </c>
      <c r="G95" s="229">
        <v>2219.61</v>
      </c>
      <c r="H95" s="71" t="s">
        <v>884</v>
      </c>
      <c r="I95" s="71" t="s">
        <v>676</v>
      </c>
      <c r="J95" s="66" t="s">
        <v>860</v>
      </c>
      <c r="K95" s="55">
        <f t="shared" si="12"/>
        <v>2011</v>
      </c>
      <c r="L95" s="67"/>
      <c r="M95" s="67"/>
      <c r="N95" s="73" t="s">
        <v>885</v>
      </c>
      <c r="O95" s="73" t="s">
        <v>890</v>
      </c>
      <c r="P95" s="74" t="s">
        <v>891</v>
      </c>
      <c r="Q95" s="75" t="s">
        <v>892</v>
      </c>
      <c r="R95" s="230">
        <v>3405</v>
      </c>
      <c r="S95" s="230"/>
      <c r="T95" s="230">
        <v>3405</v>
      </c>
      <c r="U95" s="231">
        <v>4440</v>
      </c>
      <c r="V95" s="230"/>
      <c r="W95" s="230"/>
      <c r="X95" s="231"/>
      <c r="Y95" s="85">
        <v>0.5</v>
      </c>
      <c r="Z95" s="85"/>
      <c r="AA95" s="76"/>
      <c r="AB95" s="77"/>
      <c r="AC95" s="78"/>
    </row>
    <row r="96" spans="1:29" ht="27" hidden="1" customHeight="1" x14ac:dyDescent="0.2">
      <c r="A96" s="117" t="s">
        <v>893</v>
      </c>
      <c r="B96" s="118" t="e">
        <f t="shared" si="10"/>
        <v>#VALUE!</v>
      </c>
      <c r="C96" s="118" t="s">
        <v>612</v>
      </c>
      <c r="D96" s="84">
        <v>36973</v>
      </c>
      <c r="E96" s="84">
        <v>36982</v>
      </c>
      <c r="F96" s="84">
        <f t="shared" si="11"/>
        <v>40634</v>
      </c>
      <c r="G96" s="229">
        <v>1927.58</v>
      </c>
      <c r="H96" s="71" t="s">
        <v>884</v>
      </c>
      <c r="I96" s="71" t="s">
        <v>676</v>
      </c>
      <c r="J96" s="66" t="s">
        <v>860</v>
      </c>
      <c r="K96" s="55">
        <f t="shared" si="12"/>
        <v>2011</v>
      </c>
      <c r="L96" s="67"/>
      <c r="M96" s="67"/>
      <c r="N96" s="73" t="s">
        <v>885</v>
      </c>
      <c r="O96" s="73" t="s">
        <v>890</v>
      </c>
      <c r="P96" s="74" t="s">
        <v>894</v>
      </c>
      <c r="Q96" s="75" t="s">
        <v>895</v>
      </c>
      <c r="R96" s="230">
        <v>2967</v>
      </c>
      <c r="S96" s="230"/>
      <c r="T96" s="230">
        <v>2967</v>
      </c>
      <c r="U96" s="231">
        <v>3856</v>
      </c>
      <c r="V96" s="230"/>
      <c r="W96" s="230"/>
      <c r="X96" s="231"/>
      <c r="Y96" s="85">
        <v>0.5</v>
      </c>
      <c r="Z96" s="85"/>
      <c r="AA96" s="76"/>
      <c r="AB96" s="77"/>
      <c r="AC96" s="78"/>
    </row>
    <row r="97" spans="1:29" hidden="1" x14ac:dyDescent="0.2">
      <c r="A97" s="117" t="s">
        <v>896</v>
      </c>
      <c r="B97" s="118" t="e">
        <f t="shared" si="10"/>
        <v>#VALUE!</v>
      </c>
      <c r="C97" s="118" t="s">
        <v>612</v>
      </c>
      <c r="D97" s="84">
        <v>36973</v>
      </c>
      <c r="E97" s="84">
        <v>36982</v>
      </c>
      <c r="F97" s="84">
        <f t="shared" si="11"/>
        <v>40634</v>
      </c>
      <c r="G97" s="229">
        <v>1986.9</v>
      </c>
      <c r="H97" s="71" t="s">
        <v>884</v>
      </c>
      <c r="I97" s="71" t="s">
        <v>676</v>
      </c>
      <c r="J97" s="66" t="s">
        <v>860</v>
      </c>
      <c r="K97" s="55">
        <f t="shared" si="12"/>
        <v>2011</v>
      </c>
      <c r="L97" s="67"/>
      <c r="M97" s="67"/>
      <c r="N97" s="73" t="s">
        <v>885</v>
      </c>
      <c r="O97" s="73" t="s">
        <v>897</v>
      </c>
      <c r="P97" s="74" t="s">
        <v>898</v>
      </c>
      <c r="Q97" s="75" t="s">
        <v>899</v>
      </c>
      <c r="R97" s="230">
        <v>3055.5</v>
      </c>
      <c r="S97" s="230"/>
      <c r="T97" s="230">
        <v>3055.5</v>
      </c>
      <c r="U97" s="231">
        <v>3974</v>
      </c>
      <c r="V97" s="230"/>
      <c r="W97" s="230"/>
      <c r="X97" s="231"/>
      <c r="Y97" s="85">
        <v>0.5</v>
      </c>
      <c r="Z97" s="85"/>
      <c r="AA97" s="76"/>
      <c r="AB97" s="77"/>
      <c r="AC97" s="78"/>
    </row>
    <row r="98" spans="1:29" hidden="1" x14ac:dyDescent="0.2">
      <c r="A98" s="117" t="s">
        <v>900</v>
      </c>
      <c r="B98" s="118" t="e">
        <f t="shared" si="10"/>
        <v>#VALUE!</v>
      </c>
      <c r="C98" s="118" t="s">
        <v>612</v>
      </c>
      <c r="D98" s="84">
        <v>36973</v>
      </c>
      <c r="E98" s="84">
        <v>36982</v>
      </c>
      <c r="F98" s="84">
        <f t="shared" si="11"/>
        <v>40634</v>
      </c>
      <c r="G98" s="229">
        <v>1556.57</v>
      </c>
      <c r="H98" s="71" t="s">
        <v>884</v>
      </c>
      <c r="I98" s="71" t="s">
        <v>676</v>
      </c>
      <c r="J98" s="66" t="s">
        <v>860</v>
      </c>
      <c r="K98" s="55">
        <f t="shared" si="12"/>
        <v>2011</v>
      </c>
      <c r="L98" s="67"/>
      <c r="M98" s="67"/>
      <c r="N98" s="73" t="s">
        <v>885</v>
      </c>
      <c r="O98" s="73" t="s">
        <v>897</v>
      </c>
      <c r="P98" s="74" t="s">
        <v>901</v>
      </c>
      <c r="Q98" s="75" t="s">
        <v>902</v>
      </c>
      <c r="R98" s="230">
        <v>2410.5</v>
      </c>
      <c r="S98" s="230"/>
      <c r="T98" s="230">
        <v>2410.5</v>
      </c>
      <c r="U98" s="231">
        <v>3114</v>
      </c>
      <c r="V98" s="230"/>
      <c r="W98" s="230"/>
      <c r="X98" s="231"/>
      <c r="Y98" s="85">
        <v>0.5</v>
      </c>
      <c r="Z98" s="85"/>
      <c r="AA98" s="76"/>
      <c r="AB98" s="77"/>
      <c r="AC98" s="78"/>
    </row>
    <row r="99" spans="1:29" hidden="1" x14ac:dyDescent="0.2">
      <c r="A99" s="117" t="s">
        <v>903</v>
      </c>
      <c r="B99" s="118" t="e">
        <f t="shared" si="10"/>
        <v>#VALUE!</v>
      </c>
      <c r="C99" s="118" t="s">
        <v>612</v>
      </c>
      <c r="D99" s="84">
        <v>36973</v>
      </c>
      <c r="E99" s="84"/>
      <c r="F99" s="84"/>
      <c r="G99" s="237"/>
      <c r="H99" s="71"/>
      <c r="I99" s="71"/>
      <c r="J99" s="88" t="s">
        <v>904</v>
      </c>
      <c r="K99" s="55"/>
      <c r="L99" s="89"/>
      <c r="M99" s="89"/>
      <c r="N99" s="73"/>
      <c r="O99" s="73"/>
      <c r="P99" s="74"/>
      <c r="Q99" s="75"/>
      <c r="R99" s="230">
        <v>2626.5</v>
      </c>
      <c r="S99" s="230">
        <v>-2551.5</v>
      </c>
      <c r="T99" s="230">
        <v>75</v>
      </c>
      <c r="U99" s="231"/>
      <c r="V99" s="230"/>
      <c r="W99" s="230"/>
      <c r="X99" s="231"/>
      <c r="Y99" s="85">
        <v>0.5</v>
      </c>
      <c r="Z99" s="85"/>
      <c r="AA99" s="76"/>
      <c r="AB99" s="77"/>
      <c r="AC99" s="78"/>
    </row>
    <row r="100" spans="1:29" hidden="1" x14ac:dyDescent="0.2">
      <c r="A100" s="117" t="s">
        <v>905</v>
      </c>
      <c r="B100" s="118" t="e">
        <f t="shared" si="10"/>
        <v>#VALUE!</v>
      </c>
      <c r="C100" s="118" t="s">
        <v>612</v>
      </c>
      <c r="D100" s="84">
        <v>36973</v>
      </c>
      <c r="E100" s="84">
        <v>36982</v>
      </c>
      <c r="F100" s="84">
        <f>DATE(YEAR(E100)+10,MONTH(E100),DAY(E100))</f>
        <v>40634</v>
      </c>
      <c r="G100" s="229">
        <v>1480</v>
      </c>
      <c r="H100" s="71" t="s">
        <v>906</v>
      </c>
      <c r="I100" s="71" t="s">
        <v>676</v>
      </c>
      <c r="J100" s="66" t="s">
        <v>860</v>
      </c>
      <c r="K100" s="55">
        <f>YEAR(F100)</f>
        <v>2011</v>
      </c>
      <c r="L100" s="67"/>
      <c r="M100" s="67"/>
      <c r="N100" s="73" t="s">
        <v>885</v>
      </c>
      <c r="O100" s="73" t="s">
        <v>907</v>
      </c>
      <c r="P100" s="74" t="s">
        <v>908</v>
      </c>
      <c r="Q100" s="75" t="s">
        <v>909</v>
      </c>
      <c r="R100" s="230">
        <v>2295</v>
      </c>
      <c r="S100" s="230"/>
      <c r="T100" s="230">
        <v>2295</v>
      </c>
      <c r="U100" s="231">
        <v>2960</v>
      </c>
      <c r="V100" s="230"/>
      <c r="W100" s="230"/>
      <c r="X100" s="231"/>
      <c r="Y100" s="85">
        <v>0.5</v>
      </c>
      <c r="Z100" s="85"/>
      <c r="AA100" s="76"/>
      <c r="AB100" s="77"/>
      <c r="AC100" s="78"/>
    </row>
    <row r="101" spans="1:29" ht="27" hidden="1" customHeight="1" x14ac:dyDescent="0.2">
      <c r="A101" s="117" t="s">
        <v>910</v>
      </c>
      <c r="B101" s="118" t="e">
        <f t="shared" si="10"/>
        <v>#VALUE!</v>
      </c>
      <c r="C101" s="118" t="s">
        <v>612</v>
      </c>
      <c r="D101" s="84">
        <v>36973</v>
      </c>
      <c r="E101" s="84">
        <v>36982</v>
      </c>
      <c r="F101" s="84">
        <f>DATE(YEAR(E101)+10,MONTH(E101),DAY(E101))</f>
        <v>40634</v>
      </c>
      <c r="G101" s="229">
        <v>1596.18</v>
      </c>
      <c r="H101" s="71" t="s">
        <v>906</v>
      </c>
      <c r="I101" s="71" t="s">
        <v>676</v>
      </c>
      <c r="J101" s="66" t="s">
        <v>860</v>
      </c>
      <c r="K101" s="55">
        <f>YEAR(F101)</f>
        <v>2011</v>
      </c>
      <c r="L101" s="67"/>
      <c r="M101" s="67"/>
      <c r="N101" s="73" t="s">
        <v>885</v>
      </c>
      <c r="O101" s="73" t="s">
        <v>907</v>
      </c>
      <c r="P101" s="74" t="s">
        <v>911</v>
      </c>
      <c r="Q101" s="75" t="s">
        <v>912</v>
      </c>
      <c r="R101" s="230">
        <v>2470.5</v>
      </c>
      <c r="S101" s="230"/>
      <c r="T101" s="230">
        <v>2470.5</v>
      </c>
      <c r="U101" s="231">
        <v>3194</v>
      </c>
      <c r="V101" s="230"/>
      <c r="W101" s="230"/>
      <c r="X101" s="231"/>
      <c r="Y101" s="85">
        <v>0.5</v>
      </c>
      <c r="Z101" s="85"/>
      <c r="AA101" s="76"/>
      <c r="AB101" s="77"/>
      <c r="AC101" s="78"/>
    </row>
    <row r="102" spans="1:29" hidden="1" x14ac:dyDescent="0.2">
      <c r="A102" s="117" t="s">
        <v>913</v>
      </c>
      <c r="B102" s="118" t="e">
        <f t="shared" si="10"/>
        <v>#VALUE!</v>
      </c>
      <c r="C102" s="118" t="s">
        <v>612</v>
      </c>
      <c r="D102" s="84">
        <v>36973</v>
      </c>
      <c r="E102" s="84">
        <v>36982</v>
      </c>
      <c r="F102" s="84">
        <f>DATE(YEAR(E102)+10,MONTH(E102),DAY(E102))</f>
        <v>40634</v>
      </c>
      <c r="G102" s="229">
        <v>1720</v>
      </c>
      <c r="H102" s="71" t="s">
        <v>906</v>
      </c>
      <c r="I102" s="71" t="s">
        <v>676</v>
      </c>
      <c r="J102" s="66" t="s">
        <v>860</v>
      </c>
      <c r="K102" s="55">
        <f>YEAR(F102)</f>
        <v>2011</v>
      </c>
      <c r="L102" s="67"/>
      <c r="M102" s="67"/>
      <c r="N102" s="73" t="s">
        <v>885</v>
      </c>
      <c r="O102" s="73" t="s">
        <v>907</v>
      </c>
      <c r="P102" s="74" t="s">
        <v>914</v>
      </c>
      <c r="Q102" s="75" t="s">
        <v>915</v>
      </c>
      <c r="R102" s="230">
        <v>2655</v>
      </c>
      <c r="S102" s="230"/>
      <c r="T102" s="230">
        <v>2655</v>
      </c>
      <c r="U102" s="231">
        <v>3440</v>
      </c>
      <c r="V102" s="230"/>
      <c r="W102" s="230"/>
      <c r="X102" s="231"/>
      <c r="Y102" s="85">
        <v>0.5</v>
      </c>
      <c r="Z102" s="85"/>
      <c r="AA102" s="76"/>
      <c r="AB102" s="77"/>
      <c r="AC102" s="78"/>
    </row>
    <row r="103" spans="1:29" hidden="1" x14ac:dyDescent="0.2">
      <c r="A103" s="117" t="s">
        <v>916</v>
      </c>
      <c r="B103" s="118" t="e">
        <f t="shared" si="10"/>
        <v>#VALUE!</v>
      </c>
      <c r="C103" s="118" t="s">
        <v>612</v>
      </c>
      <c r="D103" s="84">
        <v>36973</v>
      </c>
      <c r="E103" s="84"/>
      <c r="F103" s="84"/>
      <c r="G103" s="229"/>
      <c r="H103" s="71"/>
      <c r="I103" s="71"/>
      <c r="J103" s="88" t="s">
        <v>917</v>
      </c>
      <c r="K103" s="55"/>
      <c r="L103" s="89"/>
      <c r="M103" s="89"/>
      <c r="N103" s="73"/>
      <c r="O103" s="73"/>
      <c r="P103" s="74"/>
      <c r="Q103" s="75"/>
      <c r="R103" s="230">
        <v>3028.5</v>
      </c>
      <c r="S103" s="230">
        <v>-2953.5</v>
      </c>
      <c r="T103" s="230">
        <v>75</v>
      </c>
      <c r="U103" s="231"/>
      <c r="V103" s="230"/>
      <c r="W103" s="230"/>
      <c r="X103" s="231"/>
      <c r="Y103" s="85">
        <v>0.5</v>
      </c>
      <c r="Z103" s="85"/>
      <c r="AA103" s="76"/>
      <c r="AB103" s="77"/>
      <c r="AC103" s="78"/>
    </row>
    <row r="104" spans="1:29" hidden="1" x14ac:dyDescent="0.2">
      <c r="A104" s="117" t="s">
        <v>918</v>
      </c>
      <c r="B104" s="118" t="e">
        <f t="shared" si="10"/>
        <v>#VALUE!</v>
      </c>
      <c r="C104" s="118" t="s">
        <v>612</v>
      </c>
      <c r="D104" s="84">
        <v>36973</v>
      </c>
      <c r="E104" s="84">
        <v>36982</v>
      </c>
      <c r="F104" s="84">
        <f>DATE(YEAR(E104)+10,MONTH(E104),DAY(E104))</f>
        <v>40634</v>
      </c>
      <c r="G104" s="229">
        <v>100</v>
      </c>
      <c r="H104" s="71" t="s">
        <v>906</v>
      </c>
      <c r="I104" s="71" t="s">
        <v>676</v>
      </c>
      <c r="J104" s="66" t="s">
        <v>860</v>
      </c>
      <c r="K104" s="55">
        <f>YEAR(F104)</f>
        <v>2011</v>
      </c>
      <c r="L104" s="67"/>
      <c r="M104" s="67"/>
      <c r="N104" s="73" t="s">
        <v>885</v>
      </c>
      <c r="O104" s="73" t="s">
        <v>907</v>
      </c>
      <c r="P104" s="74" t="s">
        <v>919</v>
      </c>
      <c r="Q104" s="75" t="s">
        <v>920</v>
      </c>
      <c r="R104" s="230">
        <v>225</v>
      </c>
      <c r="S104" s="230"/>
      <c r="T104" s="230">
        <v>225</v>
      </c>
      <c r="U104" s="231">
        <v>200</v>
      </c>
      <c r="V104" s="230"/>
      <c r="W104" s="230"/>
      <c r="X104" s="231"/>
      <c r="Y104" s="85">
        <v>0.5</v>
      </c>
      <c r="Z104" s="85"/>
      <c r="AA104" s="76"/>
      <c r="AB104" s="77"/>
      <c r="AC104" s="78"/>
    </row>
    <row r="105" spans="1:29" hidden="1" x14ac:dyDescent="0.2">
      <c r="A105" s="117" t="s">
        <v>921</v>
      </c>
      <c r="B105" s="118" t="e">
        <f t="shared" si="10"/>
        <v>#VALUE!</v>
      </c>
      <c r="C105" s="118" t="s">
        <v>612</v>
      </c>
      <c r="D105" s="84">
        <v>37070</v>
      </c>
      <c r="E105" s="84">
        <v>37104</v>
      </c>
      <c r="F105" s="84">
        <f>DATE(YEAR(E105)+10,MONTH(E105),DAY(E105))</f>
        <v>40756</v>
      </c>
      <c r="G105" s="229">
        <v>40</v>
      </c>
      <c r="H105" s="71" t="s">
        <v>922</v>
      </c>
      <c r="I105" s="71" t="s">
        <v>684</v>
      </c>
      <c r="J105" s="66" t="s">
        <v>860</v>
      </c>
      <c r="K105" s="55">
        <f>YEAR(F105)</f>
        <v>2011</v>
      </c>
      <c r="L105" s="67"/>
      <c r="M105" s="67"/>
      <c r="N105" s="73"/>
      <c r="O105" s="73" t="s">
        <v>923</v>
      </c>
      <c r="P105" s="74" t="s">
        <v>924</v>
      </c>
      <c r="Q105" s="240" t="s">
        <v>925</v>
      </c>
      <c r="R105" s="230">
        <v>16135</v>
      </c>
      <c r="S105" s="230">
        <v>0</v>
      </c>
      <c r="T105" s="230">
        <v>16135</v>
      </c>
      <c r="U105" s="231">
        <v>80</v>
      </c>
      <c r="V105" s="230"/>
      <c r="W105" s="230"/>
      <c r="X105" s="231"/>
      <c r="Y105" s="85">
        <v>0.5</v>
      </c>
      <c r="Z105" s="85"/>
      <c r="AA105" s="76"/>
      <c r="AB105" s="77"/>
      <c r="AC105" s="78"/>
    </row>
    <row r="106" spans="1:29" hidden="1" x14ac:dyDescent="0.2">
      <c r="A106" s="64"/>
      <c r="D106" s="84"/>
      <c r="E106" s="84"/>
      <c r="F106" s="84"/>
      <c r="G106" s="229"/>
      <c r="H106" s="71"/>
      <c r="I106" s="71"/>
      <c r="J106" s="72" t="s">
        <v>926</v>
      </c>
      <c r="K106" s="72"/>
      <c r="L106" s="81"/>
      <c r="M106" s="81"/>
      <c r="N106" s="68"/>
      <c r="O106" s="68"/>
      <c r="P106" s="74"/>
      <c r="Q106" s="240"/>
      <c r="R106" s="230">
        <v>-450</v>
      </c>
      <c r="S106" s="230"/>
      <c r="T106" s="230">
        <v>-450</v>
      </c>
      <c r="U106" s="231"/>
      <c r="V106" s="230"/>
      <c r="W106" s="230"/>
      <c r="X106" s="231"/>
      <c r="AA106" s="76"/>
      <c r="AB106" s="77"/>
      <c r="AC106" s="78"/>
    </row>
    <row r="107" spans="1:29" hidden="1" x14ac:dyDescent="0.2">
      <c r="A107" s="64"/>
      <c r="D107" s="84"/>
      <c r="E107" s="84"/>
      <c r="F107" s="84"/>
      <c r="G107" s="229"/>
      <c r="H107" s="71"/>
      <c r="I107" s="71"/>
      <c r="J107" s="72" t="s">
        <v>927</v>
      </c>
      <c r="K107" s="72"/>
      <c r="L107" s="81"/>
      <c r="M107" s="81"/>
      <c r="N107" s="68"/>
      <c r="O107" s="68"/>
      <c r="P107" s="74"/>
      <c r="Q107" s="240"/>
      <c r="R107" s="230"/>
      <c r="S107" s="230">
        <v>-877.51</v>
      </c>
      <c r="T107" s="230">
        <v>-877.51</v>
      </c>
      <c r="U107" s="231"/>
      <c r="V107" s="230"/>
      <c r="W107" s="230"/>
      <c r="X107" s="231"/>
      <c r="AA107" s="76"/>
      <c r="AB107" s="77"/>
      <c r="AC107" s="78"/>
    </row>
    <row r="108" spans="1:29" hidden="1" x14ac:dyDescent="0.2">
      <c r="A108" s="117"/>
      <c r="D108" s="84"/>
      <c r="E108" s="84"/>
      <c r="F108" s="84"/>
      <c r="G108" s="229"/>
      <c r="H108" s="71"/>
      <c r="I108" s="71"/>
      <c r="J108" s="79"/>
      <c r="K108" s="79"/>
      <c r="L108" s="80"/>
      <c r="M108" s="80"/>
      <c r="N108" s="73"/>
      <c r="O108" s="73"/>
      <c r="P108" s="74"/>
      <c r="Q108" s="240"/>
      <c r="R108" s="230"/>
      <c r="S108" s="230"/>
      <c r="T108" s="230"/>
      <c r="U108" s="231"/>
      <c r="V108" s="230"/>
      <c r="W108" s="230"/>
      <c r="X108" s="231"/>
      <c r="Y108" s="85"/>
      <c r="Z108" s="85"/>
      <c r="AA108" s="76"/>
      <c r="AB108" s="77"/>
      <c r="AC108" s="78"/>
    </row>
    <row r="109" spans="1:29" ht="15" hidden="1" customHeight="1" thickBot="1" x14ac:dyDescent="0.25">
      <c r="A109" s="117"/>
      <c r="D109" s="84"/>
      <c r="E109" s="84"/>
      <c r="F109" s="84"/>
      <c r="G109" s="229"/>
      <c r="H109" s="71"/>
      <c r="I109" s="71"/>
      <c r="J109" s="79"/>
      <c r="K109" s="79"/>
      <c r="L109" s="80"/>
      <c r="M109" s="80"/>
      <c r="N109" s="73"/>
      <c r="O109" s="73"/>
      <c r="P109" s="74"/>
      <c r="Q109" s="240" t="s">
        <v>928</v>
      </c>
      <c r="R109" s="241">
        <v>256663</v>
      </c>
      <c r="S109" s="241">
        <v>282274.5</v>
      </c>
      <c r="T109" s="241">
        <v>538937.5</v>
      </c>
      <c r="U109" s="231"/>
      <c r="V109" s="230"/>
      <c r="W109" s="230"/>
      <c r="X109" s="231"/>
      <c r="Y109" s="82"/>
      <c r="Z109" s="82"/>
      <c r="AA109" s="83"/>
      <c r="AB109" s="77"/>
      <c r="AC109" s="78"/>
    </row>
    <row r="110" spans="1:29" hidden="1" x14ac:dyDescent="0.2">
      <c r="A110" s="117"/>
      <c r="D110" s="84"/>
      <c r="E110" s="84"/>
      <c r="F110" s="84"/>
      <c r="G110" s="229"/>
      <c r="H110" s="71"/>
      <c r="I110" s="71"/>
      <c r="J110" s="79"/>
      <c r="K110" s="79"/>
      <c r="L110" s="80"/>
      <c r="M110" s="80"/>
      <c r="N110" s="73"/>
      <c r="O110" s="73"/>
      <c r="P110" s="74"/>
      <c r="Q110" s="240"/>
      <c r="R110" s="230"/>
      <c r="S110" s="230"/>
      <c r="T110" s="230"/>
      <c r="U110" s="231"/>
      <c r="V110" s="230"/>
      <c r="W110" s="230"/>
      <c r="X110" s="231"/>
      <c r="Y110" s="85"/>
      <c r="Z110" s="85"/>
      <c r="AA110" s="76"/>
      <c r="AB110" s="77"/>
      <c r="AC110" s="78"/>
    </row>
    <row r="111" spans="1:29" hidden="1" x14ac:dyDescent="0.2">
      <c r="A111" s="117"/>
      <c r="D111" s="84"/>
      <c r="E111" s="84"/>
      <c r="F111" s="84"/>
      <c r="G111" s="229"/>
      <c r="H111" s="71"/>
      <c r="I111" s="71"/>
      <c r="J111" s="79"/>
      <c r="K111" s="79"/>
      <c r="L111" s="80"/>
      <c r="M111" s="80"/>
      <c r="N111" s="73"/>
      <c r="O111" s="73"/>
      <c r="P111" s="74"/>
      <c r="Q111" s="240"/>
      <c r="R111" s="230"/>
      <c r="S111" s="230"/>
      <c r="T111" s="230"/>
      <c r="U111" s="231"/>
      <c r="V111" s="230"/>
      <c r="W111" s="230"/>
      <c r="X111" s="231"/>
      <c r="Y111" s="85"/>
      <c r="Z111" s="85"/>
      <c r="AA111" s="76"/>
      <c r="AB111" s="77"/>
      <c r="AC111" s="78"/>
    </row>
    <row r="112" spans="1:29" hidden="1" x14ac:dyDescent="0.2">
      <c r="A112" s="117" t="s">
        <v>929</v>
      </c>
      <c r="B112" s="118" t="e">
        <f t="shared" ref="B112:B133" si="13">IF(COUNTIF(GIS,A114),"YES","NO")</f>
        <v>#VALUE!</v>
      </c>
      <c r="C112" s="118" t="s">
        <v>612</v>
      </c>
      <c r="D112" s="84">
        <v>37343</v>
      </c>
      <c r="E112" s="84">
        <v>37377</v>
      </c>
      <c r="F112" s="84">
        <f t="shared" ref="F112:F122" si="14">DATE(YEAR(E112)+10,MONTH(E112),DAY(E112))</f>
        <v>41030</v>
      </c>
      <c r="G112" s="229">
        <v>80.25</v>
      </c>
      <c r="H112" s="71" t="s">
        <v>930</v>
      </c>
      <c r="I112" s="71" t="s">
        <v>931</v>
      </c>
      <c r="J112" s="66" t="s">
        <v>932</v>
      </c>
      <c r="K112" s="55">
        <f t="shared" ref="K112:K122" si="15">YEAR(F112)</f>
        <v>2012</v>
      </c>
      <c r="L112" s="67"/>
      <c r="M112" s="67"/>
      <c r="N112" s="73" t="s">
        <v>933</v>
      </c>
      <c r="O112" s="73" t="s">
        <v>934</v>
      </c>
      <c r="P112" s="74" t="s">
        <v>935</v>
      </c>
      <c r="Q112" s="240" t="s">
        <v>936</v>
      </c>
      <c r="R112" s="230">
        <v>358.5</v>
      </c>
      <c r="S112" s="230">
        <v>648</v>
      </c>
      <c r="T112" s="230">
        <v>1006.5</v>
      </c>
      <c r="U112" s="231">
        <v>162</v>
      </c>
      <c r="V112" s="230"/>
      <c r="W112" s="230"/>
      <c r="X112" s="231"/>
      <c r="Y112" s="85">
        <v>0.5</v>
      </c>
      <c r="Z112" s="85"/>
      <c r="AA112" s="76"/>
      <c r="AB112" s="77"/>
      <c r="AC112" s="78"/>
    </row>
    <row r="113" spans="1:29" hidden="1" x14ac:dyDescent="0.2">
      <c r="A113" s="117" t="s">
        <v>937</v>
      </c>
      <c r="B113" s="118" t="e">
        <f t="shared" si="13"/>
        <v>#VALUE!</v>
      </c>
      <c r="C113" s="118" t="s">
        <v>612</v>
      </c>
      <c r="D113" s="84">
        <v>37343</v>
      </c>
      <c r="E113" s="84">
        <v>37377</v>
      </c>
      <c r="F113" s="84">
        <f t="shared" si="14"/>
        <v>41030</v>
      </c>
      <c r="G113" s="229">
        <v>80.7</v>
      </c>
      <c r="H113" s="71" t="s">
        <v>930</v>
      </c>
      <c r="I113" s="71" t="s">
        <v>931</v>
      </c>
      <c r="J113" s="66" t="s">
        <v>932</v>
      </c>
      <c r="K113" s="55">
        <f t="shared" si="15"/>
        <v>2012</v>
      </c>
      <c r="L113" s="67"/>
      <c r="M113" s="67"/>
      <c r="N113" s="73" t="s">
        <v>933</v>
      </c>
      <c r="O113" s="73" t="s">
        <v>934</v>
      </c>
      <c r="P113" s="74" t="s">
        <v>938</v>
      </c>
      <c r="Q113" s="240" t="s">
        <v>939</v>
      </c>
      <c r="R113" s="230">
        <v>358.5</v>
      </c>
      <c r="S113" s="230">
        <v>2268</v>
      </c>
      <c r="T113" s="230">
        <v>2626.5</v>
      </c>
      <c r="U113" s="231">
        <v>162</v>
      </c>
      <c r="V113" s="230"/>
      <c r="W113" s="230"/>
      <c r="X113" s="231"/>
      <c r="Y113" s="85">
        <v>0.5</v>
      </c>
      <c r="Z113" s="85"/>
      <c r="AA113" s="76"/>
      <c r="AB113" s="77"/>
      <c r="AC113" s="78"/>
    </row>
    <row r="114" spans="1:29" hidden="1" x14ac:dyDescent="0.2">
      <c r="A114" s="117" t="s">
        <v>940</v>
      </c>
      <c r="B114" s="118" t="e">
        <f t="shared" si="13"/>
        <v>#VALUE!</v>
      </c>
      <c r="C114" s="118" t="s">
        <v>612</v>
      </c>
      <c r="D114" s="84">
        <v>37343</v>
      </c>
      <c r="E114" s="84">
        <v>37377</v>
      </c>
      <c r="F114" s="84">
        <f t="shared" si="14"/>
        <v>41030</v>
      </c>
      <c r="G114" s="242"/>
      <c r="H114" s="71" t="s">
        <v>941</v>
      </c>
      <c r="I114" s="71" t="s">
        <v>684</v>
      </c>
      <c r="J114" s="129"/>
      <c r="K114" s="55">
        <f t="shared" si="15"/>
        <v>2012</v>
      </c>
      <c r="N114" s="104"/>
      <c r="O114" s="73"/>
      <c r="P114" s="74"/>
      <c r="Q114" s="240" t="s">
        <v>942</v>
      </c>
      <c r="R114" s="230">
        <v>355</v>
      </c>
      <c r="S114" s="230">
        <v>-355</v>
      </c>
      <c r="T114" s="230">
        <v>0</v>
      </c>
      <c r="U114" s="243"/>
      <c r="V114" s="244"/>
      <c r="W114" s="244"/>
      <c r="X114" s="243"/>
      <c r="Y114" s="85">
        <v>0.5</v>
      </c>
      <c r="Z114" s="85"/>
      <c r="AA114" s="76"/>
      <c r="AB114" s="77"/>
      <c r="AC114" s="78"/>
    </row>
    <row r="115" spans="1:29" ht="27" hidden="1" customHeight="1" x14ac:dyDescent="0.2">
      <c r="A115" s="117" t="s">
        <v>943</v>
      </c>
      <c r="B115" s="118" t="e">
        <f t="shared" si="13"/>
        <v>#VALUE!</v>
      </c>
      <c r="C115" s="118" t="s">
        <v>612</v>
      </c>
      <c r="D115" s="84">
        <v>37343</v>
      </c>
      <c r="E115" s="84">
        <v>37377</v>
      </c>
      <c r="F115" s="84">
        <f t="shared" si="14"/>
        <v>41030</v>
      </c>
      <c r="G115" s="229">
        <v>273.20999999999998</v>
      </c>
      <c r="H115" s="71" t="s">
        <v>944</v>
      </c>
      <c r="I115" s="71" t="s">
        <v>684</v>
      </c>
      <c r="J115" s="66" t="s">
        <v>945</v>
      </c>
      <c r="K115" s="55">
        <f t="shared" si="15"/>
        <v>2012</v>
      </c>
      <c r="L115" s="66"/>
      <c r="M115" s="66"/>
      <c r="N115" s="73" t="s">
        <v>946</v>
      </c>
      <c r="O115" s="73" t="s">
        <v>947</v>
      </c>
      <c r="P115" s="74" t="s">
        <v>948</v>
      </c>
      <c r="Q115" s="240" t="s">
        <v>949</v>
      </c>
      <c r="R115" s="230">
        <v>1034</v>
      </c>
      <c r="S115" s="230">
        <v>15892</v>
      </c>
      <c r="T115" s="230">
        <v>16926</v>
      </c>
      <c r="U115" s="231">
        <v>548</v>
      </c>
      <c r="V115" s="230"/>
      <c r="W115" s="230"/>
      <c r="X115" s="231"/>
      <c r="Y115" s="85">
        <v>0.5</v>
      </c>
      <c r="Z115" s="85"/>
      <c r="AA115" s="76"/>
      <c r="AB115" s="77"/>
      <c r="AC115" s="78"/>
    </row>
    <row r="116" spans="1:29" hidden="1" x14ac:dyDescent="0.2">
      <c r="A116" s="117" t="s">
        <v>950</v>
      </c>
      <c r="B116" s="118" t="e">
        <f t="shared" si="13"/>
        <v>#VALUE!</v>
      </c>
      <c r="C116" s="118" t="s">
        <v>612</v>
      </c>
      <c r="D116" s="84">
        <v>37343</v>
      </c>
      <c r="E116" s="84">
        <v>37377</v>
      </c>
      <c r="F116" s="84">
        <f t="shared" si="14"/>
        <v>41030</v>
      </c>
      <c r="G116" s="245"/>
      <c r="H116" s="65" t="s">
        <v>951</v>
      </c>
      <c r="I116" s="71" t="s">
        <v>684</v>
      </c>
      <c r="J116" s="66" t="s">
        <v>952</v>
      </c>
      <c r="K116" s="55">
        <f t="shared" si="15"/>
        <v>2012</v>
      </c>
      <c r="L116" s="67"/>
      <c r="M116" s="67"/>
      <c r="N116" s="104"/>
      <c r="O116" s="73" t="s">
        <v>953</v>
      </c>
      <c r="P116" s="74" t="s">
        <v>954</v>
      </c>
      <c r="Q116" s="240" t="s">
        <v>955</v>
      </c>
      <c r="R116" s="230">
        <v>358.5</v>
      </c>
      <c r="S116" s="230">
        <v>0</v>
      </c>
      <c r="T116" s="230">
        <v>358.5</v>
      </c>
      <c r="Y116" s="85">
        <v>0.5</v>
      </c>
      <c r="Z116" s="85"/>
      <c r="AA116" s="76"/>
      <c r="AB116" s="77"/>
      <c r="AC116" s="78"/>
    </row>
    <row r="117" spans="1:29" hidden="1" x14ac:dyDescent="0.2">
      <c r="A117" s="117" t="s">
        <v>956</v>
      </c>
      <c r="B117" s="118" t="e">
        <f t="shared" si="13"/>
        <v>#VALUE!</v>
      </c>
      <c r="C117" s="118" t="s">
        <v>612</v>
      </c>
      <c r="D117" s="84">
        <v>37343</v>
      </c>
      <c r="E117" s="84">
        <v>37377</v>
      </c>
      <c r="F117" s="84">
        <f t="shared" si="14"/>
        <v>41030</v>
      </c>
      <c r="G117" s="245"/>
      <c r="H117" s="65" t="s">
        <v>951</v>
      </c>
      <c r="I117" s="71" t="s">
        <v>684</v>
      </c>
      <c r="J117" s="66" t="s">
        <v>952</v>
      </c>
      <c r="K117" s="55">
        <f t="shared" si="15"/>
        <v>2012</v>
      </c>
      <c r="L117" s="67"/>
      <c r="M117" s="67"/>
      <c r="N117" s="104"/>
      <c r="O117" s="73" t="s">
        <v>953</v>
      </c>
      <c r="P117" s="74" t="s">
        <v>957</v>
      </c>
      <c r="Q117" s="240" t="s">
        <v>958</v>
      </c>
      <c r="R117" s="230">
        <v>365.5</v>
      </c>
      <c r="S117" s="230">
        <v>0</v>
      </c>
      <c r="T117" s="230">
        <v>365.5</v>
      </c>
      <c r="Y117" s="85">
        <v>0.5</v>
      </c>
      <c r="Z117" s="85"/>
      <c r="AA117" s="76"/>
      <c r="AB117" s="77"/>
      <c r="AC117" s="78"/>
    </row>
    <row r="118" spans="1:29" hidden="1" x14ac:dyDescent="0.2">
      <c r="A118" s="117" t="s">
        <v>959</v>
      </c>
      <c r="B118" s="118" t="e">
        <f t="shared" si="13"/>
        <v>#VALUE!</v>
      </c>
      <c r="C118" s="118" t="s">
        <v>612</v>
      </c>
      <c r="D118" s="84">
        <v>37343</v>
      </c>
      <c r="E118" s="84">
        <v>37377</v>
      </c>
      <c r="F118" s="84">
        <f t="shared" si="14"/>
        <v>41030</v>
      </c>
      <c r="G118" s="229">
        <v>483.34</v>
      </c>
      <c r="H118" s="71" t="s">
        <v>960</v>
      </c>
      <c r="I118" s="71" t="s">
        <v>691</v>
      </c>
      <c r="J118" s="66" t="s">
        <v>932</v>
      </c>
      <c r="K118" s="55">
        <f t="shared" si="15"/>
        <v>2012</v>
      </c>
      <c r="L118" s="67"/>
      <c r="M118" s="67"/>
      <c r="N118" s="73"/>
      <c r="O118" s="73" t="s">
        <v>961</v>
      </c>
      <c r="P118" s="74" t="s">
        <v>962</v>
      </c>
      <c r="Q118" s="240" t="s">
        <v>963</v>
      </c>
      <c r="R118" s="230">
        <v>1769</v>
      </c>
      <c r="S118" s="230">
        <v>1452</v>
      </c>
      <c r="T118" s="230">
        <v>3221</v>
      </c>
      <c r="U118" s="231">
        <v>968</v>
      </c>
      <c r="V118" s="230"/>
      <c r="W118" s="230"/>
      <c r="X118" s="231"/>
      <c r="Y118" s="85">
        <v>0.5</v>
      </c>
      <c r="Z118" s="85"/>
      <c r="AA118" s="76"/>
      <c r="AB118" s="77"/>
      <c r="AC118" s="78"/>
    </row>
    <row r="119" spans="1:29" ht="29" hidden="1" x14ac:dyDescent="0.2">
      <c r="A119" s="117" t="s">
        <v>964</v>
      </c>
      <c r="B119" s="118" t="e">
        <f t="shared" si="13"/>
        <v>#VALUE!</v>
      </c>
      <c r="C119" s="118" t="s">
        <v>612</v>
      </c>
      <c r="D119" s="84">
        <v>37343</v>
      </c>
      <c r="E119" s="84">
        <v>37377</v>
      </c>
      <c r="F119" s="84">
        <f t="shared" si="14"/>
        <v>41030</v>
      </c>
      <c r="G119" s="229">
        <v>405.81</v>
      </c>
      <c r="H119" s="71" t="s">
        <v>703</v>
      </c>
      <c r="I119" s="71" t="s">
        <v>691</v>
      </c>
      <c r="J119" s="66" t="s">
        <v>932</v>
      </c>
      <c r="K119" s="55">
        <f t="shared" si="15"/>
        <v>2012</v>
      </c>
      <c r="L119" s="67"/>
      <c r="M119" s="67"/>
      <c r="N119" s="73" t="s">
        <v>965</v>
      </c>
      <c r="O119" s="73" t="s">
        <v>966</v>
      </c>
      <c r="P119" s="74" t="s">
        <v>967</v>
      </c>
      <c r="Q119" s="240" t="s">
        <v>968</v>
      </c>
      <c r="R119" s="230">
        <v>1496</v>
      </c>
      <c r="S119" s="230">
        <v>5684</v>
      </c>
      <c r="T119" s="230">
        <v>7180</v>
      </c>
      <c r="U119" s="231">
        <v>812</v>
      </c>
      <c r="V119" s="230"/>
      <c r="W119" s="230"/>
      <c r="X119" s="231"/>
      <c r="Y119" s="85">
        <v>0.5</v>
      </c>
      <c r="Z119" s="85"/>
      <c r="AA119" s="76"/>
      <c r="AB119" s="77"/>
      <c r="AC119" s="78"/>
    </row>
    <row r="120" spans="1:29" hidden="1" x14ac:dyDescent="0.2">
      <c r="A120" s="117" t="s">
        <v>969</v>
      </c>
      <c r="B120" s="118" t="e">
        <f t="shared" si="13"/>
        <v>#VALUE!</v>
      </c>
      <c r="C120" s="118" t="s">
        <v>612</v>
      </c>
      <c r="D120" s="84">
        <v>37343</v>
      </c>
      <c r="E120" s="84">
        <v>37377</v>
      </c>
      <c r="F120" s="84">
        <f t="shared" si="14"/>
        <v>41030</v>
      </c>
      <c r="G120" s="229">
        <v>586.22</v>
      </c>
      <c r="H120" s="71" t="s">
        <v>703</v>
      </c>
      <c r="I120" s="71" t="s">
        <v>691</v>
      </c>
      <c r="J120" s="66" t="s">
        <v>932</v>
      </c>
      <c r="K120" s="55">
        <f t="shared" si="15"/>
        <v>2012</v>
      </c>
      <c r="L120" s="67"/>
      <c r="M120" s="67"/>
      <c r="N120" s="73" t="s">
        <v>965</v>
      </c>
      <c r="O120" s="73" t="s">
        <v>966</v>
      </c>
      <c r="P120" s="74" t="s">
        <v>970</v>
      </c>
      <c r="Q120" s="240" t="s">
        <v>971</v>
      </c>
      <c r="R120" s="230">
        <v>2129.5</v>
      </c>
      <c r="S120" s="230">
        <v>7044</v>
      </c>
      <c r="T120" s="230">
        <v>9173.5</v>
      </c>
      <c r="U120" s="231">
        <v>1174</v>
      </c>
      <c r="V120" s="230"/>
      <c r="W120" s="230"/>
      <c r="X120" s="231"/>
      <c r="Y120" s="85">
        <v>0.5</v>
      </c>
      <c r="Z120" s="85"/>
      <c r="AA120" s="76"/>
      <c r="AB120" s="77"/>
      <c r="AC120" s="78"/>
    </row>
    <row r="121" spans="1:29" hidden="1" x14ac:dyDescent="0.2">
      <c r="A121" s="117" t="s">
        <v>972</v>
      </c>
      <c r="B121" s="118" t="e">
        <f t="shared" si="13"/>
        <v>#VALUE!</v>
      </c>
      <c r="C121" s="118" t="s">
        <v>612</v>
      </c>
      <c r="D121" s="84">
        <v>37343</v>
      </c>
      <c r="E121" s="84">
        <v>37377</v>
      </c>
      <c r="F121" s="84">
        <f t="shared" si="14"/>
        <v>41030</v>
      </c>
      <c r="G121" s="229">
        <v>298.29000000000002</v>
      </c>
      <c r="H121" s="71" t="s">
        <v>703</v>
      </c>
      <c r="I121" s="71" t="s">
        <v>691</v>
      </c>
      <c r="J121" s="66" t="s">
        <v>932</v>
      </c>
      <c r="K121" s="55">
        <f t="shared" si="15"/>
        <v>2012</v>
      </c>
      <c r="L121" s="67"/>
      <c r="M121" s="67"/>
      <c r="N121" s="73" t="s">
        <v>965</v>
      </c>
      <c r="O121" s="73" t="s">
        <v>966</v>
      </c>
      <c r="P121" s="74" t="s">
        <v>973</v>
      </c>
      <c r="Q121" s="240" t="s">
        <v>974</v>
      </c>
      <c r="R121" s="230">
        <v>1121.5</v>
      </c>
      <c r="S121" s="230">
        <v>3588</v>
      </c>
      <c r="T121" s="230">
        <v>4709.5</v>
      </c>
      <c r="U121" s="231">
        <v>598</v>
      </c>
      <c r="V121" s="230"/>
      <c r="W121" s="230"/>
      <c r="X121" s="231"/>
      <c r="Y121" s="85">
        <v>0.5</v>
      </c>
      <c r="Z121" s="85"/>
      <c r="AA121" s="76"/>
      <c r="AB121" s="77"/>
      <c r="AC121" s="78"/>
    </row>
    <row r="122" spans="1:29" ht="27" hidden="1" customHeight="1" x14ac:dyDescent="0.2">
      <c r="A122" s="117" t="s">
        <v>975</v>
      </c>
      <c r="B122" s="118" t="e">
        <f t="shared" si="13"/>
        <v>#VALUE!</v>
      </c>
      <c r="C122" s="118" t="s">
        <v>612</v>
      </c>
      <c r="D122" s="84">
        <v>37343</v>
      </c>
      <c r="E122" s="84">
        <v>37377</v>
      </c>
      <c r="F122" s="84">
        <f t="shared" si="14"/>
        <v>41030</v>
      </c>
      <c r="G122" s="229">
        <v>280.05</v>
      </c>
      <c r="H122" s="71" t="s">
        <v>703</v>
      </c>
      <c r="I122" s="71" t="s">
        <v>691</v>
      </c>
      <c r="J122" s="66" t="s">
        <v>932</v>
      </c>
      <c r="K122" s="55">
        <f t="shared" si="15"/>
        <v>2012</v>
      </c>
      <c r="L122" s="67"/>
      <c r="M122" s="67"/>
      <c r="N122" s="73" t="s">
        <v>965</v>
      </c>
      <c r="O122" s="73" t="s">
        <v>966</v>
      </c>
      <c r="P122" s="74" t="s">
        <v>976</v>
      </c>
      <c r="Q122" s="240" t="s">
        <v>977</v>
      </c>
      <c r="R122" s="230">
        <v>1058.5</v>
      </c>
      <c r="S122" s="230">
        <v>30348</v>
      </c>
      <c r="T122" s="230">
        <v>31406.5</v>
      </c>
      <c r="U122" s="231">
        <v>562</v>
      </c>
      <c r="V122" s="230"/>
      <c r="W122" s="230"/>
      <c r="X122" s="231"/>
      <c r="Y122" s="85">
        <v>0.5</v>
      </c>
      <c r="Z122" s="85"/>
      <c r="AA122" s="76"/>
      <c r="AB122" s="77"/>
      <c r="AC122" s="78"/>
    </row>
    <row r="123" spans="1:29" hidden="1" x14ac:dyDescent="0.2">
      <c r="A123" s="117" t="s">
        <v>978</v>
      </c>
      <c r="B123" s="118" t="e">
        <f t="shared" si="13"/>
        <v>#VALUE!</v>
      </c>
      <c r="C123" s="118" t="s">
        <v>612</v>
      </c>
      <c r="D123" s="84">
        <v>37343</v>
      </c>
      <c r="E123" s="84"/>
      <c r="F123" s="84"/>
      <c r="G123" s="242"/>
      <c r="H123" s="71" t="s">
        <v>703</v>
      </c>
      <c r="I123" s="71" t="s">
        <v>691</v>
      </c>
      <c r="J123" s="88" t="s">
        <v>979</v>
      </c>
      <c r="K123" s="55"/>
      <c r="L123" s="89"/>
      <c r="M123" s="89"/>
      <c r="N123" s="104"/>
      <c r="O123" s="73"/>
      <c r="P123" s="74"/>
      <c r="Q123" s="240" t="s">
        <v>980</v>
      </c>
      <c r="R123" s="230">
        <v>2675.5</v>
      </c>
      <c r="S123" s="230">
        <v>-27194.5</v>
      </c>
      <c r="T123" s="230">
        <v>27194.5</v>
      </c>
      <c r="U123" s="243"/>
      <c r="V123" s="244"/>
      <c r="W123" s="244"/>
      <c r="X123" s="243"/>
      <c r="Y123" s="85"/>
      <c r="Z123" s="85"/>
      <c r="AA123" s="76"/>
      <c r="AB123" s="77"/>
      <c r="AC123" s="78"/>
    </row>
    <row r="124" spans="1:29" hidden="1" x14ac:dyDescent="0.2">
      <c r="A124" s="117" t="s">
        <v>981</v>
      </c>
      <c r="B124" s="118" t="e">
        <f t="shared" si="13"/>
        <v>#VALUE!</v>
      </c>
      <c r="C124" s="118" t="s">
        <v>612</v>
      </c>
      <c r="D124" s="84">
        <v>37343</v>
      </c>
      <c r="E124" s="84">
        <v>37377</v>
      </c>
      <c r="F124" s="84">
        <f t="shared" ref="F124:F133" si="16">DATE(YEAR(E124)+10,MONTH(E124),DAY(E124))</f>
        <v>41030</v>
      </c>
      <c r="G124" s="229">
        <v>80.099999999999994</v>
      </c>
      <c r="H124" s="71" t="s">
        <v>703</v>
      </c>
      <c r="I124" s="71" t="s">
        <v>691</v>
      </c>
      <c r="J124" s="66" t="s">
        <v>932</v>
      </c>
      <c r="K124" s="55">
        <f t="shared" ref="K124:K133" si="17">YEAR(F124)</f>
        <v>2012</v>
      </c>
      <c r="L124" s="67"/>
      <c r="M124" s="67"/>
      <c r="N124" s="73" t="s">
        <v>965</v>
      </c>
      <c r="O124" s="73" t="s">
        <v>966</v>
      </c>
      <c r="P124" s="74" t="s">
        <v>982</v>
      </c>
      <c r="Q124" s="240" t="s">
        <v>983</v>
      </c>
      <c r="R124" s="230">
        <v>358.5</v>
      </c>
      <c r="S124" s="230">
        <v>2268</v>
      </c>
      <c r="T124" s="230">
        <v>2626.5</v>
      </c>
      <c r="U124" s="231">
        <v>162</v>
      </c>
      <c r="V124" s="230"/>
      <c r="W124" s="230"/>
      <c r="X124" s="231"/>
      <c r="Y124" s="85">
        <v>0.5</v>
      </c>
      <c r="Z124" s="85"/>
      <c r="AA124" s="76"/>
      <c r="AB124" s="77"/>
      <c r="AC124" s="78"/>
    </row>
    <row r="125" spans="1:29" hidden="1" x14ac:dyDescent="0.2">
      <c r="A125" s="117" t="s">
        <v>984</v>
      </c>
      <c r="B125" s="118" t="e">
        <f t="shared" si="13"/>
        <v>#VALUE!</v>
      </c>
      <c r="C125" s="118" t="s">
        <v>612</v>
      </c>
      <c r="D125" s="84">
        <v>37343</v>
      </c>
      <c r="E125" s="84">
        <v>37377</v>
      </c>
      <c r="F125" s="84">
        <f t="shared" si="16"/>
        <v>41030</v>
      </c>
      <c r="G125" s="229">
        <v>79.88</v>
      </c>
      <c r="H125" s="71" t="s">
        <v>703</v>
      </c>
      <c r="I125" s="71" t="s">
        <v>691</v>
      </c>
      <c r="J125" s="66" t="s">
        <v>932</v>
      </c>
      <c r="K125" s="55">
        <f t="shared" si="17"/>
        <v>2012</v>
      </c>
      <c r="L125" s="67"/>
      <c r="M125" s="67"/>
      <c r="N125" s="73" t="s">
        <v>965</v>
      </c>
      <c r="O125" s="73" t="s">
        <v>985</v>
      </c>
      <c r="P125" s="74" t="s">
        <v>986</v>
      </c>
      <c r="Q125" s="240" t="s">
        <v>987</v>
      </c>
      <c r="R125" s="230">
        <v>355</v>
      </c>
      <c r="S125" s="230">
        <v>9840</v>
      </c>
      <c r="T125" s="230">
        <v>10195</v>
      </c>
      <c r="U125" s="231">
        <v>160</v>
      </c>
      <c r="V125" s="230"/>
      <c r="W125" s="230"/>
      <c r="X125" s="231"/>
      <c r="Y125" s="85">
        <v>0.5</v>
      </c>
      <c r="Z125" s="85"/>
      <c r="AA125" s="76"/>
      <c r="AB125" s="77"/>
      <c r="AC125" s="78"/>
    </row>
    <row r="126" spans="1:29" hidden="1" x14ac:dyDescent="0.2">
      <c r="A126" s="117" t="s">
        <v>988</v>
      </c>
      <c r="B126" s="118" t="e">
        <f t="shared" si="13"/>
        <v>#VALUE!</v>
      </c>
      <c r="C126" s="118" t="s">
        <v>612</v>
      </c>
      <c r="D126" s="84">
        <v>37343</v>
      </c>
      <c r="E126" s="84">
        <v>37377</v>
      </c>
      <c r="F126" s="84">
        <f t="shared" si="16"/>
        <v>41030</v>
      </c>
      <c r="G126" s="229">
        <v>400</v>
      </c>
      <c r="H126" s="71" t="s">
        <v>703</v>
      </c>
      <c r="I126" s="71" t="s">
        <v>691</v>
      </c>
      <c r="J126" s="66" t="s">
        <v>932</v>
      </c>
      <c r="K126" s="55">
        <f t="shared" si="17"/>
        <v>2012</v>
      </c>
      <c r="L126" s="67"/>
      <c r="M126" s="67"/>
      <c r="N126" s="73" t="s">
        <v>965</v>
      </c>
      <c r="O126" s="73" t="s">
        <v>985</v>
      </c>
      <c r="P126" s="74" t="s">
        <v>989</v>
      </c>
      <c r="Q126" s="240" t="s">
        <v>990</v>
      </c>
      <c r="R126" s="230">
        <v>1475</v>
      </c>
      <c r="S126" s="230">
        <v>13200</v>
      </c>
      <c r="T126" s="230">
        <v>14675</v>
      </c>
      <c r="U126" s="231">
        <v>800</v>
      </c>
      <c r="V126" s="230"/>
      <c r="W126" s="230"/>
      <c r="X126" s="231"/>
      <c r="Y126" s="85">
        <v>0.5</v>
      </c>
      <c r="Z126" s="85"/>
      <c r="AA126" s="76"/>
      <c r="AB126" s="77"/>
      <c r="AC126" s="78"/>
    </row>
    <row r="127" spans="1:29" hidden="1" x14ac:dyDescent="0.2">
      <c r="A127" s="117" t="s">
        <v>991</v>
      </c>
      <c r="B127" s="118" t="e">
        <f t="shared" si="13"/>
        <v>#VALUE!</v>
      </c>
      <c r="C127" s="118" t="s">
        <v>612</v>
      </c>
      <c r="D127" s="84">
        <v>37343</v>
      </c>
      <c r="E127" s="84">
        <v>37377</v>
      </c>
      <c r="F127" s="84">
        <f t="shared" si="16"/>
        <v>41030</v>
      </c>
      <c r="G127" s="229">
        <v>640.5</v>
      </c>
      <c r="H127" s="71" t="s">
        <v>703</v>
      </c>
      <c r="I127" s="71" t="s">
        <v>691</v>
      </c>
      <c r="J127" s="66" t="s">
        <v>932</v>
      </c>
      <c r="K127" s="55">
        <f t="shared" si="17"/>
        <v>2012</v>
      </c>
      <c r="L127" s="67"/>
      <c r="M127" s="67"/>
      <c r="N127" s="73" t="s">
        <v>965</v>
      </c>
      <c r="O127" s="73" t="s">
        <v>985</v>
      </c>
      <c r="P127" s="74" t="s">
        <v>992</v>
      </c>
      <c r="Q127" s="240" t="s">
        <v>993</v>
      </c>
      <c r="R127" s="230">
        <v>2318.5</v>
      </c>
      <c r="S127" s="230">
        <v>16025</v>
      </c>
      <c r="T127" s="230">
        <v>18343.5</v>
      </c>
      <c r="U127" s="231">
        <v>1282</v>
      </c>
      <c r="V127" s="230"/>
      <c r="W127" s="230"/>
      <c r="X127" s="231"/>
      <c r="Y127" s="85">
        <v>0.5</v>
      </c>
      <c r="Z127" s="85"/>
      <c r="AA127" s="76"/>
      <c r="AB127" s="77"/>
      <c r="AC127" s="78"/>
    </row>
    <row r="128" spans="1:29" hidden="1" x14ac:dyDescent="0.2">
      <c r="A128" s="117" t="s">
        <v>994</v>
      </c>
      <c r="B128" s="118" t="e">
        <f t="shared" si="13"/>
        <v>#VALUE!</v>
      </c>
      <c r="C128" s="118" t="s">
        <v>612</v>
      </c>
      <c r="D128" s="84">
        <v>37343</v>
      </c>
      <c r="E128" s="84">
        <v>37377</v>
      </c>
      <c r="F128" s="84">
        <f t="shared" si="16"/>
        <v>41030</v>
      </c>
      <c r="G128" s="229">
        <v>79.75</v>
      </c>
      <c r="H128" s="71" t="s">
        <v>703</v>
      </c>
      <c r="I128" s="71" t="s">
        <v>691</v>
      </c>
      <c r="J128" s="66" t="s">
        <v>932</v>
      </c>
      <c r="K128" s="55">
        <f t="shared" si="17"/>
        <v>2012</v>
      </c>
      <c r="L128" s="67"/>
      <c r="M128" s="67"/>
      <c r="N128" s="73" t="s">
        <v>965</v>
      </c>
      <c r="O128" s="73" t="s">
        <v>985</v>
      </c>
      <c r="P128" s="74" t="s">
        <v>995</v>
      </c>
      <c r="Q128" s="240" t="s">
        <v>996</v>
      </c>
      <c r="R128" s="230">
        <v>355</v>
      </c>
      <c r="S128" s="230">
        <v>1440</v>
      </c>
      <c r="T128" s="230">
        <v>1795</v>
      </c>
      <c r="U128" s="231">
        <v>160</v>
      </c>
      <c r="V128" s="230"/>
      <c r="W128" s="230"/>
      <c r="X128" s="231"/>
      <c r="Y128" s="85">
        <v>0.5</v>
      </c>
      <c r="Z128" s="85"/>
      <c r="AA128" s="76"/>
      <c r="AB128" s="77"/>
      <c r="AC128" s="78"/>
    </row>
    <row r="129" spans="1:29" hidden="1" x14ac:dyDescent="0.2">
      <c r="A129" s="117" t="s">
        <v>997</v>
      </c>
      <c r="B129" s="118" t="e">
        <f t="shared" si="13"/>
        <v>#VALUE!</v>
      </c>
      <c r="C129" s="118" t="s">
        <v>612</v>
      </c>
      <c r="D129" s="84">
        <v>37343</v>
      </c>
      <c r="E129" s="84">
        <v>37377</v>
      </c>
      <c r="F129" s="84">
        <f t="shared" si="16"/>
        <v>41030</v>
      </c>
      <c r="G129" s="229">
        <v>519.6</v>
      </c>
      <c r="H129" s="71" t="s">
        <v>703</v>
      </c>
      <c r="I129" s="71" t="s">
        <v>691</v>
      </c>
      <c r="J129" s="66" t="s">
        <v>932</v>
      </c>
      <c r="K129" s="55">
        <f t="shared" si="17"/>
        <v>2012</v>
      </c>
      <c r="L129" s="67"/>
      <c r="M129" s="67"/>
      <c r="N129" s="73" t="s">
        <v>965</v>
      </c>
      <c r="O129" s="73" t="s">
        <v>985</v>
      </c>
      <c r="P129" s="74" t="s">
        <v>998</v>
      </c>
      <c r="Q129" s="240" t="s">
        <v>999</v>
      </c>
      <c r="R129" s="230">
        <v>1895</v>
      </c>
      <c r="S129" s="230">
        <v>7280</v>
      </c>
      <c r="T129" s="230">
        <v>9175</v>
      </c>
      <c r="U129" s="231">
        <v>1040</v>
      </c>
      <c r="V129" s="230"/>
      <c r="W129" s="230"/>
      <c r="X129" s="231"/>
      <c r="Y129" s="85">
        <v>0.5</v>
      </c>
      <c r="Z129" s="85"/>
      <c r="AA129" s="76"/>
      <c r="AB129" s="77"/>
      <c r="AC129" s="78"/>
    </row>
    <row r="130" spans="1:29" hidden="1" x14ac:dyDescent="0.2">
      <c r="A130" s="117" t="s">
        <v>1000</v>
      </c>
      <c r="B130" s="118" t="e">
        <f t="shared" si="13"/>
        <v>#VALUE!</v>
      </c>
      <c r="C130" s="118" t="s">
        <v>612</v>
      </c>
      <c r="D130" s="84">
        <v>37343</v>
      </c>
      <c r="E130" s="84">
        <v>37377</v>
      </c>
      <c r="F130" s="84">
        <f t="shared" si="16"/>
        <v>41030</v>
      </c>
      <c r="G130" s="229">
        <v>81</v>
      </c>
      <c r="H130" s="71" t="s">
        <v>703</v>
      </c>
      <c r="I130" s="71" t="s">
        <v>691</v>
      </c>
      <c r="J130" s="66" t="s">
        <v>932</v>
      </c>
      <c r="K130" s="55">
        <f t="shared" si="17"/>
        <v>2012</v>
      </c>
      <c r="L130" s="67"/>
      <c r="M130" s="67"/>
      <c r="N130" s="73" t="s">
        <v>965</v>
      </c>
      <c r="O130" s="73" t="s">
        <v>1001</v>
      </c>
      <c r="P130" s="74" t="s">
        <v>1002</v>
      </c>
      <c r="Q130" s="240" t="s">
        <v>1003</v>
      </c>
      <c r="R130" s="230">
        <v>358.5</v>
      </c>
      <c r="S130" s="230">
        <v>405</v>
      </c>
      <c r="T130" s="230">
        <v>763.5</v>
      </c>
      <c r="U130" s="231">
        <v>162</v>
      </c>
      <c r="V130" s="230"/>
      <c r="W130" s="230"/>
      <c r="X130" s="231"/>
      <c r="Y130" s="85">
        <v>0.5</v>
      </c>
      <c r="Z130" s="85"/>
      <c r="AA130" s="76"/>
      <c r="AB130" s="77"/>
      <c r="AC130" s="78"/>
    </row>
    <row r="131" spans="1:29" hidden="1" x14ac:dyDescent="0.2">
      <c r="A131" s="117" t="s">
        <v>1004</v>
      </c>
      <c r="B131" s="118" t="e">
        <f t="shared" si="13"/>
        <v>#VALUE!</v>
      </c>
      <c r="C131" s="118" t="s">
        <v>612</v>
      </c>
      <c r="D131" s="84">
        <v>37343</v>
      </c>
      <c r="E131" s="84">
        <v>37377</v>
      </c>
      <c r="F131" s="84">
        <f t="shared" si="16"/>
        <v>41030</v>
      </c>
      <c r="G131" s="229">
        <v>656.68</v>
      </c>
      <c r="H131" s="71" t="s">
        <v>1005</v>
      </c>
      <c r="I131" s="71" t="s">
        <v>691</v>
      </c>
      <c r="J131" s="66" t="s">
        <v>932</v>
      </c>
      <c r="K131" s="55">
        <f t="shared" si="17"/>
        <v>2012</v>
      </c>
      <c r="L131" s="67"/>
      <c r="M131" s="67"/>
      <c r="N131" s="73" t="s">
        <v>965</v>
      </c>
      <c r="O131" s="73" t="s">
        <v>1006</v>
      </c>
      <c r="P131" s="74" t="s">
        <v>1007</v>
      </c>
      <c r="Q131" s="240" t="s">
        <v>1008</v>
      </c>
      <c r="R131" s="230">
        <v>2374.5</v>
      </c>
      <c r="S131" s="230">
        <v>1971</v>
      </c>
      <c r="T131" s="230">
        <v>4345.5</v>
      </c>
      <c r="U131" s="231">
        <v>1314</v>
      </c>
      <c r="V131" s="230"/>
      <c r="W131" s="230"/>
      <c r="X131" s="231"/>
      <c r="Y131" s="85">
        <v>0.5</v>
      </c>
      <c r="Z131" s="85"/>
      <c r="AA131" s="76"/>
      <c r="AB131" s="77"/>
      <c r="AC131" s="78"/>
    </row>
    <row r="132" spans="1:29" hidden="1" x14ac:dyDescent="0.2">
      <c r="A132" s="117" t="s">
        <v>1009</v>
      </c>
      <c r="B132" s="118" t="e">
        <f t="shared" si="13"/>
        <v>#VALUE!</v>
      </c>
      <c r="C132" s="118" t="s">
        <v>612</v>
      </c>
      <c r="D132" s="84">
        <v>37343</v>
      </c>
      <c r="E132" s="84">
        <v>37377</v>
      </c>
      <c r="F132" s="84">
        <f t="shared" si="16"/>
        <v>41030</v>
      </c>
      <c r="G132" s="229">
        <v>440.83</v>
      </c>
      <c r="H132" s="71" t="s">
        <v>1010</v>
      </c>
      <c r="I132" s="71" t="s">
        <v>691</v>
      </c>
      <c r="J132" s="66" t="s">
        <v>932</v>
      </c>
      <c r="K132" s="55">
        <f t="shared" si="17"/>
        <v>2012</v>
      </c>
      <c r="L132" s="67"/>
      <c r="M132" s="67"/>
      <c r="N132" s="73" t="s">
        <v>965</v>
      </c>
      <c r="O132" s="73" t="s">
        <v>1011</v>
      </c>
      <c r="P132" s="74" t="s">
        <v>1012</v>
      </c>
      <c r="Q132" s="240" t="s">
        <v>1013</v>
      </c>
      <c r="R132" s="230">
        <v>1618.5</v>
      </c>
      <c r="S132" s="230">
        <v>882</v>
      </c>
      <c r="T132" s="230">
        <v>2500.5</v>
      </c>
      <c r="U132" s="231">
        <v>882</v>
      </c>
      <c r="V132" s="230"/>
      <c r="W132" s="230"/>
      <c r="X132" s="231"/>
      <c r="Y132" s="85">
        <v>0.5</v>
      </c>
      <c r="Z132" s="85"/>
      <c r="AA132" s="76"/>
      <c r="AB132" s="77"/>
      <c r="AC132" s="78"/>
    </row>
    <row r="133" spans="1:29" ht="27" hidden="1" customHeight="1" x14ac:dyDescent="0.2">
      <c r="A133" s="117" t="s">
        <v>1014</v>
      </c>
      <c r="B133" s="118" t="e">
        <f t="shared" si="13"/>
        <v>#VALUE!</v>
      </c>
      <c r="C133" s="118" t="s">
        <v>612</v>
      </c>
      <c r="D133" s="84">
        <v>37343</v>
      </c>
      <c r="E133" s="84">
        <v>37377</v>
      </c>
      <c r="F133" s="84">
        <f t="shared" si="16"/>
        <v>41030</v>
      </c>
      <c r="G133" s="229">
        <v>314.76</v>
      </c>
      <c r="H133" s="71" t="s">
        <v>1010</v>
      </c>
      <c r="I133" s="71" t="s">
        <v>691</v>
      </c>
      <c r="J133" s="66" t="s">
        <v>932</v>
      </c>
      <c r="K133" s="55">
        <f t="shared" si="17"/>
        <v>2012</v>
      </c>
      <c r="L133" s="67"/>
      <c r="M133" s="67"/>
      <c r="N133" s="73" t="s">
        <v>965</v>
      </c>
      <c r="O133" s="73" t="s">
        <v>1011</v>
      </c>
      <c r="P133" s="74" t="s">
        <v>1015</v>
      </c>
      <c r="Q133" s="240" t="s">
        <v>1016</v>
      </c>
      <c r="R133" s="230">
        <v>1177.5</v>
      </c>
      <c r="S133" s="230">
        <v>1260</v>
      </c>
      <c r="T133" s="230">
        <v>2437.5</v>
      </c>
      <c r="U133" s="231">
        <v>630</v>
      </c>
      <c r="V133" s="230"/>
      <c r="W133" s="230"/>
      <c r="X133" s="231"/>
      <c r="Y133" s="85">
        <v>0.5</v>
      </c>
      <c r="Z133" s="85"/>
      <c r="AA133" s="76"/>
      <c r="AB133" s="77"/>
      <c r="AC133" s="78"/>
    </row>
    <row r="134" spans="1:29" hidden="1" x14ac:dyDescent="0.2">
      <c r="A134" s="117"/>
      <c r="D134" s="84"/>
      <c r="E134" s="84"/>
      <c r="F134" s="84"/>
      <c r="G134" s="229"/>
      <c r="H134" s="71"/>
      <c r="I134" s="71"/>
      <c r="J134" s="79"/>
      <c r="K134" s="79"/>
      <c r="L134" s="80"/>
      <c r="M134" s="80"/>
      <c r="N134" s="73"/>
      <c r="O134" s="73"/>
      <c r="P134" s="74"/>
      <c r="Q134" s="240"/>
      <c r="R134" s="230"/>
      <c r="S134" s="230"/>
      <c r="T134" s="230"/>
      <c r="U134" s="231"/>
      <c r="V134" s="230"/>
      <c r="W134" s="230"/>
      <c r="X134" s="231"/>
      <c r="Y134" s="85"/>
      <c r="Z134" s="85"/>
      <c r="AA134" s="76"/>
      <c r="AB134" s="77"/>
      <c r="AC134" s="78"/>
    </row>
    <row r="135" spans="1:29" hidden="1" x14ac:dyDescent="0.2">
      <c r="A135" s="117" t="s">
        <v>1017</v>
      </c>
      <c r="B135" s="118" t="e">
        <f t="shared" ref="B135:B144" si="18">IF(COUNTIF(GIS,A137),"YES","NO")</f>
        <v>#VALUE!</v>
      </c>
      <c r="C135" s="118" t="s">
        <v>612</v>
      </c>
      <c r="D135" s="84">
        <v>37448</v>
      </c>
      <c r="E135" s="84">
        <v>37469</v>
      </c>
      <c r="F135" s="84">
        <f t="shared" ref="F135:F143" si="19">DATE(YEAR(E135)+10,MONTH(E135),DAY(E135))</f>
        <v>41122</v>
      </c>
      <c r="G135" s="229">
        <v>192.81</v>
      </c>
      <c r="H135" s="71" t="s">
        <v>703</v>
      </c>
      <c r="I135" s="71" t="s">
        <v>691</v>
      </c>
      <c r="J135" s="66" t="s">
        <v>932</v>
      </c>
      <c r="K135" s="55">
        <f t="shared" ref="K135:K143" si="20">YEAR(F135)</f>
        <v>2012</v>
      </c>
      <c r="L135" s="67"/>
      <c r="M135" s="67"/>
      <c r="N135" s="73" t="s">
        <v>1018</v>
      </c>
      <c r="O135" s="73" t="s">
        <v>1019</v>
      </c>
      <c r="P135" s="74" t="s">
        <v>1020</v>
      </c>
      <c r="Q135" s="240" t="s">
        <v>1021</v>
      </c>
      <c r="R135" s="230">
        <v>364.5</v>
      </c>
      <c r="S135" s="230">
        <v>0</v>
      </c>
      <c r="T135" s="230">
        <v>364.5</v>
      </c>
      <c r="U135" s="231">
        <v>386</v>
      </c>
      <c r="V135" s="230"/>
      <c r="W135" s="230"/>
      <c r="X135" s="231"/>
      <c r="Y135" s="85">
        <v>0.5</v>
      </c>
      <c r="Z135" s="85"/>
      <c r="AA135" s="76"/>
      <c r="AB135" s="77"/>
      <c r="AC135" s="78"/>
    </row>
    <row r="136" spans="1:29" hidden="1" x14ac:dyDescent="0.2">
      <c r="A136" s="117" t="s">
        <v>1022</v>
      </c>
      <c r="B136" s="118" t="e">
        <f t="shared" si="18"/>
        <v>#VALUE!</v>
      </c>
      <c r="C136" s="118" t="s">
        <v>612</v>
      </c>
      <c r="D136" s="84">
        <v>37448</v>
      </c>
      <c r="E136" s="84">
        <v>37469</v>
      </c>
      <c r="F136" s="84">
        <f t="shared" si="19"/>
        <v>41122</v>
      </c>
      <c r="G136" s="229">
        <v>440.45</v>
      </c>
      <c r="H136" s="71" t="s">
        <v>703</v>
      </c>
      <c r="I136" s="71" t="s">
        <v>691</v>
      </c>
      <c r="J136" s="66" t="s">
        <v>932</v>
      </c>
      <c r="K136" s="55">
        <f t="shared" si="20"/>
        <v>2012</v>
      </c>
      <c r="L136" s="67"/>
      <c r="M136" s="67"/>
      <c r="N136" s="73" t="s">
        <v>1018</v>
      </c>
      <c r="O136" s="73" t="s">
        <v>1019</v>
      </c>
      <c r="P136" s="74" t="s">
        <v>1023</v>
      </c>
      <c r="Q136" s="240" t="s">
        <v>1024</v>
      </c>
      <c r="R136" s="230">
        <v>736.5</v>
      </c>
      <c r="S136" s="230">
        <v>0</v>
      </c>
      <c r="T136" s="230">
        <v>736.5</v>
      </c>
      <c r="U136" s="231">
        <v>882</v>
      </c>
      <c r="V136" s="230"/>
      <c r="W136" s="230"/>
      <c r="X136" s="231"/>
      <c r="Y136" s="85">
        <v>0.5</v>
      </c>
      <c r="Z136" s="85"/>
      <c r="AA136" s="76"/>
      <c r="AB136" s="77"/>
      <c r="AC136" s="78"/>
    </row>
    <row r="137" spans="1:29" hidden="1" x14ac:dyDescent="0.2">
      <c r="A137" s="117" t="s">
        <v>1025</v>
      </c>
      <c r="B137" s="118" t="e">
        <f t="shared" si="18"/>
        <v>#VALUE!</v>
      </c>
      <c r="C137" s="118" t="s">
        <v>612</v>
      </c>
      <c r="D137" s="84">
        <v>37448</v>
      </c>
      <c r="E137" s="84">
        <v>37469</v>
      </c>
      <c r="F137" s="84">
        <f t="shared" si="19"/>
        <v>41122</v>
      </c>
      <c r="G137" s="229">
        <v>800</v>
      </c>
      <c r="H137" s="71" t="s">
        <v>703</v>
      </c>
      <c r="I137" s="71" t="s">
        <v>691</v>
      </c>
      <c r="J137" s="66" t="s">
        <v>932</v>
      </c>
      <c r="K137" s="55">
        <f t="shared" si="20"/>
        <v>2012</v>
      </c>
      <c r="L137" s="67"/>
      <c r="M137" s="67"/>
      <c r="N137" s="73" t="s">
        <v>1018</v>
      </c>
      <c r="O137" s="73" t="s">
        <v>1019</v>
      </c>
      <c r="P137" s="74" t="s">
        <v>1026</v>
      </c>
      <c r="Q137" s="240" t="s">
        <v>1027</v>
      </c>
      <c r="R137" s="230">
        <v>1275</v>
      </c>
      <c r="S137" s="230">
        <v>0</v>
      </c>
      <c r="T137" s="230">
        <v>1275</v>
      </c>
      <c r="U137" s="231">
        <v>1600</v>
      </c>
      <c r="V137" s="230"/>
      <c r="W137" s="230"/>
      <c r="X137" s="231"/>
      <c r="Y137" s="85">
        <v>0.5</v>
      </c>
      <c r="Z137" s="85"/>
      <c r="AA137" s="76"/>
      <c r="AB137" s="77"/>
      <c r="AC137" s="78"/>
    </row>
    <row r="138" spans="1:29" ht="27" hidden="1" customHeight="1" x14ac:dyDescent="0.2">
      <c r="A138" s="117" t="s">
        <v>1028</v>
      </c>
      <c r="B138" s="118" t="e">
        <f t="shared" si="18"/>
        <v>#VALUE!</v>
      </c>
      <c r="C138" s="118" t="s">
        <v>612</v>
      </c>
      <c r="D138" s="84">
        <v>37448</v>
      </c>
      <c r="E138" s="84">
        <v>37469</v>
      </c>
      <c r="F138" s="84">
        <f t="shared" si="19"/>
        <v>41122</v>
      </c>
      <c r="G138" s="229">
        <v>520.20000000000005</v>
      </c>
      <c r="H138" s="71" t="s">
        <v>703</v>
      </c>
      <c r="I138" s="71" t="s">
        <v>691</v>
      </c>
      <c r="J138" s="66" t="s">
        <v>932</v>
      </c>
      <c r="K138" s="55">
        <f t="shared" si="20"/>
        <v>2012</v>
      </c>
      <c r="L138" s="67"/>
      <c r="M138" s="67"/>
      <c r="N138" s="73" t="s">
        <v>1018</v>
      </c>
      <c r="O138" s="73" t="s">
        <v>1019</v>
      </c>
      <c r="P138" s="74" t="s">
        <v>1029</v>
      </c>
      <c r="Q138" s="240" t="s">
        <v>1030</v>
      </c>
      <c r="R138" s="230">
        <v>856.5</v>
      </c>
      <c r="S138" s="230">
        <v>0</v>
      </c>
      <c r="T138" s="230">
        <v>856.5</v>
      </c>
      <c r="U138" s="231">
        <v>1042</v>
      </c>
      <c r="V138" s="230"/>
      <c r="W138" s="230"/>
      <c r="X138" s="231"/>
      <c r="Y138" s="85">
        <v>0.5</v>
      </c>
      <c r="Z138" s="85"/>
      <c r="AA138" s="76"/>
      <c r="AB138" s="77"/>
      <c r="AC138" s="78"/>
    </row>
    <row r="139" spans="1:29" hidden="1" x14ac:dyDescent="0.2">
      <c r="A139" s="117" t="s">
        <v>1031</v>
      </c>
      <c r="B139" s="118" t="e">
        <f t="shared" si="18"/>
        <v>#VALUE!</v>
      </c>
      <c r="C139" s="118" t="s">
        <v>612</v>
      </c>
      <c r="D139" s="84">
        <v>37448</v>
      </c>
      <c r="E139" s="84">
        <v>37469</v>
      </c>
      <c r="F139" s="84">
        <f t="shared" si="19"/>
        <v>41122</v>
      </c>
      <c r="G139" s="229">
        <v>556</v>
      </c>
      <c r="H139" s="71" t="s">
        <v>703</v>
      </c>
      <c r="I139" s="71" t="s">
        <v>691</v>
      </c>
      <c r="J139" s="66" t="s">
        <v>932</v>
      </c>
      <c r="K139" s="55">
        <f t="shared" si="20"/>
        <v>2012</v>
      </c>
      <c r="L139" s="67"/>
      <c r="M139" s="67"/>
      <c r="N139" s="73" t="s">
        <v>1018</v>
      </c>
      <c r="O139" s="73" t="s">
        <v>1019</v>
      </c>
      <c r="P139" s="74" t="s">
        <v>1032</v>
      </c>
      <c r="Q139" s="240" t="s">
        <v>1033</v>
      </c>
      <c r="R139" s="230">
        <v>909</v>
      </c>
      <c r="S139" s="230">
        <v>0</v>
      </c>
      <c r="T139" s="230">
        <v>909</v>
      </c>
      <c r="U139" s="231">
        <v>1112</v>
      </c>
      <c r="V139" s="230"/>
      <c r="W139" s="230"/>
      <c r="X139" s="231"/>
      <c r="Y139" s="85">
        <v>0.5</v>
      </c>
      <c r="Z139" s="85"/>
      <c r="AA139" s="76"/>
      <c r="AB139" s="77"/>
      <c r="AC139" s="78"/>
    </row>
    <row r="140" spans="1:29" ht="27" hidden="1" customHeight="1" x14ac:dyDescent="0.2">
      <c r="A140" s="117" t="s">
        <v>1034</v>
      </c>
      <c r="B140" s="118" t="e">
        <f t="shared" si="18"/>
        <v>#VALUE!</v>
      </c>
      <c r="C140" s="118" t="s">
        <v>612</v>
      </c>
      <c r="D140" s="84">
        <v>37448</v>
      </c>
      <c r="E140" s="84">
        <v>37469</v>
      </c>
      <c r="F140" s="84">
        <f t="shared" si="19"/>
        <v>41122</v>
      </c>
      <c r="G140" s="229">
        <v>634.29999999999995</v>
      </c>
      <c r="H140" s="71" t="s">
        <v>703</v>
      </c>
      <c r="I140" s="71" t="s">
        <v>691</v>
      </c>
      <c r="J140" s="66" t="s">
        <v>932</v>
      </c>
      <c r="K140" s="55">
        <f t="shared" si="20"/>
        <v>2012</v>
      </c>
      <c r="L140" s="67"/>
      <c r="M140" s="67"/>
      <c r="N140" s="73" t="s">
        <v>1018</v>
      </c>
      <c r="O140" s="73" t="s">
        <v>1019</v>
      </c>
      <c r="P140" s="74" t="s">
        <v>1035</v>
      </c>
      <c r="Q140" s="240" t="s">
        <v>1036</v>
      </c>
      <c r="R140" s="230">
        <v>1027.5</v>
      </c>
      <c r="S140" s="230">
        <v>0</v>
      </c>
      <c r="T140" s="230">
        <v>1027.5</v>
      </c>
      <c r="U140" s="231">
        <v>1270</v>
      </c>
      <c r="V140" s="230"/>
      <c r="W140" s="230"/>
      <c r="X140" s="231"/>
      <c r="Y140" s="85">
        <v>0.5</v>
      </c>
      <c r="Z140" s="85"/>
      <c r="AA140" s="76"/>
      <c r="AB140" s="77"/>
      <c r="AC140" s="78"/>
    </row>
    <row r="141" spans="1:29" ht="27" hidden="1" customHeight="1" x14ac:dyDescent="0.2">
      <c r="A141" s="117" t="s">
        <v>1037</v>
      </c>
      <c r="B141" s="118" t="e">
        <f t="shared" si="18"/>
        <v>#VALUE!</v>
      </c>
      <c r="C141" s="118" t="s">
        <v>612</v>
      </c>
      <c r="D141" s="84">
        <v>37448</v>
      </c>
      <c r="E141" s="84">
        <v>37469</v>
      </c>
      <c r="F141" s="84">
        <f t="shared" si="19"/>
        <v>41122</v>
      </c>
      <c r="G141" s="229">
        <v>980</v>
      </c>
      <c r="H141" s="71" t="s">
        <v>703</v>
      </c>
      <c r="I141" s="71" t="s">
        <v>691</v>
      </c>
      <c r="J141" s="66" t="s">
        <v>932</v>
      </c>
      <c r="K141" s="55">
        <f t="shared" si="20"/>
        <v>2012</v>
      </c>
      <c r="L141" s="67"/>
      <c r="M141" s="67"/>
      <c r="N141" s="73" t="s">
        <v>1018</v>
      </c>
      <c r="O141" s="73" t="s">
        <v>1019</v>
      </c>
      <c r="P141" s="74" t="s">
        <v>1038</v>
      </c>
      <c r="Q141" s="240" t="s">
        <v>1039</v>
      </c>
      <c r="R141" s="230">
        <v>1545</v>
      </c>
      <c r="S141" s="230">
        <v>0</v>
      </c>
      <c r="T141" s="230">
        <v>1545</v>
      </c>
      <c r="U141" s="231">
        <v>1960</v>
      </c>
      <c r="V141" s="230"/>
      <c r="W141" s="230"/>
      <c r="X141" s="231"/>
      <c r="Y141" s="85">
        <v>0.5</v>
      </c>
      <c r="Z141" s="85"/>
      <c r="AA141" s="76"/>
      <c r="AB141" s="77"/>
      <c r="AC141" s="78"/>
    </row>
    <row r="142" spans="1:29" hidden="1" x14ac:dyDescent="0.2">
      <c r="A142" s="117" t="s">
        <v>1040</v>
      </c>
      <c r="B142" s="118" t="e">
        <f t="shared" si="18"/>
        <v>#VALUE!</v>
      </c>
      <c r="C142" s="118" t="s">
        <v>612</v>
      </c>
      <c r="D142" s="84">
        <v>37448</v>
      </c>
      <c r="E142" s="84">
        <v>37469</v>
      </c>
      <c r="F142" s="84">
        <f t="shared" si="19"/>
        <v>41122</v>
      </c>
      <c r="G142" s="229">
        <v>600.95000000000005</v>
      </c>
      <c r="H142" s="71" t="s">
        <v>1041</v>
      </c>
      <c r="I142" s="71" t="s">
        <v>691</v>
      </c>
      <c r="J142" s="66" t="s">
        <v>932</v>
      </c>
      <c r="K142" s="55">
        <f t="shared" si="20"/>
        <v>2012</v>
      </c>
      <c r="L142" s="67"/>
      <c r="M142" s="67"/>
      <c r="N142" s="73" t="s">
        <v>1018</v>
      </c>
      <c r="O142" s="73" t="s">
        <v>1042</v>
      </c>
      <c r="P142" s="74" t="s">
        <v>1043</v>
      </c>
      <c r="Q142" s="240" t="s">
        <v>1044</v>
      </c>
      <c r="R142" s="230">
        <v>976.5</v>
      </c>
      <c r="S142" s="230">
        <v>0</v>
      </c>
      <c r="T142" s="230">
        <v>976.5</v>
      </c>
      <c r="U142" s="231">
        <v>1202</v>
      </c>
      <c r="V142" s="230"/>
      <c r="W142" s="230"/>
      <c r="X142" s="231"/>
      <c r="Y142" s="85">
        <v>0.5</v>
      </c>
      <c r="Z142" s="85"/>
      <c r="AA142" s="76"/>
      <c r="AB142" s="77"/>
      <c r="AC142" s="78"/>
    </row>
    <row r="143" spans="1:29" ht="27" hidden="1" customHeight="1" x14ac:dyDescent="0.2">
      <c r="A143" s="117" t="s">
        <v>1045</v>
      </c>
      <c r="B143" s="118" t="e">
        <f t="shared" si="18"/>
        <v>#VALUE!</v>
      </c>
      <c r="C143" s="118" t="s">
        <v>612</v>
      </c>
      <c r="D143" s="84">
        <v>37448</v>
      </c>
      <c r="E143" s="84">
        <v>37469</v>
      </c>
      <c r="F143" s="84">
        <f t="shared" si="19"/>
        <v>41122</v>
      </c>
      <c r="G143" s="229">
        <v>423.3</v>
      </c>
      <c r="H143" s="71" t="s">
        <v>1041</v>
      </c>
      <c r="I143" s="71" t="s">
        <v>691</v>
      </c>
      <c r="J143" s="66" t="s">
        <v>932</v>
      </c>
      <c r="K143" s="55">
        <f t="shared" si="20"/>
        <v>2012</v>
      </c>
      <c r="L143" s="67"/>
      <c r="M143" s="67"/>
      <c r="N143" s="73" t="s">
        <v>1018</v>
      </c>
      <c r="O143" s="73" t="s">
        <v>1042</v>
      </c>
      <c r="P143" s="74" t="s">
        <v>1046</v>
      </c>
      <c r="Q143" s="240" t="s">
        <v>1047</v>
      </c>
      <c r="R143" s="230">
        <v>711</v>
      </c>
      <c r="S143" s="230">
        <v>0</v>
      </c>
      <c r="T143" s="230">
        <v>711</v>
      </c>
      <c r="U143" s="231">
        <v>848</v>
      </c>
      <c r="V143" s="230"/>
      <c r="W143" s="230"/>
      <c r="X143" s="231"/>
      <c r="Y143" s="85">
        <v>0.5</v>
      </c>
      <c r="Z143" s="85"/>
      <c r="AA143" s="76"/>
      <c r="AB143" s="77"/>
      <c r="AC143" s="78"/>
    </row>
    <row r="144" spans="1:29" hidden="1" x14ac:dyDescent="0.2">
      <c r="A144" s="117" t="s">
        <v>1048</v>
      </c>
      <c r="B144" s="118" t="e">
        <f t="shared" si="18"/>
        <v>#VALUE!</v>
      </c>
      <c r="C144" s="118" t="s">
        <v>612</v>
      </c>
      <c r="D144" s="84">
        <v>37448</v>
      </c>
      <c r="E144" s="84"/>
      <c r="F144" s="84"/>
      <c r="G144" s="229"/>
      <c r="H144" s="71"/>
      <c r="I144" s="71"/>
      <c r="J144" s="88" t="s">
        <v>979</v>
      </c>
      <c r="K144" s="55"/>
      <c r="L144" s="89"/>
      <c r="M144" s="89"/>
      <c r="N144" s="104"/>
      <c r="O144" s="73" t="s">
        <v>618</v>
      </c>
      <c r="P144" s="74"/>
      <c r="Q144" s="240"/>
      <c r="R144" s="230">
        <v>495</v>
      </c>
      <c r="S144" s="230">
        <v>-420</v>
      </c>
      <c r="T144" s="230">
        <v>75</v>
      </c>
      <c r="U144" s="231"/>
      <c r="V144" s="230"/>
      <c r="W144" s="230"/>
      <c r="X144" s="231"/>
      <c r="Y144" s="85">
        <v>0.5</v>
      </c>
      <c r="Z144" s="85"/>
      <c r="AA144" s="76"/>
      <c r="AB144" s="77"/>
      <c r="AC144" s="78"/>
    </row>
    <row r="145" spans="1:29" hidden="1" x14ac:dyDescent="0.2">
      <c r="A145" s="117"/>
      <c r="D145" s="84"/>
      <c r="E145" s="84"/>
      <c r="F145" s="84"/>
      <c r="G145" s="229"/>
      <c r="H145" s="71"/>
      <c r="I145" s="71"/>
      <c r="J145" s="79"/>
      <c r="K145" s="79"/>
      <c r="L145" s="80"/>
      <c r="M145" s="80"/>
      <c r="N145" s="73"/>
      <c r="O145" s="73"/>
      <c r="P145" s="74"/>
      <c r="Q145" s="240"/>
      <c r="R145" s="230"/>
      <c r="S145" s="230"/>
      <c r="T145" s="230"/>
      <c r="U145" s="231"/>
      <c r="V145" s="230"/>
      <c r="W145" s="230"/>
      <c r="X145" s="231"/>
      <c r="Y145" s="85"/>
      <c r="Z145" s="85"/>
      <c r="AA145" s="76"/>
      <c r="AB145" s="77"/>
      <c r="AC145" s="78"/>
    </row>
    <row r="146" spans="1:29" hidden="1" x14ac:dyDescent="0.2">
      <c r="A146" s="117" t="s">
        <v>1049</v>
      </c>
      <c r="B146" s="118" t="e">
        <f>IF(COUNTIF(GIS,A148),"YES","NO")</f>
        <v>#VALUE!</v>
      </c>
      <c r="C146" s="118" t="s">
        <v>612</v>
      </c>
      <c r="D146" s="84">
        <v>37454</v>
      </c>
      <c r="E146" s="84">
        <v>37500</v>
      </c>
      <c r="F146" s="84">
        <f>DATE(YEAR(E146)+10,MONTH(E146),DAY(E146))</f>
        <v>41153</v>
      </c>
      <c r="G146" s="229">
        <v>167</v>
      </c>
      <c r="H146" s="71" t="s">
        <v>1050</v>
      </c>
      <c r="I146" s="71" t="s">
        <v>614</v>
      </c>
      <c r="J146" s="66" t="s">
        <v>932</v>
      </c>
      <c r="K146" s="55">
        <f>YEAR(F146)</f>
        <v>2012</v>
      </c>
      <c r="L146" s="67"/>
      <c r="M146" s="67"/>
      <c r="N146" s="73" t="s">
        <v>1051</v>
      </c>
      <c r="O146" s="73" t="s">
        <v>1052</v>
      </c>
      <c r="P146" s="74" t="s">
        <v>1053</v>
      </c>
      <c r="Q146" s="75">
        <v>200207008</v>
      </c>
      <c r="R146" s="230">
        <v>1828.5</v>
      </c>
      <c r="S146" s="230">
        <v>0</v>
      </c>
      <c r="T146" s="230">
        <v>1828.5</v>
      </c>
      <c r="U146" s="231">
        <v>334</v>
      </c>
      <c r="V146" s="230"/>
      <c r="W146" s="230"/>
      <c r="X146" s="231"/>
      <c r="Y146" s="85">
        <v>0.5</v>
      </c>
      <c r="Z146" s="85"/>
      <c r="AA146" s="76"/>
      <c r="AB146" s="77"/>
      <c r="AC146" s="78"/>
    </row>
    <row r="147" spans="1:29" hidden="1" x14ac:dyDescent="0.2">
      <c r="A147" s="117" t="s">
        <v>1054</v>
      </c>
      <c r="B147" s="118" t="e">
        <f>IF(COUNTIF(GIS,A149),"YES","NO")</f>
        <v>#VALUE!</v>
      </c>
      <c r="C147" s="118" t="s">
        <v>612</v>
      </c>
      <c r="D147" s="84">
        <v>37454</v>
      </c>
      <c r="E147" s="84">
        <v>37500</v>
      </c>
      <c r="F147" s="84">
        <f>DATE(YEAR(E147)+10,MONTH(E147),DAY(E147))</f>
        <v>41153</v>
      </c>
      <c r="G147" s="229">
        <v>641</v>
      </c>
      <c r="H147" s="71" t="s">
        <v>824</v>
      </c>
      <c r="I147" s="71" t="s">
        <v>614</v>
      </c>
      <c r="J147" s="66" t="s">
        <v>932</v>
      </c>
      <c r="K147" s="55">
        <f>YEAR(F147)</f>
        <v>2012</v>
      </c>
      <c r="L147" s="67"/>
      <c r="M147" s="67"/>
      <c r="N147" s="73" t="s">
        <v>1051</v>
      </c>
      <c r="O147" s="73" t="s">
        <v>1055</v>
      </c>
      <c r="P147" s="74" t="s">
        <v>1053</v>
      </c>
      <c r="Q147" s="75">
        <v>200207014</v>
      </c>
      <c r="R147" s="230">
        <v>10651.5</v>
      </c>
      <c r="S147" s="230">
        <v>0</v>
      </c>
      <c r="T147" s="230">
        <v>10651.5</v>
      </c>
      <c r="U147" s="231">
        <v>1282</v>
      </c>
      <c r="V147" s="230"/>
      <c r="W147" s="230"/>
      <c r="X147" s="231"/>
      <c r="Y147" s="85">
        <v>0.5</v>
      </c>
      <c r="Z147" s="85"/>
      <c r="AA147" s="76"/>
      <c r="AB147" s="77"/>
      <c r="AC147" s="78"/>
    </row>
    <row r="148" spans="1:29" hidden="1" x14ac:dyDescent="0.2">
      <c r="A148" s="117" t="s">
        <v>1056</v>
      </c>
      <c r="B148" s="118" t="e">
        <f>IF(COUNTIF(GIS,A150),"YES","NO")</f>
        <v>#VALUE!</v>
      </c>
      <c r="C148" s="118" t="s">
        <v>612</v>
      </c>
      <c r="D148" s="84">
        <v>37454</v>
      </c>
      <c r="E148" s="84">
        <v>37500</v>
      </c>
      <c r="F148" s="84">
        <f>DATE(YEAR(E148)+10,MONTH(E148),DAY(E148))</f>
        <v>41153</v>
      </c>
      <c r="G148" s="229">
        <v>975</v>
      </c>
      <c r="H148" s="71" t="s">
        <v>824</v>
      </c>
      <c r="I148" s="71" t="s">
        <v>614</v>
      </c>
      <c r="J148" s="66" t="s">
        <v>932</v>
      </c>
      <c r="K148" s="55">
        <f>YEAR(F148)</f>
        <v>2012</v>
      </c>
      <c r="L148" s="67"/>
      <c r="M148" s="67"/>
      <c r="N148" s="73" t="s">
        <v>1051</v>
      </c>
      <c r="O148" s="73" t="s">
        <v>1057</v>
      </c>
      <c r="P148" s="74" t="s">
        <v>1053</v>
      </c>
      <c r="Q148" s="75">
        <v>200207016</v>
      </c>
      <c r="R148" s="230">
        <v>27862.5</v>
      </c>
      <c r="S148" s="230">
        <v>0</v>
      </c>
      <c r="T148" s="230">
        <v>27862.5</v>
      </c>
      <c r="U148" s="231">
        <v>1950</v>
      </c>
      <c r="V148" s="230"/>
      <c r="W148" s="230"/>
      <c r="X148" s="231"/>
      <c r="Y148" s="85">
        <v>0.5</v>
      </c>
      <c r="Z148" s="85"/>
      <c r="AA148" s="76"/>
      <c r="AB148" s="77"/>
      <c r="AC148" s="78"/>
    </row>
    <row r="149" spans="1:29" hidden="1" x14ac:dyDescent="0.2">
      <c r="A149" s="117" t="s">
        <v>1058</v>
      </c>
      <c r="B149" s="118" t="e">
        <f>IF(COUNTIF(GIS,A151),"YES","NO")</f>
        <v>#VALUE!</v>
      </c>
      <c r="C149" s="118" t="s">
        <v>612</v>
      </c>
      <c r="D149" s="84">
        <v>37454</v>
      </c>
      <c r="E149" s="84">
        <v>37500</v>
      </c>
      <c r="F149" s="84">
        <f>DATE(YEAR(E149)+10,MONTH(E149),DAY(E149))</f>
        <v>41153</v>
      </c>
      <c r="G149" s="229">
        <v>49</v>
      </c>
      <c r="H149" s="71" t="s">
        <v>824</v>
      </c>
      <c r="I149" s="71" t="s">
        <v>614</v>
      </c>
      <c r="J149" s="66" t="s">
        <v>932</v>
      </c>
      <c r="K149" s="55">
        <f>YEAR(F149)</f>
        <v>2012</v>
      </c>
      <c r="L149" s="67"/>
      <c r="M149" s="67"/>
      <c r="N149" s="73" t="s">
        <v>1051</v>
      </c>
      <c r="O149" s="73" t="s">
        <v>1059</v>
      </c>
      <c r="P149" s="74" t="s">
        <v>1053</v>
      </c>
      <c r="Q149" s="75">
        <v>200207017</v>
      </c>
      <c r="R149" s="230">
        <v>491.5</v>
      </c>
      <c r="S149" s="230">
        <v>0</v>
      </c>
      <c r="T149" s="230">
        <v>491.5</v>
      </c>
      <c r="U149" s="231">
        <v>98</v>
      </c>
      <c r="V149" s="230"/>
      <c r="W149" s="230"/>
      <c r="X149" s="231"/>
      <c r="Y149" s="85">
        <v>0.5</v>
      </c>
      <c r="Z149" s="85"/>
      <c r="AA149" s="76"/>
      <c r="AB149" s="77"/>
      <c r="AC149" s="78"/>
    </row>
    <row r="150" spans="1:29" hidden="1" x14ac:dyDescent="0.2">
      <c r="A150" s="117" t="s">
        <v>1060</v>
      </c>
      <c r="B150" s="118" t="e">
        <f>IF(COUNTIF(GIS,A152),"YES","NO")</f>
        <v>#VALUE!</v>
      </c>
      <c r="C150" s="118" t="s">
        <v>612</v>
      </c>
      <c r="D150" s="84">
        <v>37454</v>
      </c>
      <c r="E150" s="84">
        <v>37500</v>
      </c>
      <c r="F150" s="84">
        <f>DATE(YEAR(E150)+10,MONTH(E150),DAY(E150))</f>
        <v>41153</v>
      </c>
      <c r="G150" s="229">
        <v>40</v>
      </c>
      <c r="H150" s="71" t="s">
        <v>845</v>
      </c>
      <c r="I150" s="71" t="s">
        <v>614</v>
      </c>
      <c r="J150" s="66" t="s">
        <v>932</v>
      </c>
      <c r="K150" s="55">
        <f>YEAR(F150)</f>
        <v>2012</v>
      </c>
      <c r="L150" s="67"/>
      <c r="M150" s="67"/>
      <c r="N150" s="73" t="s">
        <v>1051</v>
      </c>
      <c r="O150" s="73" t="s">
        <v>1061</v>
      </c>
      <c r="P150" s="74" t="s">
        <v>1053</v>
      </c>
      <c r="Q150" s="75">
        <v>200207028</v>
      </c>
      <c r="R150" s="230">
        <v>2335</v>
      </c>
      <c r="S150" s="230">
        <v>0</v>
      </c>
      <c r="T150" s="230">
        <v>2335</v>
      </c>
      <c r="U150" s="231">
        <v>80</v>
      </c>
      <c r="V150" s="230"/>
      <c r="W150" s="230"/>
      <c r="X150" s="231"/>
      <c r="Y150" s="85">
        <v>0.5</v>
      </c>
      <c r="Z150" s="85"/>
      <c r="AA150" s="76"/>
      <c r="AB150" s="77"/>
      <c r="AC150" s="78"/>
    </row>
    <row r="151" spans="1:29" hidden="1" x14ac:dyDescent="0.2">
      <c r="A151" s="64"/>
      <c r="D151" s="84"/>
      <c r="E151" s="84"/>
      <c r="F151" s="84"/>
      <c r="G151" s="229"/>
      <c r="H151" s="71"/>
      <c r="I151" s="71"/>
      <c r="J151" s="72" t="s">
        <v>1062</v>
      </c>
      <c r="K151" s="72"/>
      <c r="L151" s="81"/>
      <c r="M151" s="81"/>
      <c r="N151" s="68"/>
      <c r="O151" s="73"/>
      <c r="P151" s="74"/>
      <c r="Q151" s="75"/>
      <c r="R151" s="230">
        <v>-3689</v>
      </c>
      <c r="S151" s="230"/>
      <c r="T151" s="230">
        <v>-3689</v>
      </c>
      <c r="U151" s="231"/>
      <c r="V151" s="230"/>
      <c r="W151" s="230"/>
      <c r="X151" s="231"/>
      <c r="Z151" s="85"/>
      <c r="AA151" s="76"/>
      <c r="AB151" s="77"/>
      <c r="AC151" s="78"/>
    </row>
    <row r="152" spans="1:29" hidden="1" x14ac:dyDescent="0.2">
      <c r="A152" s="64"/>
      <c r="D152" s="84"/>
      <c r="E152" s="84"/>
      <c r="F152" s="84"/>
      <c r="G152" s="229"/>
      <c r="H152" s="71"/>
      <c r="I152" s="71"/>
      <c r="J152" s="72" t="s">
        <v>926</v>
      </c>
      <c r="K152" s="72"/>
      <c r="L152" s="81"/>
      <c r="M152" s="81"/>
      <c r="N152" s="68"/>
      <c r="O152" s="73"/>
      <c r="P152" s="74"/>
      <c r="Q152" s="75"/>
      <c r="R152" s="230">
        <v>-75</v>
      </c>
      <c r="S152" s="230"/>
      <c r="T152" s="230">
        <v>-75</v>
      </c>
      <c r="U152" s="231"/>
      <c r="V152" s="230"/>
      <c r="W152" s="230"/>
      <c r="X152" s="231"/>
      <c r="Z152" s="85"/>
      <c r="AA152" s="76"/>
      <c r="AB152" s="77"/>
      <c r="AC152" s="78"/>
    </row>
    <row r="153" spans="1:29" hidden="1" x14ac:dyDescent="0.2">
      <c r="A153" s="117"/>
      <c r="D153" s="78"/>
      <c r="E153" s="78"/>
      <c r="F153" s="84"/>
      <c r="G153" s="229"/>
      <c r="H153" s="71"/>
      <c r="I153" s="71"/>
      <c r="J153" s="79"/>
      <c r="K153" s="79"/>
      <c r="L153" s="80"/>
      <c r="M153" s="80"/>
      <c r="N153" s="73"/>
      <c r="O153" s="73"/>
      <c r="P153" s="74"/>
      <c r="Q153" s="75"/>
      <c r="R153" s="230"/>
      <c r="S153" s="230"/>
      <c r="T153" s="230"/>
      <c r="U153" s="231"/>
      <c r="V153" s="230"/>
      <c r="W153" s="230"/>
      <c r="X153" s="231"/>
      <c r="Y153" s="85"/>
      <c r="Z153" s="85"/>
      <c r="AA153" s="76"/>
      <c r="AB153" s="77"/>
      <c r="AC153" s="78"/>
    </row>
    <row r="154" spans="1:29" ht="15" hidden="1" customHeight="1" thickBot="1" x14ac:dyDescent="0.25">
      <c r="A154" s="117"/>
      <c r="D154" s="78"/>
      <c r="E154" s="78"/>
      <c r="F154" s="84"/>
      <c r="G154" s="229"/>
      <c r="H154" s="71"/>
      <c r="I154" s="71"/>
      <c r="J154" s="79"/>
      <c r="K154" s="79"/>
      <c r="L154" s="80"/>
      <c r="M154" s="80"/>
      <c r="N154" s="73"/>
      <c r="O154" s="73"/>
      <c r="P154" s="74"/>
      <c r="Q154" s="75"/>
      <c r="R154" s="241">
        <v>73667.5</v>
      </c>
      <c r="S154" s="241">
        <v>118044.5</v>
      </c>
      <c r="T154" s="241">
        <v>191712</v>
      </c>
      <c r="U154" s="231"/>
      <c r="V154" s="230"/>
      <c r="W154" s="230"/>
      <c r="X154" s="231"/>
      <c r="Y154" s="85"/>
      <c r="Z154" s="85"/>
      <c r="AA154" s="76"/>
      <c r="AB154" s="77"/>
      <c r="AC154" s="78"/>
    </row>
    <row r="155" spans="1:29" hidden="1" x14ac:dyDescent="0.2">
      <c r="A155" s="117"/>
      <c r="D155" s="78"/>
      <c r="E155" s="78"/>
      <c r="F155" s="84"/>
      <c r="G155" s="229"/>
      <c r="H155" s="71"/>
      <c r="I155" s="71"/>
      <c r="J155" s="79"/>
      <c r="K155" s="79"/>
      <c r="L155" s="80"/>
      <c r="M155" s="80"/>
      <c r="N155" s="73"/>
      <c r="O155" s="73"/>
      <c r="P155" s="74"/>
      <c r="Q155" s="75"/>
      <c r="R155" s="230"/>
      <c r="S155" s="230"/>
      <c r="T155" s="230"/>
      <c r="U155" s="231"/>
      <c r="V155" s="230"/>
      <c r="W155" s="230"/>
      <c r="X155" s="231"/>
      <c r="Y155" s="85"/>
      <c r="Z155" s="85"/>
      <c r="AA155" s="76"/>
      <c r="AB155" s="77"/>
      <c r="AC155" s="78"/>
    </row>
    <row r="156" spans="1:29" hidden="1" x14ac:dyDescent="0.2">
      <c r="A156" s="117"/>
      <c r="D156" s="78"/>
      <c r="E156" s="78"/>
      <c r="F156" s="84"/>
      <c r="G156" s="229"/>
      <c r="H156" s="71"/>
      <c r="I156" s="71"/>
      <c r="J156" s="79"/>
      <c r="K156" s="79"/>
      <c r="L156" s="80"/>
      <c r="M156" s="80"/>
      <c r="N156" s="73"/>
      <c r="O156" s="73"/>
      <c r="P156" s="74"/>
      <c r="Q156" s="75" t="s">
        <v>1063</v>
      </c>
      <c r="R156" s="230">
        <v>330330.5</v>
      </c>
      <c r="S156" s="230">
        <v>400319</v>
      </c>
      <c r="T156" s="230">
        <v>730649.5</v>
      </c>
      <c r="U156" s="231"/>
      <c r="V156" s="230"/>
      <c r="W156" s="230"/>
      <c r="X156" s="231"/>
      <c r="Y156" s="82"/>
      <c r="Z156" s="82"/>
      <c r="AA156" s="83"/>
      <c r="AB156" s="77"/>
      <c r="AC156" s="78"/>
    </row>
    <row r="157" spans="1:29" hidden="1" x14ac:dyDescent="0.2">
      <c r="A157" s="117"/>
      <c r="D157" s="78"/>
      <c r="E157" s="78"/>
      <c r="F157" s="84"/>
      <c r="G157" s="229"/>
      <c r="H157" s="71"/>
      <c r="I157" s="71"/>
      <c r="J157" s="79"/>
      <c r="K157" s="79"/>
      <c r="L157" s="80"/>
      <c r="M157" s="80"/>
      <c r="N157" s="73"/>
      <c r="O157" s="73"/>
      <c r="P157" s="74"/>
      <c r="Q157" s="75"/>
      <c r="R157" s="230"/>
      <c r="S157" s="230"/>
      <c r="T157" s="230"/>
      <c r="U157" s="231"/>
      <c r="V157" s="230"/>
      <c r="W157" s="230"/>
      <c r="X157" s="231"/>
      <c r="Y157" s="85"/>
      <c r="Z157" s="85"/>
      <c r="AA157" s="76"/>
      <c r="AB157" s="77"/>
      <c r="AC157" s="78"/>
    </row>
    <row r="158" spans="1:29" hidden="1" x14ac:dyDescent="0.2">
      <c r="A158" s="117" t="s">
        <v>1064</v>
      </c>
      <c r="B158" s="118" t="e">
        <f>IF(COUNTIF(GIS,A160),"YES","NO")</f>
        <v>#VALUE!</v>
      </c>
      <c r="C158" s="118" t="s">
        <v>612</v>
      </c>
      <c r="D158" s="84">
        <v>37818</v>
      </c>
      <c r="E158" s="84">
        <v>37865</v>
      </c>
      <c r="F158" s="84">
        <f>DATE(YEAR(E158)+10,MONTH(E158),DAY(E158))</f>
        <v>41518</v>
      </c>
      <c r="G158" s="229">
        <v>2523.6799999999998</v>
      </c>
      <c r="H158" s="71" t="s">
        <v>845</v>
      </c>
      <c r="I158" s="71" t="s">
        <v>614</v>
      </c>
      <c r="J158" s="66" t="s">
        <v>1065</v>
      </c>
      <c r="K158" s="55">
        <f>YEAR(F158)</f>
        <v>2013</v>
      </c>
      <c r="L158" s="67"/>
      <c r="M158" s="67"/>
      <c r="N158" s="73" t="s">
        <v>1051</v>
      </c>
      <c r="O158" s="73" t="s">
        <v>1066</v>
      </c>
      <c r="P158" s="74" t="s">
        <v>1067</v>
      </c>
      <c r="Q158" s="75" t="s">
        <v>1068</v>
      </c>
      <c r="R158" s="230">
        <v>3861</v>
      </c>
      <c r="S158" s="230"/>
      <c r="T158" s="230">
        <v>3861</v>
      </c>
      <c r="U158" s="231">
        <v>5048</v>
      </c>
      <c r="V158" s="230"/>
      <c r="W158" s="230"/>
      <c r="X158" s="231"/>
      <c r="Y158" s="85">
        <v>0.5</v>
      </c>
      <c r="Z158" s="85"/>
      <c r="AA158" s="76"/>
      <c r="AB158" s="77" t="s">
        <v>1069</v>
      </c>
      <c r="AC158" s="78"/>
    </row>
    <row r="159" spans="1:29" hidden="1" x14ac:dyDescent="0.2">
      <c r="A159" s="117" t="s">
        <v>1070</v>
      </c>
      <c r="B159" s="118" t="e">
        <f>IF(COUNTIF(GIS,A161),"YES","NO")</f>
        <v>#VALUE!</v>
      </c>
      <c r="C159" s="118" t="s">
        <v>612</v>
      </c>
      <c r="D159" s="84">
        <v>37818</v>
      </c>
      <c r="E159" s="84">
        <v>37865</v>
      </c>
      <c r="F159" s="84">
        <f>DATE(YEAR(E159)+10,MONTH(E159),DAY(E159))</f>
        <v>41518</v>
      </c>
      <c r="G159" s="229">
        <v>1600.66</v>
      </c>
      <c r="H159" s="71" t="s">
        <v>845</v>
      </c>
      <c r="I159" s="71" t="s">
        <v>614</v>
      </c>
      <c r="J159" s="72" t="s">
        <v>1065</v>
      </c>
      <c r="K159" s="55">
        <f>YEAR(F159)</f>
        <v>2013</v>
      </c>
      <c r="L159" s="81"/>
      <c r="M159" s="81"/>
      <c r="N159" s="73" t="s">
        <v>1051</v>
      </c>
      <c r="O159" s="73" t="s">
        <v>1071</v>
      </c>
      <c r="P159" s="74" t="s">
        <v>1067</v>
      </c>
      <c r="Q159" s="75" t="s">
        <v>1072</v>
      </c>
      <c r="R159" s="230">
        <v>2476.5</v>
      </c>
      <c r="S159" s="230"/>
      <c r="T159" s="230">
        <v>2476.5</v>
      </c>
      <c r="U159" s="231">
        <v>3202</v>
      </c>
      <c r="V159" s="230"/>
      <c r="W159" s="230"/>
      <c r="X159" s="231"/>
      <c r="Y159" s="85">
        <v>0.5</v>
      </c>
      <c r="Z159" s="85"/>
      <c r="AA159" s="76"/>
      <c r="AB159" s="77" t="s">
        <v>1069</v>
      </c>
      <c r="AC159" s="78"/>
    </row>
    <row r="160" spans="1:29" hidden="1" x14ac:dyDescent="0.2">
      <c r="A160" s="117" t="s">
        <v>1073</v>
      </c>
      <c r="B160" s="118" t="e">
        <f>IF(COUNTIF(GIS,A162),"YES","NO")</f>
        <v>#VALUE!</v>
      </c>
      <c r="C160" s="118" t="s">
        <v>612</v>
      </c>
      <c r="D160" s="84">
        <v>37818</v>
      </c>
      <c r="E160" s="84">
        <v>37865</v>
      </c>
      <c r="F160" s="84">
        <f>DATE(YEAR(E160)+10,MONTH(E160),DAY(E160))</f>
        <v>41518</v>
      </c>
      <c r="G160" s="229">
        <v>2298.16</v>
      </c>
      <c r="H160" s="71" t="s">
        <v>845</v>
      </c>
      <c r="I160" s="71" t="s">
        <v>614</v>
      </c>
      <c r="J160" s="72" t="s">
        <v>1065</v>
      </c>
      <c r="K160" s="55">
        <f>YEAR(F160)</f>
        <v>2013</v>
      </c>
      <c r="L160" s="81"/>
      <c r="M160" s="81"/>
      <c r="N160" s="73" t="s">
        <v>1051</v>
      </c>
      <c r="O160" s="73" t="s">
        <v>1074</v>
      </c>
      <c r="P160" s="74" t="s">
        <v>1067</v>
      </c>
      <c r="Q160" s="75" t="s">
        <v>1075</v>
      </c>
      <c r="R160" s="230">
        <v>3523.5</v>
      </c>
      <c r="S160" s="230"/>
      <c r="T160" s="230">
        <v>3523.5</v>
      </c>
      <c r="U160" s="231">
        <v>4598</v>
      </c>
      <c r="V160" s="230"/>
      <c r="W160" s="230"/>
      <c r="X160" s="231"/>
      <c r="Y160" s="85">
        <v>0.5</v>
      </c>
      <c r="Z160" s="85"/>
      <c r="AA160" s="76"/>
      <c r="AB160" s="77" t="s">
        <v>1069</v>
      </c>
      <c r="AC160" s="78"/>
    </row>
    <row r="161" spans="1:29" hidden="1" x14ac:dyDescent="0.2">
      <c r="A161" s="117" t="s">
        <v>1076</v>
      </c>
      <c r="B161" s="118" t="e">
        <f>IF(COUNTIF(GIS,A163),"YES","NO")</f>
        <v>#VALUE!</v>
      </c>
      <c r="C161" s="118" t="s">
        <v>612</v>
      </c>
      <c r="D161" s="84">
        <v>37818</v>
      </c>
      <c r="E161" s="84">
        <v>37865</v>
      </c>
      <c r="F161" s="84">
        <f>DATE(YEAR(E161)+10,MONTH(E161),DAY(E161))</f>
        <v>41518</v>
      </c>
      <c r="G161" s="229">
        <v>1332.06</v>
      </c>
      <c r="H161" s="71" t="s">
        <v>845</v>
      </c>
      <c r="I161" s="71" t="s">
        <v>614</v>
      </c>
      <c r="J161" s="72" t="s">
        <v>1065</v>
      </c>
      <c r="K161" s="55">
        <f>YEAR(F161)</f>
        <v>2013</v>
      </c>
      <c r="L161" s="81"/>
      <c r="M161" s="81"/>
      <c r="N161" s="73" t="s">
        <v>1051</v>
      </c>
      <c r="O161" s="73" t="s">
        <v>1077</v>
      </c>
      <c r="P161" s="74" t="s">
        <v>1067</v>
      </c>
      <c r="Q161" s="75" t="s">
        <v>1078</v>
      </c>
      <c r="R161" s="230">
        <v>2074.5</v>
      </c>
      <c r="S161" s="230"/>
      <c r="T161" s="230">
        <v>2074.5</v>
      </c>
      <c r="U161" s="231">
        <v>2666</v>
      </c>
      <c r="V161" s="230"/>
      <c r="W161" s="230"/>
      <c r="X161" s="231"/>
      <c r="Y161" s="85">
        <v>0.5</v>
      </c>
      <c r="Z161" s="85"/>
      <c r="AA161" s="76"/>
      <c r="AB161" s="77" t="s">
        <v>1069</v>
      </c>
      <c r="AC161" s="78"/>
    </row>
    <row r="162" spans="1:29" hidden="1" x14ac:dyDescent="0.2">
      <c r="A162" s="117"/>
      <c r="D162" s="78"/>
      <c r="E162" s="78"/>
      <c r="F162" s="84"/>
      <c r="G162" s="229"/>
      <c r="H162" s="71"/>
      <c r="I162" s="71"/>
      <c r="J162" s="79"/>
      <c r="K162" s="79"/>
      <c r="L162" s="80"/>
      <c r="M162" s="80"/>
      <c r="N162" s="73"/>
      <c r="O162" s="73"/>
      <c r="P162" s="74"/>
      <c r="Q162" s="75"/>
      <c r="R162" s="230"/>
      <c r="S162" s="230"/>
      <c r="T162" s="230"/>
      <c r="U162" s="231"/>
      <c r="V162" s="230"/>
      <c r="W162" s="230"/>
      <c r="X162" s="231"/>
      <c r="Y162" s="85"/>
      <c r="Z162" s="85"/>
      <c r="AA162" s="76"/>
      <c r="AB162" s="77"/>
      <c r="AC162" s="78"/>
    </row>
    <row r="163" spans="1:29" hidden="1" x14ac:dyDescent="0.2">
      <c r="A163" s="117" t="s">
        <v>623</v>
      </c>
      <c r="B163" s="118" t="e">
        <f>IF(COUNTIF(GIS,A165),"YES","NO")</f>
        <v>#VALUE!</v>
      </c>
      <c r="C163" s="118" t="s">
        <v>612</v>
      </c>
      <c r="D163" s="84">
        <v>34171</v>
      </c>
      <c r="E163" s="78"/>
      <c r="F163" s="84"/>
      <c r="G163" s="229">
        <v>0</v>
      </c>
      <c r="H163" s="71"/>
      <c r="I163" s="71"/>
      <c r="J163" s="72" t="s">
        <v>979</v>
      </c>
      <c r="K163" s="55"/>
      <c r="L163" s="81"/>
      <c r="M163" s="81"/>
      <c r="N163" s="73"/>
      <c r="O163" s="73"/>
      <c r="P163" s="74"/>
      <c r="R163" s="230"/>
      <c r="S163" s="230">
        <v>-4200</v>
      </c>
      <c r="T163" s="230">
        <v>-4200</v>
      </c>
      <c r="U163" s="231"/>
      <c r="V163" s="230"/>
      <c r="W163" s="230"/>
      <c r="X163" s="231"/>
      <c r="Y163" s="85"/>
      <c r="Z163" s="85"/>
      <c r="AA163" s="76"/>
      <c r="AB163" s="77"/>
      <c r="AC163" s="78"/>
    </row>
    <row r="164" spans="1:29" hidden="1" x14ac:dyDescent="0.2">
      <c r="A164" s="117"/>
      <c r="D164" s="78"/>
      <c r="E164" s="78"/>
      <c r="F164" s="84"/>
      <c r="G164" s="229"/>
      <c r="H164" s="71"/>
      <c r="I164" s="71"/>
      <c r="J164" s="79"/>
      <c r="K164" s="79"/>
      <c r="L164" s="80"/>
      <c r="M164" s="80"/>
      <c r="N164" s="73"/>
      <c r="O164" s="73"/>
      <c r="P164" s="74"/>
      <c r="Q164" s="75"/>
      <c r="R164" s="230"/>
      <c r="S164" s="230"/>
      <c r="T164" s="230"/>
      <c r="U164" s="231"/>
      <c r="V164" s="230"/>
      <c r="W164" s="230"/>
      <c r="X164" s="231"/>
      <c r="Y164" s="85"/>
      <c r="Z164" s="85"/>
      <c r="AA164" s="76"/>
      <c r="AB164" s="77"/>
      <c r="AC164" s="78"/>
    </row>
    <row r="165" spans="1:29" ht="15" hidden="1" customHeight="1" thickBot="1" x14ac:dyDescent="0.25">
      <c r="A165" s="117"/>
      <c r="D165" s="78"/>
      <c r="E165" s="78"/>
      <c r="F165" s="84"/>
      <c r="G165" s="229"/>
      <c r="H165" s="71"/>
      <c r="I165" s="71"/>
      <c r="J165" s="79"/>
      <c r="K165" s="79"/>
      <c r="L165" s="80"/>
      <c r="M165" s="80"/>
      <c r="N165" s="73"/>
      <c r="O165" s="73"/>
      <c r="P165" s="74"/>
      <c r="Q165" s="75" t="s">
        <v>1079</v>
      </c>
      <c r="R165" s="241">
        <v>342266</v>
      </c>
      <c r="S165" s="241">
        <v>396119</v>
      </c>
      <c r="T165" s="241">
        <v>738385</v>
      </c>
      <c r="U165" s="231"/>
      <c r="V165" s="230"/>
      <c r="W165" s="230"/>
      <c r="X165" s="231"/>
      <c r="Y165" s="82"/>
      <c r="Z165" s="82"/>
      <c r="AA165" s="83"/>
      <c r="AB165" s="77"/>
      <c r="AC165" s="78"/>
    </row>
    <row r="166" spans="1:29" hidden="1" x14ac:dyDescent="0.2">
      <c r="A166" s="117"/>
      <c r="D166" s="78"/>
      <c r="E166" s="78"/>
      <c r="F166" s="84"/>
      <c r="G166" s="229"/>
      <c r="H166" s="71"/>
      <c r="I166" s="71"/>
      <c r="J166" s="79"/>
      <c r="K166" s="79"/>
      <c r="L166" s="80"/>
      <c r="M166" s="80"/>
      <c r="N166" s="73"/>
      <c r="O166" s="73"/>
      <c r="P166" s="74"/>
      <c r="Q166" s="75"/>
      <c r="R166" s="230"/>
      <c r="S166" s="230"/>
      <c r="T166" s="230"/>
      <c r="U166" s="231"/>
      <c r="V166" s="230"/>
      <c r="W166" s="230"/>
      <c r="X166" s="231"/>
      <c r="Y166" s="85"/>
      <c r="Z166" s="85"/>
      <c r="AA166" s="76"/>
      <c r="AB166" s="77"/>
      <c r="AC166" s="78"/>
    </row>
    <row r="167" spans="1:29" hidden="1" x14ac:dyDescent="0.2">
      <c r="A167" s="117" t="s">
        <v>1080</v>
      </c>
      <c r="B167" s="118" t="e">
        <f>IF(COUNTIF(GIS,A169),"YES","NO")</f>
        <v>#VALUE!</v>
      </c>
      <c r="C167" s="118" t="s">
        <v>612</v>
      </c>
      <c r="D167" s="84">
        <v>38156</v>
      </c>
      <c r="E167" s="84">
        <v>38231</v>
      </c>
      <c r="F167" s="84">
        <f>DATE(YEAR(E167)+10,MONTH(E167),DAY(E167))</f>
        <v>41883</v>
      </c>
      <c r="G167" s="229">
        <v>379</v>
      </c>
      <c r="H167" s="71" t="s">
        <v>722</v>
      </c>
      <c r="I167" s="71" t="s">
        <v>691</v>
      </c>
      <c r="J167" s="72" t="s">
        <v>1081</v>
      </c>
      <c r="K167" s="55">
        <f>YEAR(F167)</f>
        <v>2014</v>
      </c>
      <c r="L167" s="81"/>
      <c r="M167" s="81"/>
      <c r="N167" s="73" t="s">
        <v>1082</v>
      </c>
      <c r="O167" s="73" t="s">
        <v>724</v>
      </c>
      <c r="P167" s="74" t="s">
        <v>1083</v>
      </c>
      <c r="Q167" s="69" t="s">
        <v>1084</v>
      </c>
      <c r="R167" s="230">
        <v>1780.5</v>
      </c>
      <c r="S167" s="230"/>
      <c r="T167" s="230">
        <v>1780.5</v>
      </c>
      <c r="U167" s="231">
        <v>758</v>
      </c>
      <c r="V167" s="230"/>
      <c r="W167" s="230"/>
      <c r="X167" s="231"/>
      <c r="Y167" s="85">
        <v>0.5</v>
      </c>
      <c r="Z167" s="85"/>
      <c r="AA167" s="76"/>
      <c r="AB167" s="77"/>
      <c r="AC167" s="78"/>
    </row>
    <row r="168" spans="1:29" ht="27" hidden="1" customHeight="1" x14ac:dyDescent="0.2">
      <c r="A168" s="117" t="s">
        <v>1085</v>
      </c>
      <c r="B168" s="118" t="e">
        <f>IF(COUNTIF(GIS,A170),"YES","NO")</f>
        <v>#VALUE!</v>
      </c>
      <c r="C168" s="118" t="s">
        <v>612</v>
      </c>
      <c r="D168" s="84">
        <v>38156</v>
      </c>
      <c r="E168" s="84">
        <v>38231</v>
      </c>
      <c r="F168" s="84">
        <f>DATE(YEAR(E168)+10,MONTH(E168),DAY(E168))</f>
        <v>41883</v>
      </c>
      <c r="G168" s="229">
        <v>262.76</v>
      </c>
      <c r="H168" s="71" t="s">
        <v>1086</v>
      </c>
      <c r="I168" s="71" t="s">
        <v>691</v>
      </c>
      <c r="J168" s="72" t="s">
        <v>1081</v>
      </c>
      <c r="K168" s="55">
        <f>YEAR(F168)</f>
        <v>2014</v>
      </c>
      <c r="L168" s="81"/>
      <c r="M168" s="81"/>
      <c r="N168" s="73" t="s">
        <v>1082</v>
      </c>
      <c r="O168" s="73" t="s">
        <v>1087</v>
      </c>
      <c r="P168" s="74" t="s">
        <v>1088</v>
      </c>
      <c r="Q168" s="69" t="s">
        <v>1089</v>
      </c>
      <c r="R168" s="230">
        <v>9674.5</v>
      </c>
      <c r="S168" s="230"/>
      <c r="T168" s="230">
        <v>9674.5</v>
      </c>
      <c r="U168" s="231">
        <v>526</v>
      </c>
      <c r="V168" s="230"/>
      <c r="W168" s="230"/>
      <c r="X168" s="231"/>
      <c r="Y168" s="85">
        <v>0.5</v>
      </c>
      <c r="Z168" s="85"/>
      <c r="AA168" s="76"/>
      <c r="AB168" s="77"/>
      <c r="AC168" s="78"/>
    </row>
    <row r="169" spans="1:29" hidden="1" x14ac:dyDescent="0.2">
      <c r="A169" s="117"/>
      <c r="D169" s="78"/>
      <c r="E169" s="78"/>
      <c r="F169" s="84"/>
      <c r="G169" s="229"/>
      <c r="H169" s="71"/>
      <c r="I169" s="71"/>
      <c r="J169" s="79"/>
      <c r="K169" s="79"/>
      <c r="L169" s="80"/>
      <c r="M169" s="80"/>
      <c r="N169" s="73"/>
      <c r="O169" s="73"/>
      <c r="P169" s="74"/>
      <c r="Q169" s="75"/>
      <c r="R169" s="230"/>
      <c r="S169" s="230"/>
      <c r="T169" s="230"/>
      <c r="U169" s="231"/>
      <c r="V169" s="230"/>
      <c r="W169" s="230"/>
      <c r="X169" s="231"/>
      <c r="Y169" s="85"/>
      <c r="Z169" s="85"/>
      <c r="AA169" s="76"/>
      <c r="AB169" s="77"/>
      <c r="AC169" s="78"/>
    </row>
    <row r="170" spans="1:29" ht="27" hidden="1" customHeight="1" x14ac:dyDescent="0.2">
      <c r="A170" s="117" t="s">
        <v>1090</v>
      </c>
      <c r="B170" s="118" t="e">
        <f t="shared" ref="B170:B184" si="21">IF(COUNTIF(GIS,A172),"YES","NO")</f>
        <v>#VALUE!</v>
      </c>
      <c r="C170" s="118" t="s">
        <v>612</v>
      </c>
      <c r="D170" s="84">
        <v>38253</v>
      </c>
      <c r="E170" s="84">
        <v>38322</v>
      </c>
      <c r="F170" s="84">
        <f t="shared" ref="F170:F177" si="22">DATE(YEAR(E170)+10,MONTH(E170),DAY(E170))</f>
        <v>41974</v>
      </c>
      <c r="G170" s="229">
        <v>640</v>
      </c>
      <c r="H170" s="71" t="s">
        <v>1091</v>
      </c>
      <c r="I170" s="71" t="s">
        <v>691</v>
      </c>
      <c r="J170" s="72" t="s">
        <v>1081</v>
      </c>
      <c r="K170" s="55">
        <f t="shared" ref="K170:K177" si="23">YEAR(F170)</f>
        <v>2014</v>
      </c>
      <c r="L170" s="81"/>
      <c r="M170" s="81"/>
      <c r="N170" s="73" t="s">
        <v>1092</v>
      </c>
      <c r="O170" s="73" t="s">
        <v>1093</v>
      </c>
      <c r="P170" s="74" t="s">
        <v>1094</v>
      </c>
      <c r="Q170" s="75" t="s">
        <v>1095</v>
      </c>
      <c r="R170" s="230">
        <v>2315</v>
      </c>
      <c r="S170" s="230">
        <v>1920</v>
      </c>
      <c r="T170" s="230">
        <v>4235</v>
      </c>
      <c r="U170" s="231">
        <v>1280</v>
      </c>
      <c r="V170" s="230"/>
      <c r="W170" s="230"/>
      <c r="X170" s="231"/>
      <c r="Y170" s="85">
        <v>0.5</v>
      </c>
      <c r="Z170" s="85"/>
      <c r="AA170" s="76"/>
      <c r="AB170" s="77"/>
      <c r="AC170" s="78"/>
    </row>
    <row r="171" spans="1:29" ht="27" hidden="1" customHeight="1" x14ac:dyDescent="0.2">
      <c r="A171" s="117" t="s">
        <v>1096</v>
      </c>
      <c r="B171" s="118" t="e">
        <f t="shared" si="21"/>
        <v>#VALUE!</v>
      </c>
      <c r="C171" s="118" t="s">
        <v>612</v>
      </c>
      <c r="D171" s="84">
        <v>38253</v>
      </c>
      <c r="E171" s="84">
        <v>38322</v>
      </c>
      <c r="F171" s="84">
        <f t="shared" si="22"/>
        <v>41974</v>
      </c>
      <c r="G171" s="229">
        <v>660</v>
      </c>
      <c r="H171" s="71" t="s">
        <v>1091</v>
      </c>
      <c r="I171" s="71" t="s">
        <v>691</v>
      </c>
      <c r="J171" s="72" t="s">
        <v>1081</v>
      </c>
      <c r="K171" s="55">
        <f t="shared" si="23"/>
        <v>2014</v>
      </c>
      <c r="L171" s="81"/>
      <c r="M171" s="81"/>
      <c r="N171" s="73" t="s">
        <v>1092</v>
      </c>
      <c r="O171" s="73" t="s">
        <v>1093</v>
      </c>
      <c r="P171" s="74" t="s">
        <v>1097</v>
      </c>
      <c r="Q171" s="75" t="s">
        <v>1098</v>
      </c>
      <c r="R171" s="230">
        <v>2385</v>
      </c>
      <c r="S171" s="230">
        <v>0</v>
      </c>
      <c r="T171" s="230">
        <v>2385</v>
      </c>
      <c r="U171" s="231">
        <v>1320</v>
      </c>
      <c r="V171" s="230"/>
      <c r="W171" s="230"/>
      <c r="X171" s="231"/>
      <c r="Y171" s="85">
        <v>0.5</v>
      </c>
      <c r="Z171" s="85"/>
      <c r="AA171" s="76"/>
      <c r="AB171" s="77"/>
      <c r="AC171" s="78"/>
    </row>
    <row r="172" spans="1:29" hidden="1" x14ac:dyDescent="0.2">
      <c r="A172" s="117" t="s">
        <v>1099</v>
      </c>
      <c r="B172" s="118" t="e">
        <f t="shared" si="21"/>
        <v>#VALUE!</v>
      </c>
      <c r="C172" s="118" t="s">
        <v>612</v>
      </c>
      <c r="D172" s="84">
        <v>38253</v>
      </c>
      <c r="E172" s="84">
        <v>38322</v>
      </c>
      <c r="F172" s="84">
        <f t="shared" si="22"/>
        <v>41974</v>
      </c>
      <c r="G172" s="229">
        <v>520</v>
      </c>
      <c r="H172" s="71" t="s">
        <v>1091</v>
      </c>
      <c r="I172" s="71" t="s">
        <v>691</v>
      </c>
      <c r="J172" s="72" t="s">
        <v>1081</v>
      </c>
      <c r="K172" s="55">
        <f t="shared" si="23"/>
        <v>2014</v>
      </c>
      <c r="L172" s="81"/>
      <c r="M172" s="81"/>
      <c r="N172" s="73" t="s">
        <v>1092</v>
      </c>
      <c r="O172" s="73" t="s">
        <v>1093</v>
      </c>
      <c r="P172" s="74" t="s">
        <v>1100</v>
      </c>
      <c r="Q172" s="75" t="s">
        <v>1101</v>
      </c>
      <c r="R172" s="230">
        <v>1895</v>
      </c>
      <c r="S172" s="230">
        <v>0</v>
      </c>
      <c r="T172" s="230">
        <v>1895</v>
      </c>
      <c r="U172" s="231">
        <v>1040</v>
      </c>
      <c r="V172" s="230"/>
      <c r="W172" s="230"/>
      <c r="X172" s="231"/>
      <c r="Y172" s="85">
        <v>0.5</v>
      </c>
      <c r="Z172" s="85"/>
      <c r="AA172" s="76"/>
      <c r="AB172" s="77"/>
      <c r="AC172" s="78"/>
    </row>
    <row r="173" spans="1:29" ht="40" hidden="1" customHeight="1" x14ac:dyDescent="0.2">
      <c r="A173" s="117" t="s">
        <v>1102</v>
      </c>
      <c r="B173" s="118" t="e">
        <f t="shared" si="21"/>
        <v>#VALUE!</v>
      </c>
      <c r="C173" s="118" t="s">
        <v>612</v>
      </c>
      <c r="D173" s="84">
        <v>38253</v>
      </c>
      <c r="E173" s="84">
        <v>38322</v>
      </c>
      <c r="F173" s="84">
        <f t="shared" si="22"/>
        <v>41974</v>
      </c>
      <c r="G173" s="229">
        <v>920</v>
      </c>
      <c r="H173" s="71" t="s">
        <v>1091</v>
      </c>
      <c r="I173" s="71" t="s">
        <v>691</v>
      </c>
      <c r="J173" s="72" t="s">
        <v>1081</v>
      </c>
      <c r="K173" s="55">
        <f t="shared" si="23"/>
        <v>2014</v>
      </c>
      <c r="L173" s="81"/>
      <c r="M173" s="81"/>
      <c r="N173" s="73" t="s">
        <v>1092</v>
      </c>
      <c r="O173" s="73" t="s">
        <v>1093</v>
      </c>
      <c r="P173" s="74" t="s">
        <v>1103</v>
      </c>
      <c r="Q173" s="75" t="s">
        <v>1104</v>
      </c>
      <c r="R173" s="230">
        <v>3295</v>
      </c>
      <c r="S173" s="230">
        <v>3680</v>
      </c>
      <c r="T173" s="230">
        <v>6975</v>
      </c>
      <c r="U173" s="231">
        <v>1840</v>
      </c>
      <c r="V173" s="230"/>
      <c r="W173" s="230"/>
      <c r="X173" s="231"/>
      <c r="Y173" s="85">
        <v>0.5</v>
      </c>
      <c r="Z173" s="85"/>
      <c r="AA173" s="76"/>
      <c r="AB173" s="77"/>
      <c r="AC173" s="78"/>
    </row>
    <row r="174" spans="1:29" ht="40" hidden="1" customHeight="1" x14ac:dyDescent="0.2">
      <c r="A174" s="117" t="s">
        <v>1105</v>
      </c>
      <c r="B174" s="118" t="e">
        <f t="shared" si="21"/>
        <v>#VALUE!</v>
      </c>
      <c r="C174" s="118" t="s">
        <v>612</v>
      </c>
      <c r="D174" s="84">
        <v>38253</v>
      </c>
      <c r="E174" s="84">
        <v>38322</v>
      </c>
      <c r="F174" s="84">
        <f t="shared" si="22"/>
        <v>41974</v>
      </c>
      <c r="G174" s="229">
        <v>1115</v>
      </c>
      <c r="H174" s="71" t="s">
        <v>690</v>
      </c>
      <c r="I174" s="71" t="s">
        <v>691</v>
      </c>
      <c r="J174" s="72" t="s">
        <v>1081</v>
      </c>
      <c r="K174" s="55">
        <f t="shared" si="23"/>
        <v>2014</v>
      </c>
      <c r="L174" s="81"/>
      <c r="M174" s="81"/>
      <c r="N174" s="73" t="s">
        <v>1092</v>
      </c>
      <c r="O174" s="73" t="s">
        <v>1106</v>
      </c>
      <c r="P174" s="74" t="s">
        <v>1107</v>
      </c>
      <c r="Q174" s="75" t="s">
        <v>1108</v>
      </c>
      <c r="R174" s="230">
        <v>3977.5</v>
      </c>
      <c r="S174" s="230">
        <v>6690</v>
      </c>
      <c r="T174" s="230">
        <v>10667.5</v>
      </c>
      <c r="U174" s="231">
        <v>2230</v>
      </c>
      <c r="V174" s="230"/>
      <c r="W174" s="230"/>
      <c r="X174" s="231"/>
      <c r="Y174" s="85">
        <v>0.5</v>
      </c>
      <c r="Z174" s="85"/>
      <c r="AA174" s="76"/>
      <c r="AB174" s="77"/>
      <c r="AC174" s="78"/>
    </row>
    <row r="175" spans="1:29" ht="40" hidden="1" customHeight="1" x14ac:dyDescent="0.2">
      <c r="A175" s="117" t="s">
        <v>1109</v>
      </c>
      <c r="B175" s="118" t="e">
        <f t="shared" si="21"/>
        <v>#VALUE!</v>
      </c>
      <c r="C175" s="118" t="s">
        <v>612</v>
      </c>
      <c r="D175" s="84">
        <v>38253</v>
      </c>
      <c r="E175" s="84">
        <v>38322</v>
      </c>
      <c r="F175" s="84">
        <f t="shared" si="22"/>
        <v>41974</v>
      </c>
      <c r="G175" s="229">
        <v>1200</v>
      </c>
      <c r="H175" s="71" t="s">
        <v>690</v>
      </c>
      <c r="I175" s="71" t="s">
        <v>691</v>
      </c>
      <c r="J175" s="72" t="s">
        <v>1081</v>
      </c>
      <c r="K175" s="55">
        <f t="shared" si="23"/>
        <v>2014</v>
      </c>
      <c r="L175" s="81"/>
      <c r="M175" s="81"/>
      <c r="N175" s="73" t="s">
        <v>1092</v>
      </c>
      <c r="O175" s="73" t="s">
        <v>1106</v>
      </c>
      <c r="P175" s="74" t="s">
        <v>1110</v>
      </c>
      <c r="Q175" s="75" t="s">
        <v>1111</v>
      </c>
      <c r="R175" s="230">
        <v>4275</v>
      </c>
      <c r="S175" s="230">
        <v>7200</v>
      </c>
      <c r="T175" s="230">
        <v>11475</v>
      </c>
      <c r="U175" s="231">
        <v>2400</v>
      </c>
      <c r="V175" s="230"/>
      <c r="W175" s="230"/>
      <c r="X175" s="231"/>
      <c r="Y175" s="85">
        <v>0.5</v>
      </c>
      <c r="Z175" s="85"/>
      <c r="AA175" s="76"/>
      <c r="AB175" s="77"/>
      <c r="AC175" s="78"/>
    </row>
    <row r="176" spans="1:29" ht="27" hidden="1" customHeight="1" x14ac:dyDescent="0.2">
      <c r="A176" s="117" t="s">
        <v>1112</v>
      </c>
      <c r="B176" s="118" t="e">
        <f t="shared" si="21"/>
        <v>#VALUE!</v>
      </c>
      <c r="C176" s="118" t="s">
        <v>612</v>
      </c>
      <c r="D176" s="84">
        <v>38253</v>
      </c>
      <c r="E176" s="84">
        <v>38322</v>
      </c>
      <c r="F176" s="84">
        <f t="shared" si="22"/>
        <v>41974</v>
      </c>
      <c r="G176" s="229">
        <v>360</v>
      </c>
      <c r="H176" s="71" t="s">
        <v>690</v>
      </c>
      <c r="I176" s="71" t="s">
        <v>691</v>
      </c>
      <c r="J176" s="72" t="s">
        <v>1081</v>
      </c>
      <c r="K176" s="55">
        <f t="shared" si="23"/>
        <v>2014</v>
      </c>
      <c r="L176" s="81"/>
      <c r="M176" s="81"/>
      <c r="N176" s="73" t="s">
        <v>1092</v>
      </c>
      <c r="O176" s="73" t="s">
        <v>1106</v>
      </c>
      <c r="P176" s="74" t="s">
        <v>1113</v>
      </c>
      <c r="Q176" s="75" t="s">
        <v>1114</v>
      </c>
      <c r="R176" s="230">
        <v>1335</v>
      </c>
      <c r="S176" s="230">
        <v>0</v>
      </c>
      <c r="T176" s="230">
        <v>1335</v>
      </c>
      <c r="U176" s="231">
        <v>720</v>
      </c>
      <c r="V176" s="230"/>
      <c r="W176" s="230"/>
      <c r="X176" s="231"/>
      <c r="Y176" s="85">
        <v>0.5</v>
      </c>
      <c r="Z176" s="85"/>
      <c r="AA176" s="76"/>
      <c r="AB176" s="77"/>
      <c r="AC176" s="78"/>
    </row>
    <row r="177" spans="1:29" ht="40" hidden="1" customHeight="1" x14ac:dyDescent="0.2">
      <c r="A177" s="117" t="s">
        <v>1115</v>
      </c>
      <c r="B177" s="118" t="e">
        <f t="shared" si="21"/>
        <v>#VALUE!</v>
      </c>
      <c r="C177" s="118" t="s">
        <v>612</v>
      </c>
      <c r="D177" s="84">
        <v>38253</v>
      </c>
      <c r="E177" s="84">
        <v>38322</v>
      </c>
      <c r="F177" s="84">
        <f t="shared" si="22"/>
        <v>41974</v>
      </c>
      <c r="G177" s="229">
        <v>1320</v>
      </c>
      <c r="H177" s="71" t="s">
        <v>690</v>
      </c>
      <c r="I177" s="71" t="s">
        <v>691</v>
      </c>
      <c r="J177" s="72" t="s">
        <v>1081</v>
      </c>
      <c r="K177" s="55">
        <f t="shared" si="23"/>
        <v>2014</v>
      </c>
      <c r="L177" s="81"/>
      <c r="M177" s="81"/>
      <c r="N177" s="73" t="s">
        <v>1092</v>
      </c>
      <c r="O177" s="73" t="s">
        <v>1106</v>
      </c>
      <c r="P177" s="74" t="s">
        <v>1116</v>
      </c>
      <c r="Q177" s="75" t="s">
        <v>1117</v>
      </c>
      <c r="R177" s="230">
        <v>4695</v>
      </c>
      <c r="S177" s="230">
        <v>7920</v>
      </c>
      <c r="T177" s="230">
        <v>12615</v>
      </c>
      <c r="U177" s="231">
        <v>2640</v>
      </c>
      <c r="V177" s="230"/>
      <c r="W177" s="230"/>
      <c r="X177" s="231"/>
      <c r="Y177" s="85">
        <v>0.5</v>
      </c>
      <c r="Z177" s="85"/>
      <c r="AA177" s="76"/>
      <c r="AB177" s="77"/>
      <c r="AC177" s="78"/>
    </row>
    <row r="178" spans="1:29" ht="40" hidden="1" customHeight="1" x14ac:dyDescent="0.2">
      <c r="A178" s="117" t="s">
        <v>1118</v>
      </c>
      <c r="B178" s="118" t="e">
        <f t="shared" si="21"/>
        <v>#VALUE!</v>
      </c>
      <c r="C178" s="118" t="s">
        <v>612</v>
      </c>
      <c r="D178" s="84">
        <v>38253</v>
      </c>
      <c r="E178" s="84"/>
      <c r="F178" s="84"/>
      <c r="G178" s="229"/>
      <c r="H178" s="71"/>
      <c r="I178" s="71"/>
      <c r="J178" s="72" t="s">
        <v>1119</v>
      </c>
      <c r="K178" s="55"/>
      <c r="L178" s="72"/>
      <c r="M178" s="72"/>
      <c r="N178" s="73"/>
      <c r="O178" s="73"/>
      <c r="P178" s="74"/>
      <c r="Q178" s="75" t="s">
        <v>1120</v>
      </c>
      <c r="R178" s="230">
        <v>1685</v>
      </c>
      <c r="S178" s="230">
        <v>56120</v>
      </c>
      <c r="T178" s="230">
        <v>57805</v>
      </c>
      <c r="U178" s="231"/>
      <c r="V178" s="230"/>
      <c r="W178" s="230"/>
      <c r="X178" s="231"/>
      <c r="Y178" s="85"/>
      <c r="Z178" s="85"/>
      <c r="AA178" s="76"/>
      <c r="AB178" s="77"/>
      <c r="AC178" s="78"/>
    </row>
    <row r="179" spans="1:29" hidden="1" x14ac:dyDescent="0.2">
      <c r="A179" s="117" t="s">
        <v>1121</v>
      </c>
      <c r="B179" s="118" t="e">
        <f t="shared" si="21"/>
        <v>#VALUE!</v>
      </c>
      <c r="C179" s="118" t="s">
        <v>612</v>
      </c>
      <c r="D179" s="84">
        <v>38253</v>
      </c>
      <c r="E179" s="84">
        <v>38322</v>
      </c>
      <c r="F179" s="84">
        <f t="shared" ref="F179:F184" si="24">DATE(YEAR(E179)+10,MONTH(E179),DAY(E179))</f>
        <v>41974</v>
      </c>
      <c r="G179" s="229">
        <v>360</v>
      </c>
      <c r="H179" s="71" t="s">
        <v>690</v>
      </c>
      <c r="I179" s="71" t="s">
        <v>691</v>
      </c>
      <c r="J179" s="72" t="s">
        <v>1081</v>
      </c>
      <c r="K179" s="55">
        <f t="shared" ref="K179:K184" si="25">YEAR(F179)</f>
        <v>2014</v>
      </c>
      <c r="L179" s="81"/>
      <c r="M179" s="81"/>
      <c r="N179" s="73" t="s">
        <v>1092</v>
      </c>
      <c r="O179" s="73" t="s">
        <v>1106</v>
      </c>
      <c r="P179" s="74" t="s">
        <v>1122</v>
      </c>
      <c r="Q179" s="75" t="s">
        <v>1123</v>
      </c>
      <c r="R179" s="230">
        <v>1335</v>
      </c>
      <c r="S179" s="230">
        <v>1440</v>
      </c>
      <c r="T179" s="230">
        <v>2775</v>
      </c>
      <c r="U179" s="231">
        <v>720</v>
      </c>
      <c r="V179" s="230"/>
      <c r="W179" s="230"/>
      <c r="X179" s="231"/>
      <c r="Y179" s="85">
        <v>0.5</v>
      </c>
      <c r="Z179" s="85"/>
      <c r="AA179" s="76"/>
      <c r="AB179" s="77"/>
      <c r="AC179" s="78"/>
    </row>
    <row r="180" spans="1:29" ht="27" hidden="1" customHeight="1" x14ac:dyDescent="0.2">
      <c r="A180" s="117" t="s">
        <v>1124</v>
      </c>
      <c r="B180" s="118" t="e">
        <f t="shared" si="21"/>
        <v>#VALUE!</v>
      </c>
      <c r="C180" s="118" t="s">
        <v>612</v>
      </c>
      <c r="D180" s="84">
        <v>38253</v>
      </c>
      <c r="E180" s="84">
        <v>38322</v>
      </c>
      <c r="F180" s="84">
        <f t="shared" si="24"/>
        <v>41974</v>
      </c>
      <c r="G180" s="229">
        <v>480</v>
      </c>
      <c r="H180" s="71" t="s">
        <v>690</v>
      </c>
      <c r="I180" s="71" t="s">
        <v>691</v>
      </c>
      <c r="J180" s="72" t="s">
        <v>1081</v>
      </c>
      <c r="K180" s="55">
        <f t="shared" si="25"/>
        <v>2014</v>
      </c>
      <c r="L180" s="81"/>
      <c r="M180" s="81"/>
      <c r="N180" s="73" t="s">
        <v>1092</v>
      </c>
      <c r="O180" s="73" t="s">
        <v>1106</v>
      </c>
      <c r="P180" s="74" t="s">
        <v>1125</v>
      </c>
      <c r="Q180" s="75" t="s">
        <v>1126</v>
      </c>
      <c r="R180" s="230">
        <v>1755</v>
      </c>
      <c r="S180" s="230">
        <v>1920</v>
      </c>
      <c r="T180" s="230">
        <v>3675</v>
      </c>
      <c r="U180" s="231">
        <v>960</v>
      </c>
      <c r="V180" s="230"/>
      <c r="W180" s="230"/>
      <c r="X180" s="231"/>
      <c r="Y180" s="85">
        <v>0.5</v>
      </c>
      <c r="Z180" s="85"/>
      <c r="AA180" s="76"/>
      <c r="AB180" s="77"/>
      <c r="AC180" s="78"/>
    </row>
    <row r="181" spans="1:29" ht="66" hidden="1" customHeight="1" x14ac:dyDescent="0.2">
      <c r="A181" s="117" t="s">
        <v>1127</v>
      </c>
      <c r="B181" s="118" t="e">
        <f t="shared" si="21"/>
        <v>#VALUE!</v>
      </c>
      <c r="C181" s="118" t="s">
        <v>612</v>
      </c>
      <c r="D181" s="84">
        <v>38253</v>
      </c>
      <c r="E181" s="84">
        <v>38292</v>
      </c>
      <c r="F181" s="84">
        <f t="shared" si="24"/>
        <v>41944</v>
      </c>
      <c r="G181" s="229">
        <v>887.77</v>
      </c>
      <c r="H181" s="71" t="s">
        <v>690</v>
      </c>
      <c r="I181" s="71" t="s">
        <v>691</v>
      </c>
      <c r="J181" s="72" t="s">
        <v>1128</v>
      </c>
      <c r="K181" s="55">
        <f t="shared" si="25"/>
        <v>2014</v>
      </c>
      <c r="L181" s="72"/>
      <c r="M181" s="72"/>
      <c r="N181" s="73" t="s">
        <v>1092</v>
      </c>
      <c r="O181" s="73" t="s">
        <v>1106</v>
      </c>
      <c r="P181" s="74" t="s">
        <v>1129</v>
      </c>
      <c r="Q181" s="75" t="s">
        <v>1130</v>
      </c>
      <c r="R181" s="230">
        <v>3995</v>
      </c>
      <c r="S181" s="230">
        <v>6720</v>
      </c>
      <c r="T181" s="230">
        <v>10715</v>
      </c>
      <c r="U181" s="231">
        <v>1776</v>
      </c>
      <c r="V181" s="230"/>
      <c r="W181" s="230"/>
      <c r="X181" s="231"/>
      <c r="Y181" s="85">
        <v>0.5</v>
      </c>
      <c r="Z181" s="85"/>
      <c r="AA181" s="76"/>
      <c r="AB181" s="77"/>
      <c r="AC181" s="78"/>
    </row>
    <row r="182" spans="1:29" hidden="1" x14ac:dyDescent="0.2">
      <c r="A182" s="117" t="s">
        <v>1131</v>
      </c>
      <c r="B182" s="118" t="e">
        <f t="shared" si="21"/>
        <v>#VALUE!</v>
      </c>
      <c r="C182" s="118" t="s">
        <v>612</v>
      </c>
      <c r="D182" s="84">
        <v>38253</v>
      </c>
      <c r="E182" s="84">
        <v>38292</v>
      </c>
      <c r="F182" s="84">
        <f t="shared" si="24"/>
        <v>41944</v>
      </c>
      <c r="G182" s="229">
        <v>480</v>
      </c>
      <c r="H182" s="71" t="s">
        <v>703</v>
      </c>
      <c r="I182" s="71" t="s">
        <v>691</v>
      </c>
      <c r="J182" s="72" t="s">
        <v>1081</v>
      </c>
      <c r="K182" s="55">
        <f t="shared" si="25"/>
        <v>2014</v>
      </c>
      <c r="L182" s="81"/>
      <c r="M182" s="81"/>
      <c r="N182" s="73" t="s">
        <v>1132</v>
      </c>
      <c r="O182" s="73" t="s">
        <v>1133</v>
      </c>
      <c r="P182" s="74" t="s">
        <v>1134</v>
      </c>
      <c r="Q182" s="75" t="s">
        <v>1135</v>
      </c>
      <c r="R182" s="230">
        <v>1755</v>
      </c>
      <c r="S182" s="230">
        <v>1920</v>
      </c>
      <c r="T182" s="230">
        <v>3675</v>
      </c>
      <c r="U182" s="231">
        <v>960</v>
      </c>
      <c r="V182" s="230"/>
      <c r="W182" s="230"/>
      <c r="X182" s="231"/>
      <c r="Y182" s="85">
        <v>0.5</v>
      </c>
      <c r="Z182" s="85"/>
      <c r="AA182" s="76"/>
      <c r="AB182" s="77"/>
      <c r="AC182" s="78"/>
    </row>
    <row r="183" spans="1:29" ht="29" hidden="1" x14ac:dyDescent="0.2">
      <c r="A183" s="117" t="s">
        <v>1136</v>
      </c>
      <c r="B183" s="118" t="e">
        <f t="shared" si="21"/>
        <v>#VALUE!</v>
      </c>
      <c r="C183" s="118" t="s">
        <v>612</v>
      </c>
      <c r="D183" s="84">
        <v>38253</v>
      </c>
      <c r="E183" s="84">
        <v>38292</v>
      </c>
      <c r="F183" s="84">
        <f t="shared" si="24"/>
        <v>41944</v>
      </c>
      <c r="G183" s="229">
        <v>59.49</v>
      </c>
      <c r="H183" s="71" t="s">
        <v>703</v>
      </c>
      <c r="I183" s="71" t="s">
        <v>691</v>
      </c>
      <c r="J183" s="72" t="s">
        <v>1081</v>
      </c>
      <c r="K183" s="55">
        <f t="shared" si="25"/>
        <v>2014</v>
      </c>
      <c r="L183" s="81"/>
      <c r="M183" s="81"/>
      <c r="N183" s="73" t="s">
        <v>1132</v>
      </c>
      <c r="O183" s="73" t="s">
        <v>1137</v>
      </c>
      <c r="P183" s="74" t="s">
        <v>1138</v>
      </c>
      <c r="Q183" s="75" t="s">
        <v>1139</v>
      </c>
      <c r="R183" s="230">
        <v>285</v>
      </c>
      <c r="S183" s="230">
        <v>240</v>
      </c>
      <c r="T183" s="230">
        <v>525</v>
      </c>
      <c r="U183" s="231">
        <v>120</v>
      </c>
      <c r="V183" s="230"/>
      <c r="W183" s="230"/>
      <c r="X183" s="231"/>
      <c r="Y183" s="85">
        <v>0.5</v>
      </c>
      <c r="Z183" s="85"/>
      <c r="AA183" s="76"/>
      <c r="AB183" s="77"/>
      <c r="AC183" s="78"/>
    </row>
    <row r="184" spans="1:29" ht="27" hidden="1" customHeight="1" x14ac:dyDescent="0.2">
      <c r="A184" s="117" t="s">
        <v>1140</v>
      </c>
      <c r="B184" s="118" t="e">
        <f t="shared" si="21"/>
        <v>#VALUE!</v>
      </c>
      <c r="C184" s="118" t="s">
        <v>612</v>
      </c>
      <c r="D184" s="84">
        <v>38253</v>
      </c>
      <c r="E184" s="84">
        <v>38292</v>
      </c>
      <c r="F184" s="84">
        <f t="shared" si="24"/>
        <v>41944</v>
      </c>
      <c r="G184" s="229">
        <v>80</v>
      </c>
      <c r="H184" s="71" t="s">
        <v>703</v>
      </c>
      <c r="I184" s="71" t="s">
        <v>691</v>
      </c>
      <c r="J184" s="72" t="s">
        <v>1081</v>
      </c>
      <c r="K184" s="55">
        <f t="shared" si="25"/>
        <v>2014</v>
      </c>
      <c r="L184" s="81"/>
      <c r="M184" s="81"/>
      <c r="N184" s="73" t="s">
        <v>1132</v>
      </c>
      <c r="O184" s="73" t="s">
        <v>1141</v>
      </c>
      <c r="P184" s="74" t="s">
        <v>1142</v>
      </c>
      <c r="Q184" s="75" t="s">
        <v>1143</v>
      </c>
      <c r="R184" s="230">
        <v>355</v>
      </c>
      <c r="S184" s="230">
        <v>640</v>
      </c>
      <c r="T184" s="230">
        <v>995</v>
      </c>
      <c r="U184" s="231">
        <v>160</v>
      </c>
      <c r="V184" s="230"/>
      <c r="W184" s="230"/>
      <c r="X184" s="231"/>
      <c r="Y184" s="85">
        <v>0.5</v>
      </c>
      <c r="Z184" s="85"/>
      <c r="AA184" s="76"/>
      <c r="AB184" s="77"/>
      <c r="AC184" s="78"/>
    </row>
    <row r="185" spans="1:29" hidden="1" x14ac:dyDescent="0.2">
      <c r="A185" s="117"/>
      <c r="D185" s="84"/>
      <c r="E185" s="84"/>
      <c r="F185" s="84"/>
      <c r="G185" s="229"/>
      <c r="H185" s="71"/>
      <c r="I185" s="71"/>
      <c r="J185" s="79"/>
      <c r="K185" s="79"/>
      <c r="L185" s="80"/>
      <c r="M185" s="80"/>
      <c r="N185" s="73"/>
      <c r="O185" s="73"/>
      <c r="P185" s="74"/>
      <c r="Q185" s="75" t="s">
        <v>1144</v>
      </c>
      <c r="R185" s="230">
        <v>46792.5</v>
      </c>
      <c r="S185" s="230">
        <v>38605</v>
      </c>
      <c r="T185" s="230">
        <v>85397.5</v>
      </c>
      <c r="U185" s="231"/>
      <c r="V185" s="230"/>
      <c r="W185" s="230"/>
      <c r="X185" s="231"/>
      <c r="Y185" s="85"/>
      <c r="Z185" s="85"/>
      <c r="AA185" s="76"/>
      <c r="AB185" s="77"/>
      <c r="AC185" s="78"/>
    </row>
    <row r="186" spans="1:29" hidden="1" x14ac:dyDescent="0.2">
      <c r="A186" s="117"/>
      <c r="D186" s="84"/>
      <c r="E186" s="84"/>
      <c r="F186" s="84"/>
      <c r="G186" s="229"/>
      <c r="H186" s="71"/>
      <c r="I186" s="71"/>
      <c r="J186" s="79"/>
      <c r="K186" s="79"/>
      <c r="L186" s="80"/>
      <c r="M186" s="80"/>
      <c r="N186" s="73"/>
      <c r="O186" s="73"/>
      <c r="P186" s="74"/>
      <c r="Q186" s="75"/>
      <c r="R186" s="230"/>
      <c r="S186" s="230"/>
      <c r="T186" s="230"/>
      <c r="U186" s="231"/>
      <c r="V186" s="230"/>
      <c r="W186" s="230"/>
      <c r="X186" s="231"/>
      <c r="Y186" s="85"/>
      <c r="Z186" s="85"/>
      <c r="AA186" s="76"/>
      <c r="AB186" s="77"/>
      <c r="AC186" s="78"/>
    </row>
    <row r="187" spans="1:29" hidden="1" x14ac:dyDescent="0.2">
      <c r="A187" s="117" t="s">
        <v>1145</v>
      </c>
      <c r="B187" s="118" t="e">
        <f>IF(COUNTIF(GIS,A189),"YES","NO")</f>
        <v>#VALUE!</v>
      </c>
      <c r="C187" s="118" t="s">
        <v>612</v>
      </c>
      <c r="D187" s="84">
        <v>38280</v>
      </c>
      <c r="E187" s="84">
        <v>38353</v>
      </c>
      <c r="F187" s="84">
        <f>DATE(YEAR(E187)+10,MONTH(E187),DAY(E187))</f>
        <v>42005</v>
      </c>
      <c r="G187" s="229">
        <v>160</v>
      </c>
      <c r="H187" s="71" t="s">
        <v>1146</v>
      </c>
      <c r="I187" s="71" t="s">
        <v>1147</v>
      </c>
      <c r="J187" s="72" t="s">
        <v>1081</v>
      </c>
      <c r="K187" s="55">
        <f>YEAR(F187)</f>
        <v>2015</v>
      </c>
      <c r="L187" s="81"/>
      <c r="M187" s="81"/>
      <c r="N187" s="73"/>
      <c r="O187" s="73" t="s">
        <v>1148</v>
      </c>
      <c r="P187" s="74" t="s">
        <v>1149</v>
      </c>
      <c r="Q187" s="75" t="s">
        <v>1150</v>
      </c>
      <c r="R187" s="230">
        <v>635</v>
      </c>
      <c r="S187" s="230">
        <v>31680</v>
      </c>
      <c r="T187" s="230">
        <v>32315</v>
      </c>
      <c r="U187" s="231">
        <v>320</v>
      </c>
      <c r="V187" s="230"/>
      <c r="W187" s="230"/>
      <c r="X187" s="231"/>
      <c r="Y187" s="85">
        <v>0.5</v>
      </c>
      <c r="Z187" s="85"/>
      <c r="AA187" s="76"/>
      <c r="AB187" s="77"/>
      <c r="AC187" s="78"/>
    </row>
    <row r="188" spans="1:29" hidden="1" x14ac:dyDescent="0.2">
      <c r="A188" s="117" t="s">
        <v>1151</v>
      </c>
      <c r="B188" s="118" t="e">
        <f>IF(COUNTIF(GIS,A190),"YES","NO")</f>
        <v>#VALUE!</v>
      </c>
      <c r="C188" s="118" t="s">
        <v>612</v>
      </c>
      <c r="D188" s="84">
        <v>38280</v>
      </c>
      <c r="E188" s="84">
        <v>38353</v>
      </c>
      <c r="F188" s="84">
        <f>DATE(YEAR(E188)+10,MONTH(E188),DAY(E188))</f>
        <v>42005</v>
      </c>
      <c r="G188" s="229">
        <v>152.43</v>
      </c>
      <c r="H188" s="71" t="s">
        <v>1152</v>
      </c>
      <c r="I188" s="71" t="s">
        <v>1147</v>
      </c>
      <c r="J188" s="72" t="s">
        <v>1081</v>
      </c>
      <c r="K188" s="55">
        <f>YEAR(F188)</f>
        <v>2015</v>
      </c>
      <c r="L188" s="81"/>
      <c r="M188" s="81"/>
      <c r="N188" s="73"/>
      <c r="O188" s="73" t="s">
        <v>1153</v>
      </c>
      <c r="P188" s="74" t="s">
        <v>1154</v>
      </c>
      <c r="Q188" s="75" t="s">
        <v>1155</v>
      </c>
      <c r="R188" s="230">
        <v>610.5</v>
      </c>
      <c r="S188" s="230">
        <v>0</v>
      </c>
      <c r="T188" s="230">
        <v>610.5</v>
      </c>
      <c r="U188" s="231">
        <v>306</v>
      </c>
      <c r="V188" s="230"/>
      <c r="W188" s="230"/>
      <c r="X188" s="231"/>
      <c r="Y188" s="85">
        <v>0.5</v>
      </c>
      <c r="Z188" s="85"/>
      <c r="AA188" s="76"/>
      <c r="AB188" s="77"/>
      <c r="AC188" s="78"/>
    </row>
    <row r="189" spans="1:29" ht="27" hidden="1" customHeight="1" x14ac:dyDescent="0.2">
      <c r="A189" s="117" t="s">
        <v>1156</v>
      </c>
      <c r="B189" s="118" t="e">
        <f>IF(COUNTIF(GIS,A191),"YES","NO")</f>
        <v>#VALUE!</v>
      </c>
      <c r="C189" s="118" t="s">
        <v>612</v>
      </c>
      <c r="D189" s="84">
        <v>38280</v>
      </c>
      <c r="E189" s="84">
        <v>38353</v>
      </c>
      <c r="F189" s="84">
        <f>DATE(YEAR(E189)+10,MONTH(E189),DAY(E189))</f>
        <v>42005</v>
      </c>
      <c r="G189" s="229">
        <v>40</v>
      </c>
      <c r="H189" s="71" t="s">
        <v>1157</v>
      </c>
      <c r="I189" s="71" t="s">
        <v>1147</v>
      </c>
      <c r="J189" s="72" t="s">
        <v>1081</v>
      </c>
      <c r="K189" s="55">
        <f>YEAR(F189)</f>
        <v>2015</v>
      </c>
      <c r="L189" s="81"/>
      <c r="M189" s="81"/>
      <c r="N189" s="73" t="s">
        <v>1158</v>
      </c>
      <c r="O189" s="73" t="s">
        <v>1159</v>
      </c>
      <c r="P189" s="74" t="s">
        <v>1160</v>
      </c>
      <c r="Q189" s="75" t="s">
        <v>1161</v>
      </c>
      <c r="R189" s="230">
        <v>215</v>
      </c>
      <c r="S189" s="230">
        <v>8320</v>
      </c>
      <c r="T189" s="230">
        <v>8535</v>
      </c>
      <c r="U189" s="231">
        <v>80</v>
      </c>
      <c r="V189" s="230"/>
      <c r="W189" s="230"/>
      <c r="X189" s="231"/>
      <c r="Y189" s="85">
        <v>0.5</v>
      </c>
      <c r="Z189" s="85"/>
      <c r="AA189" s="76"/>
      <c r="AB189" s="77"/>
      <c r="AC189" s="78"/>
    </row>
    <row r="190" spans="1:29" hidden="1" x14ac:dyDescent="0.2">
      <c r="A190" s="117" t="s">
        <v>1162</v>
      </c>
      <c r="B190" s="118" t="e">
        <f>IF(COUNTIF(GIS,A192),"YES","NO")</f>
        <v>#VALUE!</v>
      </c>
      <c r="C190" s="118" t="s">
        <v>612</v>
      </c>
      <c r="D190" s="84">
        <v>38280</v>
      </c>
      <c r="E190" s="84">
        <v>38353</v>
      </c>
      <c r="F190" s="84">
        <f>DATE(YEAR(E190)+10,MONTH(E190),DAY(E190))</f>
        <v>42005</v>
      </c>
      <c r="G190" s="229">
        <v>400</v>
      </c>
      <c r="H190" s="71" t="s">
        <v>1163</v>
      </c>
      <c r="I190" s="71" t="s">
        <v>812</v>
      </c>
      <c r="J190" s="72" t="s">
        <v>1081</v>
      </c>
      <c r="K190" s="55">
        <f>YEAR(F190)</f>
        <v>2015</v>
      </c>
      <c r="L190" s="81"/>
      <c r="M190" s="81"/>
      <c r="N190" s="73" t="s">
        <v>1164</v>
      </c>
      <c r="O190" s="73" t="s">
        <v>1165</v>
      </c>
      <c r="P190" s="74" t="s">
        <v>1166</v>
      </c>
      <c r="Q190" s="75" t="s">
        <v>1167</v>
      </c>
      <c r="R190" s="230">
        <v>1475</v>
      </c>
      <c r="S190" s="230">
        <v>43200</v>
      </c>
      <c r="T190" s="230">
        <v>44675</v>
      </c>
      <c r="U190" s="231">
        <v>800</v>
      </c>
      <c r="V190" s="230"/>
      <c r="W190" s="230"/>
      <c r="X190" s="231"/>
      <c r="Y190" s="85">
        <v>0.5</v>
      </c>
      <c r="Z190" s="85"/>
      <c r="AA190" s="76"/>
      <c r="AB190" s="77"/>
      <c r="AC190" s="78"/>
    </row>
    <row r="191" spans="1:29" ht="27" hidden="1" customHeight="1" x14ac:dyDescent="0.2">
      <c r="A191" s="117" t="s">
        <v>1168</v>
      </c>
      <c r="B191" s="118" t="e">
        <f>IF(COUNTIF(GIS,A193),"YES","NO")</f>
        <v>#VALUE!</v>
      </c>
      <c r="C191" s="118" t="s">
        <v>612</v>
      </c>
      <c r="D191" s="84">
        <v>38280</v>
      </c>
      <c r="E191" s="84">
        <v>38353</v>
      </c>
      <c r="F191" s="84">
        <f>DATE(YEAR(E191)+10,MONTH(E191),DAY(E191))</f>
        <v>42005</v>
      </c>
      <c r="G191" s="229">
        <v>596.74</v>
      </c>
      <c r="H191" s="71" t="s">
        <v>1169</v>
      </c>
      <c r="I191" s="71" t="s">
        <v>614</v>
      </c>
      <c r="J191" s="72" t="s">
        <v>1081</v>
      </c>
      <c r="K191" s="55">
        <f>YEAR(F191)</f>
        <v>2015</v>
      </c>
      <c r="L191" s="81"/>
      <c r="M191" s="81"/>
      <c r="N191" s="73" t="s">
        <v>1170</v>
      </c>
      <c r="O191" s="73" t="s">
        <v>1171</v>
      </c>
      <c r="P191" s="74" t="s">
        <v>1172</v>
      </c>
      <c r="Q191" s="75" t="s">
        <v>1173</v>
      </c>
      <c r="R191" s="230">
        <v>2164.5</v>
      </c>
      <c r="S191" s="230">
        <v>213726</v>
      </c>
      <c r="T191" s="230">
        <v>215890.5</v>
      </c>
      <c r="U191" s="231">
        <v>1194</v>
      </c>
      <c r="V191" s="230"/>
      <c r="W191" s="230"/>
      <c r="X191" s="231"/>
      <c r="Y191" s="85">
        <v>0.5</v>
      </c>
      <c r="Z191" s="85"/>
      <c r="AA191" s="76"/>
      <c r="AB191" s="77" t="s">
        <v>1069</v>
      </c>
      <c r="AC191" s="78"/>
    </row>
    <row r="192" spans="1:29" hidden="1" x14ac:dyDescent="0.2">
      <c r="A192" s="117"/>
      <c r="D192" s="71"/>
      <c r="E192" s="246"/>
      <c r="F192" s="84"/>
      <c r="G192" s="229"/>
      <c r="H192" s="71"/>
      <c r="I192" s="71"/>
      <c r="J192" s="79"/>
      <c r="K192" s="79"/>
      <c r="L192" s="80"/>
      <c r="M192" s="80"/>
      <c r="N192" s="73"/>
      <c r="O192" s="73"/>
      <c r="P192" s="74"/>
      <c r="Q192" s="75" t="s">
        <v>1144</v>
      </c>
      <c r="R192" s="230">
        <v>5100</v>
      </c>
      <c r="S192" s="230">
        <v>296926</v>
      </c>
      <c r="T192" s="230">
        <v>302026</v>
      </c>
      <c r="U192" s="231"/>
      <c r="V192" s="230"/>
      <c r="W192" s="230"/>
      <c r="X192" s="231"/>
      <c r="Y192" s="85"/>
      <c r="Z192" s="85"/>
      <c r="AA192" s="76"/>
      <c r="AB192" s="77"/>
      <c r="AC192" s="78"/>
    </row>
    <row r="193" spans="1:29" hidden="1" x14ac:dyDescent="0.2">
      <c r="A193" s="117"/>
      <c r="D193" s="71"/>
      <c r="E193" s="246"/>
      <c r="F193" s="84"/>
      <c r="G193" s="229"/>
      <c r="H193" s="71"/>
      <c r="I193" s="71"/>
      <c r="J193" s="79"/>
      <c r="K193" s="79"/>
      <c r="L193" s="80"/>
      <c r="M193" s="80"/>
      <c r="N193" s="73"/>
      <c r="O193" s="73"/>
      <c r="P193" s="74"/>
      <c r="Q193" s="75"/>
      <c r="R193" s="230"/>
      <c r="S193" s="230"/>
      <c r="T193" s="230"/>
      <c r="U193" s="231"/>
      <c r="V193" s="230"/>
      <c r="W193" s="230"/>
      <c r="X193" s="231"/>
      <c r="Y193" s="85"/>
      <c r="Z193" s="85"/>
      <c r="AA193" s="76"/>
      <c r="AB193" s="77"/>
      <c r="AC193" s="78"/>
    </row>
    <row r="194" spans="1:29" ht="15" hidden="1" customHeight="1" thickBot="1" x14ac:dyDescent="0.25">
      <c r="A194" s="117"/>
      <c r="D194" s="71"/>
      <c r="E194" s="246"/>
      <c r="F194" s="84"/>
      <c r="G194" s="229">
        <v>0</v>
      </c>
      <c r="H194" s="71"/>
      <c r="I194" s="71"/>
      <c r="J194" s="79"/>
      <c r="K194" s="79"/>
      <c r="L194" s="80"/>
      <c r="M194" s="80"/>
      <c r="N194" s="73"/>
      <c r="O194" s="73"/>
      <c r="P194" s="74"/>
      <c r="Q194" s="75" t="s">
        <v>1174</v>
      </c>
      <c r="R194" s="241">
        <v>394158.5</v>
      </c>
      <c r="S194" s="241">
        <v>731650</v>
      </c>
      <c r="T194" s="241">
        <v>1125808.5</v>
      </c>
      <c r="U194" s="231"/>
      <c r="V194" s="230"/>
      <c r="W194" s="230"/>
      <c r="X194" s="231"/>
      <c r="Y194" s="82"/>
      <c r="Z194" s="82"/>
      <c r="AA194" s="83"/>
      <c r="AB194" s="77"/>
      <c r="AC194" s="78"/>
    </row>
    <row r="195" spans="1:29" hidden="1" x14ac:dyDescent="0.2">
      <c r="A195" s="117"/>
      <c r="D195" s="71"/>
      <c r="E195" s="246"/>
      <c r="F195" s="84"/>
      <c r="G195" s="237"/>
      <c r="H195" s="71"/>
      <c r="I195" s="71"/>
      <c r="J195" s="79"/>
      <c r="K195" s="79"/>
      <c r="L195" s="80"/>
      <c r="M195" s="80"/>
      <c r="N195" s="73"/>
      <c r="O195" s="73"/>
      <c r="P195" s="74"/>
      <c r="Q195" s="75"/>
      <c r="R195" s="230"/>
      <c r="S195" s="230"/>
      <c r="T195" s="230"/>
      <c r="U195" s="231"/>
      <c r="V195" s="230"/>
      <c r="W195" s="230"/>
      <c r="X195" s="231"/>
      <c r="Y195" s="85"/>
      <c r="Z195" s="85"/>
      <c r="AA195" s="76"/>
      <c r="AB195" s="77"/>
      <c r="AC195" s="78"/>
    </row>
    <row r="196" spans="1:29" hidden="1" x14ac:dyDescent="0.2">
      <c r="A196" s="117" t="s">
        <v>611</v>
      </c>
      <c r="B196" s="118" t="e">
        <f>IF(COUNTIF(GIS,A198),"YES","NO")</f>
        <v>#VALUE!</v>
      </c>
      <c r="C196" s="118" t="s">
        <v>612</v>
      </c>
      <c r="D196" s="84">
        <v>34991</v>
      </c>
      <c r="E196" s="84">
        <v>35034</v>
      </c>
      <c r="F196" s="84">
        <f>DATE(YEAR(E196)+10,MONTH(E196),DAY(E196))</f>
        <v>38687</v>
      </c>
      <c r="G196" s="229"/>
      <c r="H196" s="71"/>
      <c r="I196" s="71"/>
      <c r="J196" s="66" t="s">
        <v>615</v>
      </c>
      <c r="K196" s="55">
        <f>YEAR(F196)</f>
        <v>2005</v>
      </c>
      <c r="L196" s="67"/>
      <c r="M196" s="67"/>
      <c r="N196" s="73"/>
      <c r="O196" s="73"/>
      <c r="P196" s="74"/>
      <c r="Q196" s="107"/>
      <c r="R196" s="247"/>
      <c r="S196" s="230">
        <v>-790.5</v>
      </c>
      <c r="T196" s="230">
        <v>-790.5</v>
      </c>
      <c r="Y196" s="85"/>
      <c r="Z196" s="85"/>
      <c r="AA196" s="76"/>
      <c r="AB196" s="77"/>
      <c r="AC196" s="78"/>
    </row>
    <row r="197" spans="1:29" hidden="1" x14ac:dyDescent="0.2">
      <c r="A197" s="117"/>
      <c r="D197" s="71"/>
      <c r="E197" s="246"/>
      <c r="F197" s="84"/>
      <c r="G197" s="229"/>
      <c r="H197" s="71"/>
      <c r="I197" s="71"/>
      <c r="J197" s="79"/>
      <c r="K197" s="79"/>
      <c r="L197" s="80"/>
      <c r="M197" s="80"/>
      <c r="N197" s="73"/>
      <c r="O197" s="73"/>
      <c r="P197" s="74"/>
      <c r="Q197" s="75"/>
      <c r="R197" s="230"/>
      <c r="S197" s="230"/>
      <c r="T197" s="230"/>
      <c r="U197" s="231"/>
      <c r="V197" s="230"/>
      <c r="W197" s="230"/>
      <c r="X197" s="231"/>
      <c r="Y197" s="85"/>
      <c r="Z197" s="85"/>
      <c r="AA197" s="76"/>
      <c r="AB197" s="77"/>
      <c r="AC197" s="78"/>
    </row>
    <row r="198" spans="1:29" ht="15" hidden="1" customHeight="1" thickBot="1" x14ac:dyDescent="0.25">
      <c r="A198" s="117"/>
      <c r="D198" s="71"/>
      <c r="E198" s="246"/>
      <c r="F198" s="84"/>
      <c r="G198" s="229"/>
      <c r="H198" s="71"/>
      <c r="I198" s="71"/>
      <c r="J198" s="79"/>
      <c r="K198" s="79"/>
      <c r="L198" s="80"/>
      <c r="M198" s="80"/>
      <c r="N198" s="73"/>
      <c r="O198" s="73"/>
      <c r="P198" s="74"/>
      <c r="Q198" s="75" t="s">
        <v>1175</v>
      </c>
      <c r="R198" s="241">
        <v>394158.5</v>
      </c>
      <c r="S198" s="241">
        <v>730859.5</v>
      </c>
      <c r="T198" s="241">
        <v>1125018</v>
      </c>
      <c r="U198" s="231"/>
      <c r="V198" s="230"/>
      <c r="W198" s="230"/>
      <c r="X198" s="231"/>
      <c r="Y198" s="82"/>
      <c r="Z198" s="82"/>
      <c r="AA198" s="83"/>
      <c r="AB198" s="77"/>
      <c r="AC198" s="78"/>
    </row>
    <row r="199" spans="1:29" hidden="1" x14ac:dyDescent="0.2">
      <c r="A199" s="117"/>
      <c r="D199" s="71"/>
      <c r="E199" s="246"/>
      <c r="F199" s="84"/>
      <c r="G199" s="229"/>
      <c r="H199" s="71"/>
      <c r="I199" s="71"/>
      <c r="J199" s="79"/>
      <c r="K199" s="79"/>
      <c r="L199" s="80"/>
      <c r="M199" s="80"/>
      <c r="N199" s="73"/>
      <c r="O199" s="73"/>
      <c r="P199" s="74"/>
      <c r="Q199" s="75"/>
      <c r="R199" s="230"/>
      <c r="S199" s="230"/>
      <c r="T199" s="230"/>
      <c r="U199" s="231"/>
      <c r="V199" s="230"/>
      <c r="W199" s="230"/>
      <c r="X199" s="231"/>
      <c r="Y199" s="85"/>
      <c r="Z199" s="85"/>
      <c r="AA199" s="76"/>
      <c r="AB199" s="77"/>
      <c r="AC199" s="78"/>
    </row>
    <row r="200" spans="1:29" hidden="1" x14ac:dyDescent="0.2">
      <c r="A200" s="117" t="s">
        <v>1176</v>
      </c>
      <c r="B200" s="118" t="e">
        <f>IF(COUNTIF(GIS,A202),"YES","NO")</f>
        <v>#VALUE!</v>
      </c>
      <c r="C200" s="118" t="s">
        <v>612</v>
      </c>
      <c r="D200" s="113">
        <v>38826</v>
      </c>
      <c r="E200" s="84">
        <v>38869</v>
      </c>
      <c r="F200" s="84">
        <f>DATE(YEAR(E200)+10,MONTH(E200),DAY(E200))</f>
        <v>42522</v>
      </c>
      <c r="G200" s="229">
        <v>199.5</v>
      </c>
      <c r="H200" s="71" t="s">
        <v>824</v>
      </c>
      <c r="I200" s="71" t="s">
        <v>614</v>
      </c>
      <c r="J200" s="79"/>
      <c r="K200" s="55">
        <f>YEAR(F200)</f>
        <v>2016</v>
      </c>
      <c r="L200" s="80"/>
      <c r="M200" s="80"/>
      <c r="N200" s="73" t="s">
        <v>1177</v>
      </c>
      <c r="O200" s="73" t="s">
        <v>1178</v>
      </c>
      <c r="P200" s="74" t="s">
        <v>1179</v>
      </c>
      <c r="Q200" s="75" t="s">
        <v>1180</v>
      </c>
      <c r="R200" s="230">
        <v>32430</v>
      </c>
      <c r="S200" s="230">
        <v>0</v>
      </c>
      <c r="T200" s="230">
        <v>32430</v>
      </c>
      <c r="U200" s="231">
        <v>400</v>
      </c>
      <c r="V200" s="230"/>
      <c r="W200" s="230"/>
      <c r="X200" s="231"/>
      <c r="Y200" s="85">
        <v>0.5</v>
      </c>
      <c r="Z200" s="85"/>
      <c r="AA200" s="76"/>
      <c r="AB200" s="77"/>
      <c r="AC200" s="78"/>
    </row>
    <row r="201" spans="1:29" hidden="1" x14ac:dyDescent="0.2">
      <c r="A201" s="117"/>
      <c r="D201" s="113"/>
      <c r="E201" s="84"/>
      <c r="F201" s="84"/>
      <c r="G201" s="229"/>
      <c r="H201" s="71"/>
      <c r="I201" s="71"/>
      <c r="J201" s="79"/>
      <c r="K201" s="79"/>
      <c r="L201" s="80"/>
      <c r="M201" s="80"/>
      <c r="N201" s="73"/>
      <c r="O201" s="73"/>
      <c r="P201" s="74"/>
      <c r="Q201" s="75"/>
      <c r="R201" s="230"/>
      <c r="S201" s="230"/>
      <c r="T201" s="230"/>
      <c r="U201" s="231"/>
      <c r="V201" s="230"/>
      <c r="W201" s="230"/>
      <c r="X201" s="231"/>
      <c r="Y201" s="85"/>
      <c r="Z201" s="85"/>
      <c r="AA201" s="76"/>
      <c r="AB201" s="77"/>
      <c r="AC201" s="78"/>
    </row>
    <row r="202" spans="1:29" hidden="1" x14ac:dyDescent="0.2">
      <c r="A202" s="70" t="s">
        <v>1181</v>
      </c>
      <c r="B202" s="118" t="e">
        <f t="shared" ref="B202:B217" si="26">IF(COUNTIF(GIS,A204),"YES","NO")</f>
        <v>#VALUE!</v>
      </c>
      <c r="C202" s="118" t="s">
        <v>612</v>
      </c>
      <c r="D202" s="113">
        <v>39008</v>
      </c>
      <c r="E202" s="84">
        <v>39052</v>
      </c>
      <c r="F202" s="84">
        <f t="shared" ref="F202:F217" si="27">DATE(YEAR(E202)+10,MONTH(E202),DAY(E202))</f>
        <v>42705</v>
      </c>
      <c r="G202" s="229">
        <v>160</v>
      </c>
      <c r="H202" s="71" t="s">
        <v>1182</v>
      </c>
      <c r="I202" s="71" t="s">
        <v>1183</v>
      </c>
      <c r="J202" s="72" t="s">
        <v>1184</v>
      </c>
      <c r="K202" s="55">
        <f t="shared" ref="K202:K217" si="28">YEAR(F202)</f>
        <v>2016</v>
      </c>
      <c r="L202" s="81"/>
      <c r="M202" s="81"/>
      <c r="N202" s="73" t="s">
        <v>1185</v>
      </c>
      <c r="O202" s="73" t="s">
        <v>1186</v>
      </c>
      <c r="P202" s="74" t="s">
        <v>1187</v>
      </c>
      <c r="Q202" s="75" t="s">
        <v>1188</v>
      </c>
      <c r="R202" s="230">
        <v>690</v>
      </c>
      <c r="S202" s="230"/>
      <c r="T202" s="230">
        <v>690</v>
      </c>
      <c r="U202" s="231">
        <v>320</v>
      </c>
      <c r="V202" s="230"/>
      <c r="W202" s="230"/>
      <c r="X202" s="231"/>
      <c r="Y202" s="85">
        <v>0.5</v>
      </c>
      <c r="Z202" s="85"/>
      <c r="AA202" s="76"/>
      <c r="AB202" s="77"/>
      <c r="AC202" s="78"/>
    </row>
    <row r="203" spans="1:29" hidden="1" x14ac:dyDescent="0.2">
      <c r="A203" s="117" t="s">
        <v>1189</v>
      </c>
      <c r="B203" s="118" t="e">
        <f t="shared" si="26"/>
        <v>#VALUE!</v>
      </c>
      <c r="C203" s="118" t="s">
        <v>612</v>
      </c>
      <c r="D203" s="113">
        <v>39008</v>
      </c>
      <c r="E203" s="84">
        <v>39052</v>
      </c>
      <c r="F203" s="84">
        <f t="shared" si="27"/>
        <v>42705</v>
      </c>
      <c r="G203" s="229">
        <v>1280</v>
      </c>
      <c r="H203" s="71" t="s">
        <v>1146</v>
      </c>
      <c r="I203" s="71" t="s">
        <v>1147</v>
      </c>
      <c r="J203" s="72" t="s">
        <v>1184</v>
      </c>
      <c r="K203" s="55">
        <f t="shared" si="28"/>
        <v>2016</v>
      </c>
      <c r="L203" s="81"/>
      <c r="M203" s="81"/>
      <c r="N203" s="73" t="s">
        <v>1190</v>
      </c>
      <c r="O203" s="73" t="s">
        <v>1191</v>
      </c>
      <c r="P203" s="74" t="s">
        <v>1192</v>
      </c>
      <c r="Q203" s="75" t="s">
        <v>1193</v>
      </c>
      <c r="R203" s="230">
        <v>4610</v>
      </c>
      <c r="S203" s="230">
        <v>10240</v>
      </c>
      <c r="T203" s="230">
        <v>14850</v>
      </c>
      <c r="U203" s="231">
        <v>2560</v>
      </c>
      <c r="V203" s="230"/>
      <c r="W203" s="230"/>
      <c r="X203" s="231"/>
      <c r="Y203" s="85">
        <v>0.5</v>
      </c>
      <c r="Z203" s="85"/>
      <c r="AA203" s="76"/>
      <c r="AB203" s="77"/>
      <c r="AC203" s="78"/>
    </row>
    <row r="204" spans="1:29" ht="29" hidden="1" x14ac:dyDescent="0.2">
      <c r="A204" s="117" t="s">
        <v>1194</v>
      </c>
      <c r="B204" s="118" t="e">
        <f t="shared" si="26"/>
        <v>#VALUE!</v>
      </c>
      <c r="C204" s="118" t="s">
        <v>612</v>
      </c>
      <c r="D204" s="113">
        <v>39008</v>
      </c>
      <c r="E204" s="84">
        <v>39052</v>
      </c>
      <c r="F204" s="84">
        <f t="shared" si="27"/>
        <v>42705</v>
      </c>
      <c r="G204" s="229">
        <v>634.85</v>
      </c>
      <c r="H204" s="71" t="s">
        <v>1195</v>
      </c>
      <c r="I204" s="71" t="s">
        <v>1147</v>
      </c>
      <c r="J204" s="72" t="s">
        <v>1184</v>
      </c>
      <c r="K204" s="55">
        <f t="shared" si="28"/>
        <v>2016</v>
      </c>
      <c r="L204" s="81"/>
      <c r="M204" s="81"/>
      <c r="N204" s="73"/>
      <c r="O204" s="73" t="s">
        <v>1196</v>
      </c>
      <c r="P204" s="74" t="s">
        <v>1197</v>
      </c>
      <c r="Q204" s="75" t="s">
        <v>1198</v>
      </c>
      <c r="R204" s="230">
        <v>2352.5</v>
      </c>
      <c r="S204" s="230">
        <v>2540</v>
      </c>
      <c r="T204" s="230">
        <v>4892.5</v>
      </c>
      <c r="U204" s="231">
        <v>1270</v>
      </c>
      <c r="V204" s="230"/>
      <c r="W204" s="230"/>
      <c r="X204" s="231"/>
      <c r="Y204" s="85">
        <v>0.5</v>
      </c>
      <c r="Z204" s="85"/>
      <c r="AA204" s="76"/>
      <c r="AB204" s="77"/>
      <c r="AC204" s="78"/>
    </row>
    <row r="205" spans="1:29" ht="27" hidden="1" customHeight="1" x14ac:dyDescent="0.2">
      <c r="A205" s="117" t="s">
        <v>1199</v>
      </c>
      <c r="B205" s="118" t="e">
        <f t="shared" si="26"/>
        <v>#VALUE!</v>
      </c>
      <c r="C205" s="118" t="s">
        <v>612</v>
      </c>
      <c r="D205" s="113">
        <v>39008</v>
      </c>
      <c r="E205" s="84">
        <v>39052</v>
      </c>
      <c r="F205" s="84">
        <f t="shared" si="27"/>
        <v>42705</v>
      </c>
      <c r="G205" s="229">
        <v>1349.92</v>
      </c>
      <c r="H205" s="71" t="s">
        <v>1200</v>
      </c>
      <c r="I205" s="71" t="s">
        <v>1147</v>
      </c>
      <c r="J205" s="72" t="s">
        <v>1184</v>
      </c>
      <c r="K205" s="55">
        <f t="shared" si="28"/>
        <v>2016</v>
      </c>
      <c r="L205" s="81"/>
      <c r="M205" s="81"/>
      <c r="N205" s="73"/>
      <c r="O205" s="73" t="s">
        <v>1201</v>
      </c>
      <c r="P205" s="74" t="s">
        <v>1202</v>
      </c>
      <c r="Q205" s="75" t="s">
        <v>1203</v>
      </c>
      <c r="R205" s="230">
        <v>4855</v>
      </c>
      <c r="S205" s="230">
        <v>2700</v>
      </c>
      <c r="T205" s="230">
        <v>7555</v>
      </c>
      <c r="U205" s="231">
        <v>2700</v>
      </c>
      <c r="V205" s="230"/>
      <c r="W205" s="230"/>
      <c r="X205" s="231"/>
      <c r="Y205" s="85">
        <v>0.5</v>
      </c>
      <c r="Z205" s="85"/>
      <c r="AA205" s="76"/>
      <c r="AB205" s="77"/>
      <c r="AC205" s="78"/>
    </row>
    <row r="206" spans="1:29" ht="27" hidden="1" customHeight="1" x14ac:dyDescent="0.2">
      <c r="A206" s="117" t="s">
        <v>1204</v>
      </c>
      <c r="B206" s="118" t="e">
        <f t="shared" si="26"/>
        <v>#VALUE!</v>
      </c>
      <c r="C206" s="118" t="s">
        <v>612</v>
      </c>
      <c r="D206" s="113">
        <v>39008</v>
      </c>
      <c r="E206" s="84">
        <v>39052</v>
      </c>
      <c r="F206" s="84">
        <f t="shared" si="27"/>
        <v>42705</v>
      </c>
      <c r="G206" s="229">
        <v>1279.28</v>
      </c>
      <c r="H206" s="71" t="s">
        <v>1200</v>
      </c>
      <c r="I206" s="71" t="s">
        <v>1147</v>
      </c>
      <c r="J206" s="72" t="s">
        <v>1184</v>
      </c>
      <c r="K206" s="55">
        <f t="shared" si="28"/>
        <v>2016</v>
      </c>
      <c r="L206" s="81"/>
      <c r="M206" s="81"/>
      <c r="N206" s="73"/>
      <c r="O206" s="73" t="s">
        <v>1205</v>
      </c>
      <c r="P206" s="74" t="s">
        <v>1206</v>
      </c>
      <c r="Q206" s="75" t="s">
        <v>1207</v>
      </c>
      <c r="R206" s="230">
        <v>4610</v>
      </c>
      <c r="S206" s="230">
        <v>2560</v>
      </c>
      <c r="T206" s="230">
        <v>7170</v>
      </c>
      <c r="U206" s="231">
        <v>2560</v>
      </c>
      <c r="V206" s="230"/>
      <c r="W206" s="230"/>
      <c r="X206" s="231"/>
      <c r="Y206" s="85">
        <v>0.5</v>
      </c>
      <c r="Z206" s="85"/>
      <c r="AA206" s="76"/>
      <c r="AB206" s="77"/>
      <c r="AC206" s="78"/>
    </row>
    <row r="207" spans="1:29" ht="27" hidden="1" customHeight="1" x14ac:dyDescent="0.2">
      <c r="A207" s="117" t="s">
        <v>1208</v>
      </c>
      <c r="B207" s="118" t="e">
        <f t="shared" si="26"/>
        <v>#VALUE!</v>
      </c>
      <c r="C207" s="118" t="s">
        <v>612</v>
      </c>
      <c r="D207" s="113">
        <v>39008</v>
      </c>
      <c r="E207" s="84">
        <v>39052</v>
      </c>
      <c r="F207" s="84">
        <f t="shared" si="27"/>
        <v>42705</v>
      </c>
      <c r="G207" s="229">
        <v>621.33000000000004</v>
      </c>
      <c r="H207" s="71" t="s">
        <v>1209</v>
      </c>
      <c r="I207" s="71" t="s">
        <v>1147</v>
      </c>
      <c r="J207" s="72" t="s">
        <v>1184</v>
      </c>
      <c r="K207" s="55">
        <f t="shared" si="28"/>
        <v>2016</v>
      </c>
      <c r="L207" s="81"/>
      <c r="M207" s="81"/>
      <c r="N207" s="73"/>
      <c r="O207" s="73" t="s">
        <v>1210</v>
      </c>
      <c r="P207" s="74" t="s">
        <v>1211</v>
      </c>
      <c r="Q207" s="75" t="s">
        <v>1212</v>
      </c>
      <c r="R207" s="230">
        <v>2307</v>
      </c>
      <c r="S207" s="230">
        <v>4976</v>
      </c>
      <c r="T207" s="230">
        <v>7283</v>
      </c>
      <c r="U207" s="231">
        <v>1244</v>
      </c>
      <c r="V207" s="230"/>
      <c r="W207" s="230"/>
      <c r="X207" s="231"/>
      <c r="Y207" s="85">
        <v>0.5</v>
      </c>
      <c r="Z207" s="85"/>
      <c r="AA207" s="76"/>
      <c r="AB207" s="77"/>
      <c r="AC207" s="78"/>
    </row>
    <row r="208" spans="1:29" hidden="1" x14ac:dyDescent="0.2">
      <c r="A208" s="117" t="s">
        <v>1213</v>
      </c>
      <c r="B208" s="118" t="e">
        <f t="shared" si="26"/>
        <v>#VALUE!</v>
      </c>
      <c r="C208" s="118" t="s">
        <v>612</v>
      </c>
      <c r="D208" s="113">
        <v>39008</v>
      </c>
      <c r="E208" s="84">
        <v>39052</v>
      </c>
      <c r="F208" s="84">
        <f t="shared" si="27"/>
        <v>42705</v>
      </c>
      <c r="G208" s="229">
        <v>360</v>
      </c>
      <c r="H208" s="71" t="s">
        <v>1209</v>
      </c>
      <c r="I208" s="71" t="s">
        <v>1147</v>
      </c>
      <c r="J208" s="72" t="s">
        <v>1184</v>
      </c>
      <c r="K208" s="55">
        <f t="shared" si="28"/>
        <v>2016</v>
      </c>
      <c r="L208" s="81"/>
      <c r="M208" s="81"/>
      <c r="N208" s="73"/>
      <c r="O208" s="73" t="s">
        <v>1214</v>
      </c>
      <c r="P208" s="74" t="s">
        <v>1215</v>
      </c>
      <c r="Q208" s="75" t="s">
        <v>1216</v>
      </c>
      <c r="R208" s="230">
        <v>1390</v>
      </c>
      <c r="S208" s="230">
        <v>2880</v>
      </c>
      <c r="T208" s="230">
        <v>4270</v>
      </c>
      <c r="U208" s="231">
        <v>720</v>
      </c>
      <c r="V208" s="230"/>
      <c r="W208" s="230"/>
      <c r="X208" s="231"/>
      <c r="Y208" s="85">
        <v>0.5</v>
      </c>
      <c r="Z208" s="85"/>
      <c r="AA208" s="76"/>
      <c r="AB208" s="77"/>
      <c r="AC208" s="78"/>
    </row>
    <row r="209" spans="1:29" hidden="1" x14ac:dyDescent="0.2">
      <c r="A209" s="117" t="s">
        <v>1217</v>
      </c>
      <c r="B209" s="118" t="e">
        <f t="shared" si="26"/>
        <v>#VALUE!</v>
      </c>
      <c r="C209" s="118" t="s">
        <v>612</v>
      </c>
      <c r="D209" s="113">
        <v>39008</v>
      </c>
      <c r="E209" s="84">
        <v>39052</v>
      </c>
      <c r="F209" s="84">
        <f t="shared" si="27"/>
        <v>42705</v>
      </c>
      <c r="G209" s="229">
        <v>2135.08</v>
      </c>
      <c r="H209" s="71" t="s">
        <v>1218</v>
      </c>
      <c r="I209" s="71" t="s">
        <v>614</v>
      </c>
      <c r="J209" s="72" t="s">
        <v>1184</v>
      </c>
      <c r="K209" s="55">
        <f t="shared" si="28"/>
        <v>2016</v>
      </c>
      <c r="L209" s="81"/>
      <c r="M209" s="81"/>
      <c r="N209" s="73" t="s">
        <v>1177</v>
      </c>
      <c r="O209" s="73" t="s">
        <v>1219</v>
      </c>
      <c r="P209" s="74"/>
      <c r="Q209" s="75" t="s">
        <v>1220</v>
      </c>
      <c r="R209" s="230">
        <v>7606</v>
      </c>
      <c r="S209" s="230">
        <v>8544</v>
      </c>
      <c r="T209" s="230">
        <v>16150</v>
      </c>
      <c r="U209" s="231">
        <v>4272</v>
      </c>
      <c r="V209" s="230"/>
      <c r="W209" s="230"/>
      <c r="X209" s="231"/>
      <c r="Y209" s="85">
        <v>0.5</v>
      </c>
      <c r="Z209" s="85"/>
      <c r="AA209" s="76"/>
      <c r="AB209" s="77" t="s">
        <v>1069</v>
      </c>
      <c r="AC209" s="78"/>
    </row>
    <row r="210" spans="1:29" hidden="1" x14ac:dyDescent="0.2">
      <c r="A210" s="117" t="s">
        <v>1221</v>
      </c>
      <c r="B210" s="118" t="e">
        <f t="shared" si="26"/>
        <v>#VALUE!</v>
      </c>
      <c r="C210" s="118" t="s">
        <v>612</v>
      </c>
      <c r="D210" s="113">
        <v>39008</v>
      </c>
      <c r="E210" s="84">
        <v>39052</v>
      </c>
      <c r="F210" s="84">
        <f t="shared" si="27"/>
        <v>42705</v>
      </c>
      <c r="G210" s="229">
        <v>1417.94</v>
      </c>
      <c r="H210" s="71" t="s">
        <v>1218</v>
      </c>
      <c r="I210" s="71" t="s">
        <v>614</v>
      </c>
      <c r="J210" s="72" t="s">
        <v>1184</v>
      </c>
      <c r="K210" s="55">
        <f t="shared" si="28"/>
        <v>2016</v>
      </c>
      <c r="L210" s="81"/>
      <c r="M210" s="81"/>
      <c r="N210" s="73" t="s">
        <v>1177</v>
      </c>
      <c r="O210" s="73" t="s">
        <v>1222</v>
      </c>
      <c r="P210" s="74"/>
      <c r="Q210" s="75" t="s">
        <v>1223</v>
      </c>
      <c r="R210" s="230">
        <v>5093</v>
      </c>
      <c r="S210" s="230">
        <v>5672</v>
      </c>
      <c r="T210" s="230">
        <v>10765</v>
      </c>
      <c r="U210" s="231">
        <v>2836</v>
      </c>
      <c r="V210" s="230"/>
      <c r="W210" s="230"/>
      <c r="X210" s="231"/>
      <c r="Y210" s="85">
        <v>0.5</v>
      </c>
      <c r="Z210" s="85"/>
      <c r="AA210" s="76"/>
      <c r="AB210" s="77" t="s">
        <v>1069</v>
      </c>
      <c r="AC210" s="78"/>
    </row>
    <row r="211" spans="1:29" ht="27" hidden="1" customHeight="1" x14ac:dyDescent="0.2">
      <c r="A211" s="117" t="s">
        <v>1224</v>
      </c>
      <c r="B211" s="118" t="e">
        <f t="shared" si="26"/>
        <v>#VALUE!</v>
      </c>
      <c r="C211" s="118" t="s">
        <v>612</v>
      </c>
      <c r="D211" s="113">
        <v>39008</v>
      </c>
      <c r="E211" s="84">
        <v>39052</v>
      </c>
      <c r="F211" s="84">
        <f t="shared" si="27"/>
        <v>42705</v>
      </c>
      <c r="G211" s="229">
        <v>196.2</v>
      </c>
      <c r="H211" s="71" t="s">
        <v>1218</v>
      </c>
      <c r="I211" s="71" t="s">
        <v>614</v>
      </c>
      <c r="J211" s="72" t="s">
        <v>1184</v>
      </c>
      <c r="K211" s="55">
        <f t="shared" si="28"/>
        <v>2016</v>
      </c>
      <c r="L211" s="81"/>
      <c r="M211" s="81"/>
      <c r="N211" s="73" t="s">
        <v>1225</v>
      </c>
      <c r="O211" s="73" t="s">
        <v>1226</v>
      </c>
      <c r="P211" s="74"/>
      <c r="Q211" s="75" t="s">
        <v>1227</v>
      </c>
      <c r="R211" s="230">
        <v>819.5</v>
      </c>
      <c r="S211" s="230">
        <v>2758</v>
      </c>
      <c r="T211" s="230">
        <v>3577.5</v>
      </c>
      <c r="U211" s="231">
        <v>394</v>
      </c>
      <c r="V211" s="230"/>
      <c r="W211" s="230"/>
      <c r="X211" s="231"/>
      <c r="Y211" s="85">
        <v>0.5</v>
      </c>
      <c r="Z211" s="85"/>
      <c r="AA211" s="76"/>
      <c r="AB211" s="77" t="s">
        <v>1069</v>
      </c>
      <c r="AC211" s="78"/>
    </row>
    <row r="212" spans="1:29" hidden="1" x14ac:dyDescent="0.2">
      <c r="A212" s="117" t="s">
        <v>1228</v>
      </c>
      <c r="B212" s="118" t="e">
        <f t="shared" si="26"/>
        <v>#VALUE!</v>
      </c>
      <c r="C212" s="118" t="s">
        <v>612</v>
      </c>
      <c r="D212" s="113">
        <v>39008</v>
      </c>
      <c r="E212" s="84">
        <v>39052</v>
      </c>
      <c r="F212" s="84">
        <f t="shared" si="27"/>
        <v>42705</v>
      </c>
      <c r="G212" s="229">
        <v>2315.89</v>
      </c>
      <c r="H212" s="71" t="s">
        <v>1218</v>
      </c>
      <c r="I212" s="71" t="s">
        <v>614</v>
      </c>
      <c r="J212" s="72" t="s">
        <v>1184</v>
      </c>
      <c r="K212" s="55">
        <f t="shared" si="28"/>
        <v>2016</v>
      </c>
      <c r="L212" s="81"/>
      <c r="M212" s="81"/>
      <c r="N212" s="73" t="s">
        <v>1177</v>
      </c>
      <c r="O212" s="73" t="s">
        <v>1229</v>
      </c>
      <c r="P212" s="74" t="s">
        <v>1230</v>
      </c>
      <c r="Q212" s="75" t="s">
        <v>1231</v>
      </c>
      <c r="R212" s="230">
        <v>8236</v>
      </c>
      <c r="S212" s="230">
        <v>55584</v>
      </c>
      <c r="T212" s="230">
        <v>63820</v>
      </c>
      <c r="U212" s="231">
        <v>4632</v>
      </c>
      <c r="V212" s="230"/>
      <c r="W212" s="230"/>
      <c r="X212" s="231"/>
      <c r="Y212" s="85">
        <v>0.5</v>
      </c>
      <c r="Z212" s="85"/>
      <c r="AA212" s="76"/>
      <c r="AB212" s="77" t="s">
        <v>1069</v>
      </c>
      <c r="AC212" s="78"/>
    </row>
    <row r="213" spans="1:29" hidden="1" x14ac:dyDescent="0.2">
      <c r="A213" s="117" t="s">
        <v>1232</v>
      </c>
      <c r="B213" s="118" t="e">
        <f t="shared" si="26"/>
        <v>#VALUE!</v>
      </c>
      <c r="C213" s="118" t="s">
        <v>612</v>
      </c>
      <c r="D213" s="113">
        <v>39008</v>
      </c>
      <c r="E213" s="84">
        <v>39052</v>
      </c>
      <c r="F213" s="84">
        <f t="shared" si="27"/>
        <v>42705</v>
      </c>
      <c r="G213" s="229">
        <v>1777.19</v>
      </c>
      <c r="H213" s="71" t="s">
        <v>1218</v>
      </c>
      <c r="I213" s="71" t="s">
        <v>614</v>
      </c>
      <c r="J213" s="72" t="s">
        <v>1184</v>
      </c>
      <c r="K213" s="55">
        <f t="shared" si="28"/>
        <v>2016</v>
      </c>
      <c r="L213" s="81"/>
      <c r="M213" s="81"/>
      <c r="N213" s="73" t="s">
        <v>1177</v>
      </c>
      <c r="O213" s="73" t="s">
        <v>1233</v>
      </c>
      <c r="P213" s="74" t="s">
        <v>1234</v>
      </c>
      <c r="Q213" s="75" t="s">
        <v>1235</v>
      </c>
      <c r="R213" s="230">
        <v>6353</v>
      </c>
      <c r="S213" s="230">
        <v>7112</v>
      </c>
      <c r="T213" s="230">
        <v>13465</v>
      </c>
      <c r="U213" s="231">
        <v>3556</v>
      </c>
      <c r="V213" s="230"/>
      <c r="W213" s="230"/>
      <c r="X213" s="231"/>
      <c r="Y213" s="85">
        <v>0.5</v>
      </c>
      <c r="Z213" s="85"/>
      <c r="AA213" s="76"/>
      <c r="AB213" s="77" t="s">
        <v>1069</v>
      </c>
      <c r="AC213" s="78"/>
    </row>
    <row r="214" spans="1:29" hidden="1" x14ac:dyDescent="0.2">
      <c r="A214" s="117" t="s">
        <v>1236</v>
      </c>
      <c r="B214" s="118" t="e">
        <f t="shared" si="26"/>
        <v>#VALUE!</v>
      </c>
      <c r="C214" s="118" t="s">
        <v>612</v>
      </c>
      <c r="D214" s="113">
        <v>39008</v>
      </c>
      <c r="E214" s="84">
        <v>39052</v>
      </c>
      <c r="F214" s="84">
        <f t="shared" si="27"/>
        <v>42705</v>
      </c>
      <c r="G214" s="229">
        <v>249.5</v>
      </c>
      <c r="H214" s="71" t="s">
        <v>845</v>
      </c>
      <c r="I214" s="71" t="s">
        <v>614</v>
      </c>
      <c r="J214" s="72" t="s">
        <v>1184</v>
      </c>
      <c r="K214" s="55">
        <f t="shared" si="28"/>
        <v>2016</v>
      </c>
      <c r="L214" s="81"/>
      <c r="M214" s="81"/>
      <c r="N214" s="73" t="s">
        <v>1177</v>
      </c>
      <c r="O214" s="73" t="s">
        <v>1237</v>
      </c>
      <c r="P214" s="74" t="s">
        <v>1238</v>
      </c>
      <c r="Q214" s="75" t="s">
        <v>1239</v>
      </c>
      <c r="R214" s="230">
        <v>1005</v>
      </c>
      <c r="S214" s="230">
        <v>3500</v>
      </c>
      <c r="T214" s="230">
        <v>4505</v>
      </c>
      <c r="U214" s="231">
        <v>500</v>
      </c>
      <c r="V214" s="230"/>
      <c r="W214" s="230"/>
      <c r="X214" s="231"/>
      <c r="Y214" s="85">
        <v>0.5</v>
      </c>
      <c r="Z214" s="85"/>
      <c r="AA214" s="76"/>
      <c r="AB214" s="77" t="s">
        <v>1069</v>
      </c>
      <c r="AC214" s="78"/>
    </row>
    <row r="215" spans="1:29" hidden="1" x14ac:dyDescent="0.2">
      <c r="A215" s="117" t="s">
        <v>1240</v>
      </c>
      <c r="B215" s="118" t="e">
        <f t="shared" si="26"/>
        <v>#VALUE!</v>
      </c>
      <c r="C215" s="118" t="s">
        <v>612</v>
      </c>
      <c r="D215" s="113">
        <v>39008</v>
      </c>
      <c r="E215" s="84">
        <v>39052</v>
      </c>
      <c r="F215" s="84">
        <f t="shared" si="27"/>
        <v>42705</v>
      </c>
      <c r="G215" s="229">
        <v>261</v>
      </c>
      <c r="H215" s="71" t="s">
        <v>845</v>
      </c>
      <c r="I215" s="71" t="s">
        <v>614</v>
      </c>
      <c r="J215" s="72" t="s">
        <v>1184</v>
      </c>
      <c r="K215" s="55">
        <f t="shared" si="28"/>
        <v>2016</v>
      </c>
      <c r="L215" s="81"/>
      <c r="M215" s="81"/>
      <c r="N215" s="73" t="s">
        <v>1177</v>
      </c>
      <c r="O215" s="73" t="s">
        <v>1241</v>
      </c>
      <c r="P215" s="74" t="s">
        <v>1242</v>
      </c>
      <c r="Q215" s="75" t="s">
        <v>1243</v>
      </c>
      <c r="R215" s="230">
        <v>1043.5</v>
      </c>
      <c r="S215" s="230">
        <v>3654</v>
      </c>
      <c r="T215" s="230">
        <v>4697.5</v>
      </c>
      <c r="U215" s="231">
        <v>522</v>
      </c>
      <c r="V215" s="230"/>
      <c r="W215" s="230"/>
      <c r="X215" s="231"/>
      <c r="Y215" s="85">
        <v>0.5</v>
      </c>
      <c r="Z215" s="85"/>
      <c r="AA215" s="76"/>
      <c r="AB215" s="77" t="s">
        <v>1069</v>
      </c>
      <c r="AC215" s="78"/>
    </row>
    <row r="216" spans="1:29" hidden="1" x14ac:dyDescent="0.2">
      <c r="A216" s="117" t="s">
        <v>1244</v>
      </c>
      <c r="B216" s="118" t="e">
        <f t="shared" si="26"/>
        <v>#VALUE!</v>
      </c>
      <c r="C216" s="118" t="s">
        <v>612</v>
      </c>
      <c r="D216" s="113">
        <v>39008</v>
      </c>
      <c r="E216" s="84">
        <v>39052</v>
      </c>
      <c r="F216" s="84">
        <f t="shared" si="27"/>
        <v>42705</v>
      </c>
      <c r="G216" s="229">
        <v>115.126</v>
      </c>
      <c r="H216" s="71" t="s">
        <v>1245</v>
      </c>
      <c r="I216" s="71" t="s">
        <v>614</v>
      </c>
      <c r="J216" s="72" t="s">
        <v>1184</v>
      </c>
      <c r="K216" s="55">
        <f t="shared" si="28"/>
        <v>2016</v>
      </c>
      <c r="L216" s="81"/>
      <c r="M216" s="81"/>
      <c r="N216" s="73" t="s">
        <v>1246</v>
      </c>
      <c r="O216" s="73" t="s">
        <v>1247</v>
      </c>
      <c r="P216" s="74" t="s">
        <v>1242</v>
      </c>
      <c r="Q216" s="75" t="s">
        <v>1248</v>
      </c>
      <c r="R216" s="230">
        <v>536</v>
      </c>
      <c r="S216" s="230">
        <v>11368</v>
      </c>
      <c r="T216" s="230">
        <v>11904</v>
      </c>
      <c r="U216" s="231">
        <v>232</v>
      </c>
      <c r="V216" s="230"/>
      <c r="W216" s="230"/>
      <c r="X216" s="231"/>
      <c r="Y216" s="85">
        <v>0.5</v>
      </c>
      <c r="Z216" s="85"/>
      <c r="AA216" s="76"/>
      <c r="AB216" s="77" t="s">
        <v>1069</v>
      </c>
      <c r="AC216" s="78"/>
    </row>
    <row r="217" spans="1:29" hidden="1" x14ac:dyDescent="0.2">
      <c r="A217" s="117" t="s">
        <v>1249</v>
      </c>
      <c r="B217" s="118" t="e">
        <f t="shared" si="26"/>
        <v>#VALUE!</v>
      </c>
      <c r="C217" s="118" t="s">
        <v>612</v>
      </c>
      <c r="D217" s="113">
        <v>39008</v>
      </c>
      <c r="E217" s="84">
        <v>39052</v>
      </c>
      <c r="F217" s="84">
        <f t="shared" si="27"/>
        <v>42705</v>
      </c>
      <c r="G217" s="229">
        <v>177.292</v>
      </c>
      <c r="H217" s="71" t="s">
        <v>1245</v>
      </c>
      <c r="I217" s="71" t="s">
        <v>614</v>
      </c>
      <c r="J217" s="72" t="s">
        <v>1184</v>
      </c>
      <c r="K217" s="55">
        <f t="shared" si="28"/>
        <v>2016</v>
      </c>
      <c r="L217" s="81"/>
      <c r="M217" s="81"/>
      <c r="N217" s="73" t="s">
        <v>1246</v>
      </c>
      <c r="O217" s="73" t="s">
        <v>1250</v>
      </c>
      <c r="P217" s="74" t="s">
        <v>1251</v>
      </c>
      <c r="Q217" s="75" t="s">
        <v>1252</v>
      </c>
      <c r="R217" s="230">
        <v>753</v>
      </c>
      <c r="S217" s="230">
        <v>17444</v>
      </c>
      <c r="T217" s="230">
        <v>18197</v>
      </c>
      <c r="U217" s="231">
        <v>356</v>
      </c>
      <c r="V217" s="230"/>
      <c r="W217" s="230"/>
      <c r="X217" s="231"/>
      <c r="Y217" s="85">
        <v>0.5</v>
      </c>
      <c r="Z217" s="85"/>
      <c r="AA217" s="76"/>
      <c r="AB217" s="77" t="s">
        <v>1069</v>
      </c>
      <c r="AC217" s="78"/>
    </row>
    <row r="218" spans="1:29" hidden="1" x14ac:dyDescent="0.2">
      <c r="A218" s="117"/>
      <c r="D218" s="113"/>
      <c r="E218" s="84"/>
      <c r="F218" s="84"/>
      <c r="G218" s="229"/>
      <c r="H218" s="71"/>
      <c r="I218" s="71"/>
      <c r="J218" s="79"/>
      <c r="K218" s="79"/>
      <c r="L218" s="80"/>
      <c r="M218" s="80"/>
      <c r="N218" s="73"/>
      <c r="O218" s="73"/>
      <c r="P218" s="74"/>
      <c r="Q218" s="75" t="s">
        <v>1253</v>
      </c>
      <c r="R218" s="230">
        <v>84689.5</v>
      </c>
      <c r="S218" s="230">
        <v>141532</v>
      </c>
      <c r="T218" s="230">
        <v>226221.5</v>
      </c>
      <c r="U218" s="231"/>
      <c r="V218" s="230"/>
      <c r="W218" s="230"/>
      <c r="X218" s="231"/>
      <c r="Y218" s="85"/>
      <c r="Z218" s="85"/>
      <c r="AA218" s="76"/>
      <c r="AB218" s="77"/>
      <c r="AC218" s="78"/>
    </row>
    <row r="219" spans="1:29" hidden="1" x14ac:dyDescent="0.2">
      <c r="A219" s="117"/>
      <c r="D219" s="113"/>
      <c r="E219" s="84"/>
      <c r="F219" s="84"/>
      <c r="G219" s="229"/>
      <c r="H219" s="71"/>
      <c r="I219" s="71"/>
      <c r="J219" s="79"/>
      <c r="K219" s="79"/>
      <c r="L219" s="80"/>
      <c r="M219" s="80"/>
      <c r="N219" s="73"/>
      <c r="O219" s="73"/>
      <c r="P219" s="74"/>
      <c r="Q219" s="75"/>
      <c r="R219" s="230"/>
      <c r="S219" s="230"/>
      <c r="T219" s="230"/>
      <c r="U219" s="231"/>
      <c r="V219" s="230"/>
      <c r="W219" s="230"/>
      <c r="X219" s="231"/>
      <c r="Y219" s="85"/>
      <c r="Z219" s="85"/>
      <c r="AA219" s="76"/>
      <c r="AB219" s="77"/>
      <c r="AC219" s="78"/>
    </row>
    <row r="220" spans="1:29" hidden="1" x14ac:dyDescent="0.2">
      <c r="A220" s="117" t="s">
        <v>1254</v>
      </c>
      <c r="B220" s="118" t="e">
        <f t="shared" ref="B220:B251" si="29">IF(COUNTIF(GIS,A222),"YES","NO")</f>
        <v>#VALUE!</v>
      </c>
      <c r="C220" s="118" t="s">
        <v>612</v>
      </c>
      <c r="D220" s="113">
        <v>39071</v>
      </c>
      <c r="E220" s="84">
        <v>39142</v>
      </c>
      <c r="F220" s="84">
        <f t="shared" ref="F220:F251" si="30">DATE(YEAR(E220)+10,MONTH(E220),DAY(E220))</f>
        <v>42795</v>
      </c>
      <c r="G220" s="229">
        <v>200.84</v>
      </c>
      <c r="H220" s="71" t="s">
        <v>906</v>
      </c>
      <c r="I220" s="71" t="s">
        <v>676</v>
      </c>
      <c r="J220" s="79"/>
      <c r="K220" s="55">
        <f t="shared" ref="K220:K251" si="31">YEAR(F220)</f>
        <v>2017</v>
      </c>
      <c r="L220" s="80"/>
      <c r="M220" s="80"/>
      <c r="N220" s="73" t="s">
        <v>1255</v>
      </c>
      <c r="O220" s="73" t="s">
        <v>1256</v>
      </c>
      <c r="P220" s="74" t="s">
        <v>1257</v>
      </c>
      <c r="Q220" s="75" t="s">
        <v>1258</v>
      </c>
      <c r="R220" s="230">
        <v>833.5</v>
      </c>
      <c r="S220" s="230">
        <v>603</v>
      </c>
      <c r="T220" s="230">
        <v>1436.5</v>
      </c>
      <c r="U220" s="231">
        <v>402</v>
      </c>
      <c r="V220" s="230"/>
      <c r="W220" s="230"/>
      <c r="X220" s="231"/>
      <c r="Y220" s="85">
        <v>0.5</v>
      </c>
      <c r="Z220" s="85"/>
      <c r="AA220" s="76"/>
      <c r="AB220" s="77"/>
      <c r="AC220" s="78"/>
    </row>
    <row r="221" spans="1:29" hidden="1" x14ac:dyDescent="0.2">
      <c r="A221" s="117" t="s">
        <v>1259</v>
      </c>
      <c r="B221" s="118" t="e">
        <f t="shared" si="29"/>
        <v>#VALUE!</v>
      </c>
      <c r="C221" s="118" t="s">
        <v>612</v>
      </c>
      <c r="D221" s="113">
        <v>39071</v>
      </c>
      <c r="E221" s="84">
        <v>39142</v>
      </c>
      <c r="F221" s="84">
        <f t="shared" si="30"/>
        <v>42795</v>
      </c>
      <c r="G221" s="229">
        <v>71.36</v>
      </c>
      <c r="H221" s="71" t="s">
        <v>906</v>
      </c>
      <c r="I221" s="71" t="s">
        <v>676</v>
      </c>
      <c r="J221" s="79"/>
      <c r="K221" s="55">
        <f t="shared" si="31"/>
        <v>2017</v>
      </c>
      <c r="L221" s="80"/>
      <c r="M221" s="80"/>
      <c r="N221" s="73" t="s">
        <v>1255</v>
      </c>
      <c r="O221" s="73" t="s">
        <v>1256</v>
      </c>
      <c r="P221" s="74" t="s">
        <v>1260</v>
      </c>
      <c r="Q221" s="75" t="s">
        <v>1258</v>
      </c>
      <c r="R221" s="230">
        <v>382</v>
      </c>
      <c r="S221" s="230">
        <v>288</v>
      </c>
      <c r="T221" s="230">
        <v>670</v>
      </c>
      <c r="U221" s="231">
        <v>144</v>
      </c>
      <c r="V221" s="230"/>
      <c r="W221" s="230"/>
      <c r="X221" s="231"/>
      <c r="Y221" s="85">
        <v>0.5</v>
      </c>
      <c r="Z221" s="85"/>
      <c r="AA221" s="76"/>
      <c r="AB221" s="77"/>
      <c r="AC221" s="78"/>
    </row>
    <row r="222" spans="1:29" ht="40" hidden="1" customHeight="1" x14ac:dyDescent="0.2">
      <c r="A222" s="117" t="s">
        <v>1261</v>
      </c>
      <c r="B222" s="118" t="e">
        <f t="shared" si="29"/>
        <v>#VALUE!</v>
      </c>
      <c r="C222" s="118" t="s">
        <v>612</v>
      </c>
      <c r="D222" s="113">
        <v>39071</v>
      </c>
      <c r="E222" s="84">
        <v>39142</v>
      </c>
      <c r="F222" s="84">
        <f t="shared" si="30"/>
        <v>42795</v>
      </c>
      <c r="G222" s="229">
        <v>253.67</v>
      </c>
      <c r="H222" s="71" t="s">
        <v>906</v>
      </c>
      <c r="I222" s="71" t="s">
        <v>676</v>
      </c>
      <c r="J222" s="72" t="s">
        <v>1262</v>
      </c>
      <c r="K222" s="55">
        <f t="shared" si="31"/>
        <v>2017</v>
      </c>
      <c r="L222" s="72"/>
      <c r="M222" s="72"/>
      <c r="N222" s="73" t="s">
        <v>1255</v>
      </c>
      <c r="O222" s="73" t="s">
        <v>1256</v>
      </c>
      <c r="P222" s="74" t="s">
        <v>1263</v>
      </c>
      <c r="Q222" s="75" t="s">
        <v>1264</v>
      </c>
      <c r="R222" s="230">
        <v>1019</v>
      </c>
      <c r="S222" s="230">
        <v>1016</v>
      </c>
      <c r="T222" s="230">
        <v>2035</v>
      </c>
      <c r="U222" s="231">
        <v>381</v>
      </c>
      <c r="V222" s="230"/>
      <c r="W222" s="230"/>
      <c r="X222" s="231"/>
      <c r="Y222" s="85">
        <v>0.5</v>
      </c>
      <c r="Z222" s="85"/>
      <c r="AA222" s="76"/>
      <c r="AB222" s="77"/>
      <c r="AC222" s="78"/>
    </row>
    <row r="223" spans="1:29" ht="27" hidden="1" customHeight="1" x14ac:dyDescent="0.2">
      <c r="A223" s="117" t="s">
        <v>1265</v>
      </c>
      <c r="B223" s="118" t="e">
        <f t="shared" si="29"/>
        <v>#VALUE!</v>
      </c>
      <c r="C223" s="118" t="s">
        <v>612</v>
      </c>
      <c r="D223" s="113">
        <v>39071</v>
      </c>
      <c r="E223" s="84">
        <v>39142</v>
      </c>
      <c r="F223" s="84">
        <f t="shared" si="30"/>
        <v>42795</v>
      </c>
      <c r="G223" s="229">
        <v>316.8</v>
      </c>
      <c r="H223" s="71" t="s">
        <v>906</v>
      </c>
      <c r="I223" s="71" t="s">
        <v>676</v>
      </c>
      <c r="J223" s="79"/>
      <c r="K223" s="55">
        <f t="shared" si="31"/>
        <v>2017</v>
      </c>
      <c r="L223" s="80"/>
      <c r="M223" s="80"/>
      <c r="N223" s="73" t="s">
        <v>1255</v>
      </c>
      <c r="O223" s="73" t="s">
        <v>1256</v>
      </c>
      <c r="P223" s="74" t="s">
        <v>1266</v>
      </c>
      <c r="Q223" s="75" t="s">
        <v>1267</v>
      </c>
      <c r="R223" s="230">
        <v>1239.5</v>
      </c>
      <c r="S223" s="230">
        <v>1268</v>
      </c>
      <c r="T223" s="230">
        <v>2507.5</v>
      </c>
      <c r="U223" s="231">
        <v>634</v>
      </c>
      <c r="V223" s="230"/>
      <c r="W223" s="230"/>
      <c r="X223" s="231"/>
      <c r="Y223" s="85">
        <v>0.5</v>
      </c>
      <c r="Z223" s="85"/>
      <c r="AA223" s="76"/>
      <c r="AB223" s="77"/>
      <c r="AC223" s="78"/>
    </row>
    <row r="224" spans="1:29" ht="27" hidden="1" customHeight="1" x14ac:dyDescent="0.2">
      <c r="A224" s="70" t="s">
        <v>1268</v>
      </c>
      <c r="B224" s="118" t="e">
        <f t="shared" si="29"/>
        <v>#VALUE!</v>
      </c>
      <c r="C224" s="118" t="s">
        <v>612</v>
      </c>
      <c r="D224" s="113">
        <v>39065</v>
      </c>
      <c r="E224" s="84">
        <v>39142</v>
      </c>
      <c r="F224" s="84">
        <f t="shared" si="30"/>
        <v>42795</v>
      </c>
      <c r="G224" s="229">
        <v>205.01</v>
      </c>
      <c r="H224" s="71" t="s">
        <v>1269</v>
      </c>
      <c r="I224" s="71" t="s">
        <v>676</v>
      </c>
      <c r="J224" s="79"/>
      <c r="K224" s="55">
        <f t="shared" si="31"/>
        <v>2017</v>
      </c>
      <c r="L224" s="80"/>
      <c r="M224" s="80"/>
      <c r="N224" s="73" t="s">
        <v>1270</v>
      </c>
      <c r="O224" s="73" t="s">
        <v>1271</v>
      </c>
      <c r="P224" s="74" t="s">
        <v>1272</v>
      </c>
      <c r="Q224" s="75" t="s">
        <v>1273</v>
      </c>
      <c r="R224" s="230">
        <v>851</v>
      </c>
      <c r="S224" s="230">
        <v>1442</v>
      </c>
      <c r="T224" s="230">
        <v>2293</v>
      </c>
      <c r="U224" s="231">
        <v>412</v>
      </c>
      <c r="V224" s="230"/>
      <c r="W224" s="230"/>
      <c r="X224" s="231"/>
      <c r="Y224" s="85">
        <v>0.5</v>
      </c>
      <c r="Z224" s="85"/>
      <c r="AA224" s="76"/>
      <c r="AB224" s="77"/>
      <c r="AC224" s="78"/>
    </row>
    <row r="225" spans="1:29" ht="40" hidden="1" customHeight="1" x14ac:dyDescent="0.2">
      <c r="A225" s="117" t="s">
        <v>1274</v>
      </c>
      <c r="B225" s="118" t="e">
        <f t="shared" si="29"/>
        <v>#VALUE!</v>
      </c>
      <c r="C225" s="118" t="s">
        <v>612</v>
      </c>
      <c r="D225" s="113">
        <v>39065</v>
      </c>
      <c r="E225" s="84">
        <v>39142</v>
      </c>
      <c r="F225" s="84">
        <f t="shared" si="30"/>
        <v>42795</v>
      </c>
      <c r="G225" s="229">
        <v>279.95</v>
      </c>
      <c r="H225" s="71" t="s">
        <v>1269</v>
      </c>
      <c r="I225" s="71" t="s">
        <v>676</v>
      </c>
      <c r="J225" s="79"/>
      <c r="K225" s="55">
        <f t="shared" si="31"/>
        <v>2017</v>
      </c>
      <c r="L225" s="80"/>
      <c r="M225" s="80"/>
      <c r="N225" s="73" t="s">
        <v>1270</v>
      </c>
      <c r="O225" s="73" t="s">
        <v>1271</v>
      </c>
      <c r="P225" s="74" t="s">
        <v>1275</v>
      </c>
      <c r="Q225" s="75" t="s">
        <v>1276</v>
      </c>
      <c r="R225" s="230">
        <v>1110</v>
      </c>
      <c r="S225" s="230">
        <v>2240</v>
      </c>
      <c r="T225" s="230">
        <v>3350</v>
      </c>
      <c r="U225" s="231">
        <v>560</v>
      </c>
      <c r="V225" s="230"/>
      <c r="W225" s="230"/>
      <c r="X225" s="231"/>
      <c r="Y225" s="85">
        <v>0.5</v>
      </c>
      <c r="Z225" s="85"/>
      <c r="AA225" s="76"/>
      <c r="AB225" s="77"/>
      <c r="AC225" s="78"/>
    </row>
    <row r="226" spans="1:29" hidden="1" x14ac:dyDescent="0.2">
      <c r="A226" s="117" t="s">
        <v>1277</v>
      </c>
      <c r="B226" s="118" t="e">
        <f t="shared" si="29"/>
        <v>#VALUE!</v>
      </c>
      <c r="C226" s="118" t="s">
        <v>612</v>
      </c>
      <c r="D226" s="113">
        <v>39065</v>
      </c>
      <c r="E226" s="84">
        <v>39142</v>
      </c>
      <c r="F226" s="84">
        <f t="shared" si="30"/>
        <v>42795</v>
      </c>
      <c r="G226" s="229">
        <v>616.38</v>
      </c>
      <c r="H226" s="71" t="s">
        <v>1278</v>
      </c>
      <c r="I226" s="71" t="s">
        <v>676</v>
      </c>
      <c r="J226" s="79"/>
      <c r="K226" s="55">
        <f t="shared" si="31"/>
        <v>2017</v>
      </c>
      <c r="L226" s="80"/>
      <c r="M226" s="80"/>
      <c r="N226" s="73" t="s">
        <v>1270</v>
      </c>
      <c r="O226" s="73" t="s">
        <v>1279</v>
      </c>
      <c r="P226" s="74" t="s">
        <v>1280</v>
      </c>
      <c r="Q226" s="75" t="s">
        <v>1281</v>
      </c>
      <c r="R226" s="230">
        <v>2289.5</v>
      </c>
      <c r="S226" s="230">
        <v>6170</v>
      </c>
      <c r="T226" s="230">
        <v>8459.5</v>
      </c>
      <c r="U226" s="231">
        <v>1234</v>
      </c>
      <c r="V226" s="230"/>
      <c r="W226" s="230"/>
      <c r="X226" s="231"/>
      <c r="Y226" s="85">
        <v>0.5</v>
      </c>
      <c r="Z226" s="85"/>
      <c r="AA226" s="76"/>
      <c r="AB226" s="77"/>
      <c r="AC226" s="78"/>
    </row>
    <row r="227" spans="1:29" ht="69" hidden="1" customHeight="1" x14ac:dyDescent="0.2">
      <c r="A227" s="117" t="s">
        <v>1282</v>
      </c>
      <c r="B227" s="118" t="e">
        <f t="shared" si="29"/>
        <v>#VALUE!</v>
      </c>
      <c r="C227" s="118" t="s">
        <v>612</v>
      </c>
      <c r="D227" s="113">
        <v>39065</v>
      </c>
      <c r="E227" s="84">
        <v>39142</v>
      </c>
      <c r="F227" s="84">
        <f t="shared" si="30"/>
        <v>42795</v>
      </c>
      <c r="G227" s="229">
        <v>80</v>
      </c>
      <c r="H227" s="71" t="s">
        <v>1086</v>
      </c>
      <c r="I227" s="71" t="s">
        <v>676</v>
      </c>
      <c r="J227" s="72" t="s">
        <v>1283</v>
      </c>
      <c r="K227" s="55">
        <f t="shared" si="31"/>
        <v>2017</v>
      </c>
      <c r="L227" s="72"/>
      <c r="M227" s="72"/>
      <c r="N227" s="73" t="s">
        <v>1270</v>
      </c>
      <c r="O227" s="73" t="s">
        <v>1284</v>
      </c>
      <c r="P227" s="74" t="s">
        <v>1285</v>
      </c>
      <c r="Q227" s="75" t="s">
        <v>1286</v>
      </c>
      <c r="R227" s="230">
        <v>410</v>
      </c>
      <c r="S227" s="230">
        <v>480</v>
      </c>
      <c r="T227" s="230">
        <v>890</v>
      </c>
      <c r="U227" s="243"/>
      <c r="V227" s="244"/>
      <c r="W227" s="244"/>
      <c r="X227" s="243"/>
      <c r="Y227" s="85">
        <v>0.5</v>
      </c>
      <c r="Z227" s="85"/>
      <c r="AA227" s="76"/>
      <c r="AB227" s="77"/>
      <c r="AC227" s="78"/>
    </row>
    <row r="228" spans="1:29" ht="40" hidden="1" customHeight="1" x14ac:dyDescent="0.2">
      <c r="A228" s="117" t="s">
        <v>1287</v>
      </c>
      <c r="B228" s="118" t="e">
        <f t="shared" si="29"/>
        <v>#VALUE!</v>
      </c>
      <c r="C228" s="118" t="s">
        <v>612</v>
      </c>
      <c r="D228" s="113">
        <v>39065</v>
      </c>
      <c r="E228" s="84">
        <v>39142</v>
      </c>
      <c r="F228" s="84">
        <f t="shared" si="30"/>
        <v>42795</v>
      </c>
      <c r="G228" s="229">
        <v>925.03</v>
      </c>
      <c r="H228" s="71" t="s">
        <v>1269</v>
      </c>
      <c r="I228" s="71" t="s">
        <v>676</v>
      </c>
      <c r="J228" s="79"/>
      <c r="K228" s="55">
        <f t="shared" si="31"/>
        <v>2017</v>
      </c>
      <c r="L228" s="80"/>
      <c r="M228" s="80"/>
      <c r="N228" s="73" t="s">
        <v>1270</v>
      </c>
      <c r="O228" s="73" t="s">
        <v>1271</v>
      </c>
      <c r="P228" s="74" t="s">
        <v>1288</v>
      </c>
      <c r="Q228" s="75" t="s">
        <v>1289</v>
      </c>
      <c r="R228" s="230">
        <v>3371</v>
      </c>
      <c r="S228" s="230">
        <v>0</v>
      </c>
      <c r="T228" s="230">
        <v>3371</v>
      </c>
      <c r="U228" s="231">
        <v>1852</v>
      </c>
      <c r="V228" s="230"/>
      <c r="W228" s="230"/>
      <c r="X228" s="231"/>
      <c r="Y228" s="85">
        <v>0.5</v>
      </c>
      <c r="Z228" s="85"/>
      <c r="AA228" s="76"/>
      <c r="AB228" s="77"/>
      <c r="AC228" s="78"/>
    </row>
    <row r="229" spans="1:29" ht="27" hidden="1" customHeight="1" x14ac:dyDescent="0.2">
      <c r="A229" s="117" t="s">
        <v>1290</v>
      </c>
      <c r="B229" s="118" t="e">
        <f t="shared" si="29"/>
        <v>#VALUE!</v>
      </c>
      <c r="C229" s="118" t="s">
        <v>612</v>
      </c>
      <c r="D229" s="113">
        <v>39065</v>
      </c>
      <c r="E229" s="84">
        <v>39142</v>
      </c>
      <c r="F229" s="84">
        <f t="shared" si="30"/>
        <v>42795</v>
      </c>
      <c r="G229" s="229">
        <v>728.37</v>
      </c>
      <c r="H229" s="71" t="s">
        <v>1269</v>
      </c>
      <c r="I229" s="71" t="s">
        <v>676</v>
      </c>
      <c r="J229" s="79"/>
      <c r="K229" s="55">
        <f t="shared" si="31"/>
        <v>2017</v>
      </c>
      <c r="L229" s="80"/>
      <c r="M229" s="80"/>
      <c r="N229" s="73" t="s">
        <v>1270</v>
      </c>
      <c r="O229" s="73" t="s">
        <v>1271</v>
      </c>
      <c r="P229" s="74" t="s">
        <v>1291</v>
      </c>
      <c r="Q229" s="75" t="s">
        <v>1292</v>
      </c>
      <c r="R229" s="230">
        <v>2681.5</v>
      </c>
      <c r="S229" s="230">
        <v>0</v>
      </c>
      <c r="T229" s="230">
        <v>2681.5</v>
      </c>
      <c r="U229" s="231">
        <v>1458</v>
      </c>
      <c r="V229" s="230"/>
      <c r="W229" s="230"/>
      <c r="X229" s="231"/>
      <c r="Y229" s="85">
        <v>0.5</v>
      </c>
      <c r="Z229" s="85"/>
      <c r="AA229" s="76"/>
      <c r="AB229" s="77"/>
      <c r="AC229" s="78"/>
    </row>
    <row r="230" spans="1:29" ht="40" hidden="1" customHeight="1" x14ac:dyDescent="0.2">
      <c r="A230" s="117" t="s">
        <v>1293</v>
      </c>
      <c r="B230" s="118" t="e">
        <f t="shared" si="29"/>
        <v>#VALUE!</v>
      </c>
      <c r="C230" s="118" t="s">
        <v>612</v>
      </c>
      <c r="D230" s="113">
        <v>39065</v>
      </c>
      <c r="E230" s="84">
        <v>39142</v>
      </c>
      <c r="F230" s="84">
        <f t="shared" si="30"/>
        <v>42795</v>
      </c>
      <c r="G230" s="229">
        <v>176.79</v>
      </c>
      <c r="H230" s="71" t="s">
        <v>1269</v>
      </c>
      <c r="I230" s="71" t="s">
        <v>676</v>
      </c>
      <c r="J230" s="79"/>
      <c r="K230" s="55">
        <f t="shared" si="31"/>
        <v>2017</v>
      </c>
      <c r="L230" s="80"/>
      <c r="M230" s="80"/>
      <c r="N230" s="73" t="s">
        <v>1270</v>
      </c>
      <c r="O230" s="73" t="s">
        <v>1271</v>
      </c>
      <c r="P230" s="74" t="s">
        <v>1294</v>
      </c>
      <c r="Q230" s="75" t="s">
        <v>1295</v>
      </c>
      <c r="R230" s="230">
        <v>749.5</v>
      </c>
      <c r="S230" s="230">
        <v>1416</v>
      </c>
      <c r="T230" s="230">
        <v>2165.5</v>
      </c>
      <c r="U230" s="231">
        <v>354</v>
      </c>
      <c r="V230" s="230"/>
      <c r="W230" s="230"/>
      <c r="X230" s="231"/>
      <c r="Y230" s="85">
        <v>0.5</v>
      </c>
      <c r="Z230" s="85"/>
      <c r="AA230" s="76"/>
      <c r="AB230" s="77"/>
      <c r="AC230" s="78"/>
    </row>
    <row r="231" spans="1:29" ht="27" hidden="1" customHeight="1" x14ac:dyDescent="0.2">
      <c r="A231" s="117" t="s">
        <v>1296</v>
      </c>
      <c r="B231" s="118" t="e">
        <f t="shared" si="29"/>
        <v>#VALUE!</v>
      </c>
      <c r="C231" s="118" t="s">
        <v>612</v>
      </c>
      <c r="D231" s="113">
        <v>39065</v>
      </c>
      <c r="E231" s="84">
        <v>39142</v>
      </c>
      <c r="F231" s="84">
        <f t="shared" si="30"/>
        <v>42795</v>
      </c>
      <c r="G231" s="229">
        <v>1670.37</v>
      </c>
      <c r="H231" s="71" t="s">
        <v>1269</v>
      </c>
      <c r="I231" s="71" t="s">
        <v>676</v>
      </c>
      <c r="J231" s="79"/>
      <c r="K231" s="55">
        <f t="shared" si="31"/>
        <v>2017</v>
      </c>
      <c r="L231" s="80"/>
      <c r="M231" s="80"/>
      <c r="N231" s="73" t="s">
        <v>1270</v>
      </c>
      <c r="O231" s="73" t="s">
        <v>1271</v>
      </c>
      <c r="P231" s="74" t="s">
        <v>1297</v>
      </c>
      <c r="Q231" s="75" t="s">
        <v>1298</v>
      </c>
      <c r="R231" s="230">
        <v>5978.5</v>
      </c>
      <c r="S231" s="230">
        <v>0</v>
      </c>
      <c r="T231" s="230">
        <v>5978.5</v>
      </c>
      <c r="U231" s="231">
        <v>3342</v>
      </c>
      <c r="V231" s="230"/>
      <c r="W231" s="230"/>
      <c r="X231" s="231"/>
      <c r="Y231" s="85">
        <v>0.5</v>
      </c>
      <c r="Z231" s="85"/>
      <c r="AA231" s="76"/>
      <c r="AB231" s="77"/>
      <c r="AC231" s="78"/>
    </row>
    <row r="232" spans="1:29" ht="53" hidden="1" customHeight="1" x14ac:dyDescent="0.2">
      <c r="A232" s="117" t="s">
        <v>1299</v>
      </c>
      <c r="B232" s="118" t="e">
        <f t="shared" si="29"/>
        <v>#VALUE!</v>
      </c>
      <c r="C232" s="118" t="s">
        <v>612</v>
      </c>
      <c r="D232" s="113">
        <v>39065</v>
      </c>
      <c r="E232" s="84">
        <v>39142</v>
      </c>
      <c r="F232" s="84">
        <f t="shared" si="30"/>
        <v>42795</v>
      </c>
      <c r="G232" s="229">
        <v>2139.91</v>
      </c>
      <c r="H232" s="71" t="s">
        <v>1269</v>
      </c>
      <c r="I232" s="71" t="s">
        <v>676</v>
      </c>
      <c r="J232" s="79"/>
      <c r="K232" s="55">
        <f t="shared" si="31"/>
        <v>2017</v>
      </c>
      <c r="L232" s="80"/>
      <c r="M232" s="80"/>
      <c r="N232" s="73" t="s">
        <v>1270</v>
      </c>
      <c r="O232" s="73" t="s">
        <v>1271</v>
      </c>
      <c r="P232" s="74" t="s">
        <v>1300</v>
      </c>
      <c r="Q232" s="75" t="s">
        <v>1301</v>
      </c>
      <c r="R232" s="230">
        <v>7620</v>
      </c>
      <c r="S232" s="230">
        <v>0</v>
      </c>
      <c r="T232" s="230">
        <v>7620</v>
      </c>
      <c r="U232" s="231">
        <v>4280</v>
      </c>
      <c r="V232" s="230"/>
      <c r="W232" s="230"/>
      <c r="X232" s="231"/>
      <c r="Y232" s="85">
        <v>0.5</v>
      </c>
      <c r="Z232" s="85"/>
      <c r="AA232" s="76"/>
      <c r="AB232" s="77"/>
      <c r="AC232" s="78"/>
    </row>
    <row r="233" spans="1:29" hidden="1" x14ac:dyDescent="0.2">
      <c r="A233" s="117" t="s">
        <v>1302</v>
      </c>
      <c r="B233" s="118" t="e">
        <f t="shared" si="29"/>
        <v>#VALUE!</v>
      </c>
      <c r="C233" s="118" t="s">
        <v>612</v>
      </c>
      <c r="D233" s="113">
        <v>39065</v>
      </c>
      <c r="E233" s="84">
        <v>39142</v>
      </c>
      <c r="F233" s="84">
        <f t="shared" si="30"/>
        <v>42795</v>
      </c>
      <c r="G233" s="229">
        <v>380</v>
      </c>
      <c r="H233" s="71" t="s">
        <v>1303</v>
      </c>
      <c r="I233" s="71" t="s">
        <v>676</v>
      </c>
      <c r="J233" s="79"/>
      <c r="K233" s="55">
        <f t="shared" si="31"/>
        <v>2017</v>
      </c>
      <c r="L233" s="80"/>
      <c r="M233" s="80"/>
      <c r="N233" s="73" t="s">
        <v>1270</v>
      </c>
      <c r="O233" s="73" t="s">
        <v>1304</v>
      </c>
      <c r="P233" s="74" t="s">
        <v>1305</v>
      </c>
      <c r="Q233" s="75" t="s">
        <v>1306</v>
      </c>
      <c r="R233" s="230">
        <v>1460</v>
      </c>
      <c r="S233" s="230">
        <v>10640</v>
      </c>
      <c r="T233" s="230">
        <v>12100</v>
      </c>
      <c r="U233" s="231">
        <v>760</v>
      </c>
      <c r="V233" s="230"/>
      <c r="W233" s="230"/>
      <c r="X233" s="231"/>
      <c r="Y233" s="85">
        <v>0.5</v>
      </c>
      <c r="Z233" s="85"/>
      <c r="AA233" s="76"/>
      <c r="AB233" s="77"/>
      <c r="AC233" s="78"/>
    </row>
    <row r="234" spans="1:29" hidden="1" x14ac:dyDescent="0.2">
      <c r="A234" s="117" t="s">
        <v>1307</v>
      </c>
      <c r="B234" s="118" t="e">
        <f t="shared" si="29"/>
        <v>#VALUE!</v>
      </c>
      <c r="C234" s="118" t="s">
        <v>612</v>
      </c>
      <c r="D234" s="113">
        <v>39065</v>
      </c>
      <c r="E234" s="84">
        <v>39142</v>
      </c>
      <c r="F234" s="84">
        <f t="shared" si="30"/>
        <v>42795</v>
      </c>
      <c r="G234" s="229">
        <v>320</v>
      </c>
      <c r="H234" s="71" t="s">
        <v>1303</v>
      </c>
      <c r="I234" s="71" t="s">
        <v>676</v>
      </c>
      <c r="J234" s="79"/>
      <c r="K234" s="55">
        <f t="shared" si="31"/>
        <v>2017</v>
      </c>
      <c r="L234" s="80"/>
      <c r="M234" s="80"/>
      <c r="N234" s="73" t="s">
        <v>1270</v>
      </c>
      <c r="O234" s="73" t="s">
        <v>1304</v>
      </c>
      <c r="P234" s="74" t="s">
        <v>1308</v>
      </c>
      <c r="Q234" s="75" t="s">
        <v>1309</v>
      </c>
      <c r="R234" s="230">
        <v>1250</v>
      </c>
      <c r="S234" s="230">
        <v>8960</v>
      </c>
      <c r="T234" s="230">
        <v>10210</v>
      </c>
      <c r="U234" s="231">
        <v>640</v>
      </c>
      <c r="V234" s="230"/>
      <c r="W234" s="230"/>
      <c r="X234" s="231"/>
      <c r="Y234" s="85">
        <v>0.5</v>
      </c>
      <c r="Z234" s="85"/>
      <c r="AA234" s="76"/>
      <c r="AB234" s="77"/>
      <c r="AC234" s="78"/>
    </row>
    <row r="235" spans="1:29" hidden="1" x14ac:dyDescent="0.2">
      <c r="A235" s="117" t="s">
        <v>1310</v>
      </c>
      <c r="B235" s="118" t="e">
        <f t="shared" si="29"/>
        <v>#VALUE!</v>
      </c>
      <c r="C235" s="118" t="s">
        <v>612</v>
      </c>
      <c r="D235" s="113">
        <v>39065</v>
      </c>
      <c r="E235" s="84">
        <v>39142</v>
      </c>
      <c r="F235" s="84">
        <f t="shared" si="30"/>
        <v>42795</v>
      </c>
      <c r="G235" s="229">
        <v>643.97</v>
      </c>
      <c r="H235" s="118" t="s">
        <v>1311</v>
      </c>
      <c r="I235" s="71" t="s">
        <v>684</v>
      </c>
      <c r="J235" s="79"/>
      <c r="K235" s="55">
        <f t="shared" si="31"/>
        <v>2017</v>
      </c>
      <c r="L235" s="80"/>
      <c r="M235" s="80"/>
      <c r="N235" s="73" t="s">
        <v>1312</v>
      </c>
      <c r="O235" s="73" t="s">
        <v>1313</v>
      </c>
      <c r="P235" s="74" t="s">
        <v>1314</v>
      </c>
      <c r="Q235" s="95" t="s">
        <v>1315</v>
      </c>
      <c r="R235" s="230">
        <v>2384</v>
      </c>
      <c r="S235" s="230">
        <v>0</v>
      </c>
      <c r="T235" s="230">
        <v>2384</v>
      </c>
      <c r="U235" s="231">
        <v>1288</v>
      </c>
      <c r="V235" s="230"/>
      <c r="W235" s="230"/>
      <c r="X235" s="231"/>
      <c r="Y235" s="85">
        <v>0.5</v>
      </c>
      <c r="Z235" s="85"/>
      <c r="AA235" s="76"/>
      <c r="AB235" s="77"/>
      <c r="AC235" s="78"/>
    </row>
    <row r="236" spans="1:29" hidden="1" x14ac:dyDescent="0.2">
      <c r="A236" s="117" t="s">
        <v>1316</v>
      </c>
      <c r="B236" s="118" t="e">
        <f t="shared" si="29"/>
        <v>#VALUE!</v>
      </c>
      <c r="C236" s="118" t="s">
        <v>612</v>
      </c>
      <c r="D236" s="113">
        <v>39065</v>
      </c>
      <c r="E236" s="84">
        <v>39142</v>
      </c>
      <c r="F236" s="84">
        <f t="shared" si="30"/>
        <v>42795</v>
      </c>
      <c r="G236" s="229">
        <v>644.96</v>
      </c>
      <c r="H236" s="118" t="s">
        <v>1311</v>
      </c>
      <c r="I236" s="71" t="s">
        <v>684</v>
      </c>
      <c r="J236" s="79"/>
      <c r="K236" s="55">
        <f t="shared" si="31"/>
        <v>2017</v>
      </c>
      <c r="L236" s="80"/>
      <c r="M236" s="80"/>
      <c r="N236" s="73" t="s">
        <v>1312</v>
      </c>
      <c r="O236" s="73" t="s">
        <v>1313</v>
      </c>
      <c r="P236" s="74" t="s">
        <v>1317</v>
      </c>
      <c r="Q236" s="75" t="s">
        <v>1318</v>
      </c>
      <c r="R236" s="230">
        <v>2387.5</v>
      </c>
      <c r="S236" s="230">
        <v>0</v>
      </c>
      <c r="T236" s="230">
        <v>2387.5</v>
      </c>
      <c r="U236" s="231">
        <v>1290</v>
      </c>
      <c r="V236" s="230"/>
      <c r="W236" s="230"/>
      <c r="X236" s="231"/>
      <c r="Y236" s="85">
        <v>0.5</v>
      </c>
      <c r="Z236" s="85"/>
      <c r="AA236" s="76"/>
      <c r="AB236" s="77"/>
      <c r="AC236" s="78"/>
    </row>
    <row r="237" spans="1:29" ht="27" hidden="1" customHeight="1" x14ac:dyDescent="0.2">
      <c r="A237" s="117" t="s">
        <v>1319</v>
      </c>
      <c r="B237" s="118" t="e">
        <f t="shared" si="29"/>
        <v>#VALUE!</v>
      </c>
      <c r="C237" s="118" t="s">
        <v>612</v>
      </c>
      <c r="D237" s="113">
        <v>39065</v>
      </c>
      <c r="E237" s="84">
        <v>39142</v>
      </c>
      <c r="F237" s="84">
        <f t="shared" si="30"/>
        <v>42795</v>
      </c>
      <c r="G237" s="229">
        <v>151.24</v>
      </c>
      <c r="H237" s="118" t="s">
        <v>1311</v>
      </c>
      <c r="I237" s="71" t="s">
        <v>684</v>
      </c>
      <c r="J237" s="79"/>
      <c r="K237" s="55">
        <f t="shared" si="31"/>
        <v>2017</v>
      </c>
      <c r="L237" s="80"/>
      <c r="M237" s="80"/>
      <c r="N237" s="73" t="s">
        <v>1312</v>
      </c>
      <c r="O237" s="73" t="s">
        <v>1313</v>
      </c>
      <c r="P237" s="74" t="s">
        <v>1320</v>
      </c>
      <c r="Q237" s="75" t="s">
        <v>1321</v>
      </c>
      <c r="R237" s="230">
        <v>662</v>
      </c>
      <c r="S237" s="230">
        <v>0</v>
      </c>
      <c r="T237" s="230">
        <v>662</v>
      </c>
      <c r="U237" s="231">
        <v>304</v>
      </c>
      <c r="V237" s="230"/>
      <c r="W237" s="230"/>
      <c r="X237" s="231"/>
      <c r="Y237" s="85">
        <v>0.5</v>
      </c>
      <c r="Z237" s="85"/>
      <c r="AA237" s="76"/>
      <c r="AB237" s="77"/>
      <c r="AC237" s="78"/>
    </row>
    <row r="238" spans="1:29" hidden="1" x14ac:dyDescent="0.2">
      <c r="A238" s="117" t="s">
        <v>1322</v>
      </c>
      <c r="B238" s="118" t="e">
        <f t="shared" si="29"/>
        <v>#VALUE!</v>
      </c>
      <c r="C238" s="118" t="s">
        <v>612</v>
      </c>
      <c r="D238" s="113">
        <v>39065</v>
      </c>
      <c r="E238" s="84">
        <v>39142</v>
      </c>
      <c r="F238" s="84">
        <f t="shared" si="30"/>
        <v>42795</v>
      </c>
      <c r="G238" s="229">
        <v>242.4</v>
      </c>
      <c r="H238" s="71" t="s">
        <v>1323</v>
      </c>
      <c r="I238" s="71" t="s">
        <v>691</v>
      </c>
      <c r="J238" s="79"/>
      <c r="K238" s="55">
        <f t="shared" si="31"/>
        <v>2017</v>
      </c>
      <c r="L238" s="80"/>
      <c r="M238" s="80"/>
      <c r="N238" s="73" t="s">
        <v>1324</v>
      </c>
      <c r="O238" s="73" t="s">
        <v>1325</v>
      </c>
      <c r="P238" s="74" t="s">
        <v>1326</v>
      </c>
      <c r="Q238" s="75" t="s">
        <v>1327</v>
      </c>
      <c r="R238" s="230">
        <v>980.5</v>
      </c>
      <c r="S238" s="230">
        <v>52974</v>
      </c>
      <c r="T238" s="230">
        <v>53954.5</v>
      </c>
      <c r="U238" s="231">
        <v>486</v>
      </c>
      <c r="V238" s="230"/>
      <c r="W238" s="230"/>
      <c r="X238" s="231"/>
      <c r="Y238" s="85">
        <v>0.5</v>
      </c>
      <c r="Z238" s="85"/>
      <c r="AA238" s="76"/>
      <c r="AB238" s="77"/>
      <c r="AC238" s="78"/>
    </row>
    <row r="239" spans="1:29" hidden="1" x14ac:dyDescent="0.2">
      <c r="A239" s="117" t="s">
        <v>1328</v>
      </c>
      <c r="B239" s="118" t="e">
        <f t="shared" si="29"/>
        <v>#VALUE!</v>
      </c>
      <c r="C239" s="118" t="s">
        <v>612</v>
      </c>
      <c r="D239" s="113">
        <v>39065</v>
      </c>
      <c r="E239" s="84">
        <v>39142</v>
      </c>
      <c r="F239" s="84">
        <f t="shared" si="30"/>
        <v>42795</v>
      </c>
      <c r="G239" s="229">
        <v>120</v>
      </c>
      <c r="H239" s="71" t="s">
        <v>1323</v>
      </c>
      <c r="I239" s="71" t="s">
        <v>691</v>
      </c>
      <c r="J239" s="79"/>
      <c r="K239" s="55">
        <f t="shared" si="31"/>
        <v>2017</v>
      </c>
      <c r="L239" s="80"/>
      <c r="M239" s="80"/>
      <c r="N239" s="73" t="s">
        <v>1324</v>
      </c>
      <c r="O239" s="73" t="s">
        <v>1329</v>
      </c>
      <c r="P239" s="74" t="s">
        <v>1330</v>
      </c>
      <c r="Q239" s="75" t="s">
        <v>1331</v>
      </c>
      <c r="R239" s="230">
        <v>550</v>
      </c>
      <c r="S239" s="230">
        <v>44160</v>
      </c>
      <c r="T239" s="230">
        <v>44710</v>
      </c>
      <c r="U239" s="231">
        <v>240</v>
      </c>
      <c r="V239" s="230"/>
      <c r="W239" s="230"/>
      <c r="X239" s="231"/>
      <c r="Y239" s="85">
        <v>0.5</v>
      </c>
      <c r="Z239" s="85"/>
      <c r="AA239" s="76"/>
      <c r="AB239" s="77"/>
      <c r="AC239" s="78"/>
    </row>
    <row r="240" spans="1:29" hidden="1" x14ac:dyDescent="0.2">
      <c r="A240" s="117" t="s">
        <v>1332</v>
      </c>
      <c r="B240" s="118" t="e">
        <f t="shared" si="29"/>
        <v>#VALUE!</v>
      </c>
      <c r="C240" s="118" t="s">
        <v>612</v>
      </c>
      <c r="D240" s="113">
        <v>39065</v>
      </c>
      <c r="E240" s="84">
        <v>39142</v>
      </c>
      <c r="F240" s="84">
        <f t="shared" si="30"/>
        <v>42795</v>
      </c>
      <c r="G240" s="229">
        <v>443.3</v>
      </c>
      <c r="H240" s="71" t="s">
        <v>1323</v>
      </c>
      <c r="I240" s="71" t="s">
        <v>691</v>
      </c>
      <c r="J240" s="79"/>
      <c r="K240" s="55">
        <f t="shared" si="31"/>
        <v>2017</v>
      </c>
      <c r="L240" s="80"/>
      <c r="M240" s="80"/>
      <c r="N240" s="73" t="s">
        <v>1324</v>
      </c>
      <c r="O240" s="73" t="s">
        <v>1333</v>
      </c>
      <c r="P240" s="74" t="s">
        <v>1334</v>
      </c>
      <c r="Q240" s="75" t="s">
        <v>1335</v>
      </c>
      <c r="R240" s="230">
        <v>1684</v>
      </c>
      <c r="S240" s="230">
        <v>181152</v>
      </c>
      <c r="T240" s="230">
        <v>182836</v>
      </c>
      <c r="U240" s="231">
        <v>888</v>
      </c>
      <c r="V240" s="230"/>
      <c r="W240" s="230"/>
      <c r="X240" s="231"/>
      <c r="Y240" s="85">
        <v>0.5</v>
      </c>
      <c r="Z240" s="85"/>
      <c r="AA240" s="76"/>
      <c r="AB240" s="77"/>
      <c r="AC240" s="78"/>
    </row>
    <row r="241" spans="1:29" ht="40" hidden="1" customHeight="1" x14ac:dyDescent="0.2">
      <c r="A241" s="117" t="s">
        <v>1336</v>
      </c>
      <c r="B241" s="118" t="e">
        <f t="shared" si="29"/>
        <v>#VALUE!</v>
      </c>
      <c r="C241" s="118" t="s">
        <v>612</v>
      </c>
      <c r="D241" s="113">
        <v>39065</v>
      </c>
      <c r="E241" s="84">
        <v>39142</v>
      </c>
      <c r="F241" s="84">
        <f t="shared" si="30"/>
        <v>42795</v>
      </c>
      <c r="G241" s="229">
        <v>701.58</v>
      </c>
      <c r="H241" s="71" t="s">
        <v>1323</v>
      </c>
      <c r="I241" s="71" t="s">
        <v>691</v>
      </c>
      <c r="J241" s="79"/>
      <c r="K241" s="55">
        <f t="shared" si="31"/>
        <v>2017</v>
      </c>
      <c r="L241" s="80"/>
      <c r="M241" s="80"/>
      <c r="N241" s="73" t="s">
        <v>1324</v>
      </c>
      <c r="O241" s="73" t="s">
        <v>1337</v>
      </c>
      <c r="P241" s="74" t="s">
        <v>1338</v>
      </c>
      <c r="Q241" s="75" t="s">
        <v>1339</v>
      </c>
      <c r="R241" s="230">
        <v>2587</v>
      </c>
      <c r="S241" s="230">
        <v>4914</v>
      </c>
      <c r="T241" s="230">
        <v>7501</v>
      </c>
      <c r="U241" s="231">
        <v>1404</v>
      </c>
      <c r="V241" s="230"/>
      <c r="W241" s="230"/>
      <c r="X241" s="231"/>
      <c r="Y241" s="85">
        <v>0.5</v>
      </c>
      <c r="Z241" s="85"/>
      <c r="AA241" s="76"/>
      <c r="AB241" s="77"/>
      <c r="AC241" s="78"/>
    </row>
    <row r="242" spans="1:29" ht="27" hidden="1" customHeight="1" x14ac:dyDescent="0.2">
      <c r="A242" s="117" t="s">
        <v>1340</v>
      </c>
      <c r="B242" s="118" t="e">
        <f t="shared" si="29"/>
        <v>#VALUE!</v>
      </c>
      <c r="C242" s="118" t="s">
        <v>612</v>
      </c>
      <c r="D242" s="113">
        <v>39065</v>
      </c>
      <c r="E242" s="84">
        <v>39142</v>
      </c>
      <c r="F242" s="84">
        <f t="shared" si="30"/>
        <v>42795</v>
      </c>
      <c r="G242" s="229">
        <v>604.98</v>
      </c>
      <c r="H242" s="71" t="s">
        <v>1323</v>
      </c>
      <c r="I242" s="71" t="s">
        <v>691</v>
      </c>
      <c r="J242" s="79"/>
      <c r="K242" s="55">
        <f t="shared" si="31"/>
        <v>2017</v>
      </c>
      <c r="L242" s="80"/>
      <c r="M242" s="80"/>
      <c r="N242" s="73" t="s">
        <v>1324</v>
      </c>
      <c r="O242" s="73" t="s">
        <v>1337</v>
      </c>
      <c r="P242" s="74" t="s">
        <v>1341</v>
      </c>
      <c r="Q242" s="75" t="s">
        <v>1342</v>
      </c>
      <c r="R242" s="230">
        <v>2247.5</v>
      </c>
      <c r="S242" s="230">
        <v>4235</v>
      </c>
      <c r="T242" s="230">
        <v>6482.5</v>
      </c>
      <c r="U242" s="231">
        <v>1210</v>
      </c>
      <c r="V242" s="230"/>
      <c r="W242" s="230"/>
      <c r="X242" s="231"/>
      <c r="Y242" s="85">
        <v>0.5</v>
      </c>
      <c r="Z242" s="85"/>
      <c r="AA242" s="76"/>
      <c r="AB242" s="77"/>
      <c r="AC242" s="78"/>
    </row>
    <row r="243" spans="1:29" ht="40" hidden="1" customHeight="1" x14ac:dyDescent="0.2">
      <c r="A243" s="117" t="s">
        <v>1343</v>
      </c>
      <c r="B243" s="118" t="e">
        <f t="shared" si="29"/>
        <v>#VALUE!</v>
      </c>
      <c r="C243" s="118" t="s">
        <v>612</v>
      </c>
      <c r="D243" s="113">
        <v>39065</v>
      </c>
      <c r="E243" s="84">
        <v>39142</v>
      </c>
      <c r="F243" s="84">
        <f t="shared" si="30"/>
        <v>42795</v>
      </c>
      <c r="G243" s="229">
        <v>473.62</v>
      </c>
      <c r="H243" s="71" t="s">
        <v>1323</v>
      </c>
      <c r="I243" s="71" t="s">
        <v>691</v>
      </c>
      <c r="J243" s="79"/>
      <c r="K243" s="55">
        <f t="shared" si="31"/>
        <v>2017</v>
      </c>
      <c r="L243" s="80"/>
      <c r="M243" s="80"/>
      <c r="N243" s="73" t="s">
        <v>1324</v>
      </c>
      <c r="O243" s="73" t="s">
        <v>1337</v>
      </c>
      <c r="P243" s="74" t="s">
        <v>1344</v>
      </c>
      <c r="Q243" s="75" t="s">
        <v>1345</v>
      </c>
      <c r="R243" s="230">
        <v>1789</v>
      </c>
      <c r="S243" s="230">
        <v>3792</v>
      </c>
      <c r="T243" s="230">
        <v>5581</v>
      </c>
      <c r="U243" s="231">
        <v>948</v>
      </c>
      <c r="V243" s="230"/>
      <c r="W243" s="230"/>
      <c r="X243" s="231"/>
      <c r="Y243" s="85">
        <v>0.5</v>
      </c>
      <c r="Z243" s="85"/>
      <c r="AA243" s="76"/>
      <c r="AB243" s="77"/>
      <c r="AC243" s="78"/>
    </row>
    <row r="244" spans="1:29" ht="40" hidden="1" customHeight="1" x14ac:dyDescent="0.2">
      <c r="A244" s="117" t="s">
        <v>1346</v>
      </c>
      <c r="B244" s="118" t="e">
        <f t="shared" si="29"/>
        <v>#VALUE!</v>
      </c>
      <c r="C244" s="118" t="s">
        <v>612</v>
      </c>
      <c r="D244" s="113">
        <v>39065</v>
      </c>
      <c r="E244" s="84">
        <v>39142</v>
      </c>
      <c r="F244" s="84">
        <f t="shared" si="30"/>
        <v>42795</v>
      </c>
      <c r="G244" s="229">
        <v>713.18</v>
      </c>
      <c r="H244" s="71" t="s">
        <v>1323</v>
      </c>
      <c r="I244" s="71" t="s">
        <v>691</v>
      </c>
      <c r="J244" s="79"/>
      <c r="K244" s="55">
        <f t="shared" si="31"/>
        <v>2017</v>
      </c>
      <c r="L244" s="80"/>
      <c r="M244" s="80"/>
      <c r="N244" s="73" t="s">
        <v>1324</v>
      </c>
      <c r="O244" s="73" t="s">
        <v>1337</v>
      </c>
      <c r="P244" s="74" t="s">
        <v>1347</v>
      </c>
      <c r="Q244" s="75" t="s">
        <v>1348</v>
      </c>
      <c r="R244" s="230">
        <v>2629</v>
      </c>
      <c r="S244" s="230">
        <v>7140</v>
      </c>
      <c r="T244" s="230">
        <v>9769</v>
      </c>
      <c r="U244" s="231">
        <v>1428</v>
      </c>
      <c r="V244" s="230"/>
      <c r="W244" s="230"/>
      <c r="X244" s="231"/>
      <c r="Y244" s="85">
        <v>0.5</v>
      </c>
      <c r="Z244" s="85"/>
      <c r="AA244" s="76"/>
      <c r="AB244" s="77"/>
      <c r="AC244" s="78"/>
    </row>
    <row r="245" spans="1:29" ht="53" hidden="1" customHeight="1" x14ac:dyDescent="0.2">
      <c r="A245" s="117" t="s">
        <v>1349</v>
      </c>
      <c r="B245" s="118" t="e">
        <f t="shared" si="29"/>
        <v>#VALUE!</v>
      </c>
      <c r="C245" s="118" t="s">
        <v>612</v>
      </c>
      <c r="D245" s="113">
        <v>39065</v>
      </c>
      <c r="E245" s="84">
        <v>39142</v>
      </c>
      <c r="F245" s="84">
        <f t="shared" si="30"/>
        <v>42795</v>
      </c>
      <c r="G245" s="229">
        <v>1138.28</v>
      </c>
      <c r="H245" s="71" t="s">
        <v>1323</v>
      </c>
      <c r="I245" s="71" t="s">
        <v>691</v>
      </c>
      <c r="J245" s="79"/>
      <c r="K245" s="55">
        <f t="shared" si="31"/>
        <v>2017</v>
      </c>
      <c r="L245" s="80"/>
      <c r="M245" s="80"/>
      <c r="N245" s="73" t="s">
        <v>1324</v>
      </c>
      <c r="O245" s="73" t="s">
        <v>1337</v>
      </c>
      <c r="P245" s="74" t="s">
        <v>1350</v>
      </c>
      <c r="Q245" s="75" t="s">
        <v>1351</v>
      </c>
      <c r="R245" s="230">
        <v>4116.5</v>
      </c>
      <c r="S245" s="230">
        <v>14807</v>
      </c>
      <c r="T245" s="230">
        <v>18923.5</v>
      </c>
      <c r="U245" s="231">
        <v>2278</v>
      </c>
      <c r="V245" s="230"/>
      <c r="W245" s="230"/>
      <c r="X245" s="231"/>
      <c r="Y245" s="85">
        <v>0.5</v>
      </c>
      <c r="Z245" s="85"/>
      <c r="AA245" s="76"/>
      <c r="AB245" s="77"/>
      <c r="AC245" s="78"/>
    </row>
    <row r="246" spans="1:29" ht="27" hidden="1" customHeight="1" x14ac:dyDescent="0.2">
      <c r="A246" s="117" t="s">
        <v>1352</v>
      </c>
      <c r="B246" s="118" t="e">
        <f t="shared" si="29"/>
        <v>#VALUE!</v>
      </c>
      <c r="C246" s="118" t="s">
        <v>612</v>
      </c>
      <c r="D246" s="113">
        <v>39065</v>
      </c>
      <c r="E246" s="84">
        <v>39142</v>
      </c>
      <c r="F246" s="84">
        <f t="shared" si="30"/>
        <v>42795</v>
      </c>
      <c r="G246" s="229">
        <v>57.55</v>
      </c>
      <c r="H246" s="71" t="s">
        <v>1323</v>
      </c>
      <c r="I246" s="71" t="s">
        <v>691</v>
      </c>
      <c r="J246" s="79"/>
      <c r="K246" s="55">
        <f t="shared" si="31"/>
        <v>2017</v>
      </c>
      <c r="L246" s="80"/>
      <c r="M246" s="80"/>
      <c r="N246" s="73" t="s">
        <v>1324</v>
      </c>
      <c r="O246" s="73" t="s">
        <v>1337</v>
      </c>
      <c r="P246" s="74" t="s">
        <v>1353</v>
      </c>
      <c r="Q246" s="75" t="s">
        <v>1354</v>
      </c>
      <c r="R246" s="230">
        <v>333</v>
      </c>
      <c r="S246" s="230">
        <v>928</v>
      </c>
      <c r="T246" s="230">
        <v>1261</v>
      </c>
      <c r="U246" s="231">
        <v>116</v>
      </c>
      <c r="V246" s="230"/>
      <c r="W246" s="230"/>
      <c r="X246" s="231"/>
      <c r="Y246" s="85">
        <v>0.5</v>
      </c>
      <c r="Z246" s="85"/>
      <c r="AA246" s="76"/>
      <c r="AB246" s="77"/>
      <c r="AC246" s="78"/>
    </row>
    <row r="247" spans="1:29" ht="27" hidden="1" customHeight="1" x14ac:dyDescent="0.2">
      <c r="A247" s="117" t="s">
        <v>1355</v>
      </c>
      <c r="B247" s="118" t="e">
        <f t="shared" si="29"/>
        <v>#VALUE!</v>
      </c>
      <c r="C247" s="118" t="s">
        <v>612</v>
      </c>
      <c r="D247" s="113">
        <v>39065</v>
      </c>
      <c r="E247" s="84">
        <v>39142</v>
      </c>
      <c r="F247" s="84">
        <f t="shared" si="30"/>
        <v>42795</v>
      </c>
      <c r="G247" s="229">
        <v>331.55</v>
      </c>
      <c r="H247" s="71" t="s">
        <v>1323</v>
      </c>
      <c r="I247" s="71" t="s">
        <v>691</v>
      </c>
      <c r="J247" s="79"/>
      <c r="K247" s="55">
        <f t="shared" si="31"/>
        <v>2017</v>
      </c>
      <c r="L247" s="80"/>
      <c r="M247" s="80"/>
      <c r="N247" s="73" t="s">
        <v>1324</v>
      </c>
      <c r="O247" s="73" t="s">
        <v>1337</v>
      </c>
      <c r="P247" s="74" t="s">
        <v>1356</v>
      </c>
      <c r="Q247" s="75" t="s">
        <v>1357</v>
      </c>
      <c r="R247" s="230">
        <v>1292</v>
      </c>
      <c r="S247" s="230">
        <v>5644</v>
      </c>
      <c r="T247" s="230">
        <v>6936</v>
      </c>
      <c r="U247" s="231">
        <v>664</v>
      </c>
      <c r="V247" s="230"/>
      <c r="W247" s="230"/>
      <c r="X247" s="231"/>
      <c r="Y247" s="85">
        <v>0.5</v>
      </c>
      <c r="Z247" s="85"/>
      <c r="AA247" s="76"/>
      <c r="AB247" s="77"/>
      <c r="AC247" s="78"/>
    </row>
    <row r="248" spans="1:29" ht="27" hidden="1" customHeight="1" x14ac:dyDescent="0.2">
      <c r="A248" s="117" t="s">
        <v>1358</v>
      </c>
      <c r="B248" s="118" t="e">
        <f t="shared" si="29"/>
        <v>#VALUE!</v>
      </c>
      <c r="C248" s="118" t="s">
        <v>612</v>
      </c>
      <c r="D248" s="113">
        <v>39065</v>
      </c>
      <c r="E248" s="84">
        <v>39142</v>
      </c>
      <c r="F248" s="84">
        <f t="shared" si="30"/>
        <v>42795</v>
      </c>
      <c r="G248" s="229">
        <v>190</v>
      </c>
      <c r="H248" s="71" t="s">
        <v>1323</v>
      </c>
      <c r="I248" s="71" t="s">
        <v>691</v>
      </c>
      <c r="J248" s="79"/>
      <c r="K248" s="55">
        <f t="shared" si="31"/>
        <v>2017</v>
      </c>
      <c r="L248" s="80"/>
      <c r="M248" s="80"/>
      <c r="N248" s="73" t="s">
        <v>1324</v>
      </c>
      <c r="O248" s="73" t="s">
        <v>1337</v>
      </c>
      <c r="P248" s="74" t="s">
        <v>1359</v>
      </c>
      <c r="Q248" s="75" t="s">
        <v>1360</v>
      </c>
      <c r="R248" s="230">
        <v>795</v>
      </c>
      <c r="S248" s="230">
        <v>3420</v>
      </c>
      <c r="T248" s="230">
        <v>4215</v>
      </c>
      <c r="U248" s="231">
        <v>380</v>
      </c>
      <c r="V248" s="230"/>
      <c r="W248" s="230"/>
      <c r="X248" s="231"/>
      <c r="Y248" s="85">
        <v>0.5</v>
      </c>
      <c r="Z248" s="85"/>
      <c r="AA248" s="76"/>
      <c r="AB248" s="77"/>
      <c r="AC248" s="78"/>
    </row>
    <row r="249" spans="1:29" hidden="1" x14ac:dyDescent="0.2">
      <c r="A249" s="117" t="s">
        <v>1361</v>
      </c>
      <c r="B249" s="118" t="e">
        <f t="shared" si="29"/>
        <v>#VALUE!</v>
      </c>
      <c r="C249" s="118" t="s">
        <v>612</v>
      </c>
      <c r="D249" s="113">
        <v>39065</v>
      </c>
      <c r="E249" s="84">
        <v>39142</v>
      </c>
      <c r="F249" s="84">
        <f t="shared" si="30"/>
        <v>42795</v>
      </c>
      <c r="G249" s="229">
        <v>40</v>
      </c>
      <c r="H249" s="71" t="s">
        <v>703</v>
      </c>
      <c r="I249" s="71" t="s">
        <v>691</v>
      </c>
      <c r="J249" s="79"/>
      <c r="K249" s="55">
        <f t="shared" si="31"/>
        <v>2017</v>
      </c>
      <c r="L249" s="80"/>
      <c r="M249" s="80"/>
      <c r="N249" s="73" t="s">
        <v>692</v>
      </c>
      <c r="O249" s="73" t="s">
        <v>1362</v>
      </c>
      <c r="P249" s="74" t="s">
        <v>1363</v>
      </c>
      <c r="Q249" s="75" t="s">
        <v>1364</v>
      </c>
      <c r="R249" s="230">
        <v>270</v>
      </c>
      <c r="S249" s="230">
        <v>160</v>
      </c>
      <c r="T249" s="230">
        <v>430</v>
      </c>
      <c r="U249" s="231">
        <v>80</v>
      </c>
      <c r="V249" s="230"/>
      <c r="W249" s="230"/>
      <c r="X249" s="231"/>
      <c r="Y249" s="85">
        <v>0.5</v>
      </c>
      <c r="Z249" s="85"/>
      <c r="AA249" s="76"/>
      <c r="AB249" s="77"/>
      <c r="AC249" s="78"/>
    </row>
    <row r="250" spans="1:29" hidden="1" x14ac:dyDescent="0.2">
      <c r="A250" s="117" t="s">
        <v>1365</v>
      </c>
      <c r="B250" s="118" t="e">
        <f t="shared" si="29"/>
        <v>#VALUE!</v>
      </c>
      <c r="C250" s="118" t="s">
        <v>612</v>
      </c>
      <c r="D250" s="113">
        <v>39065</v>
      </c>
      <c r="E250" s="84">
        <v>39142</v>
      </c>
      <c r="F250" s="84">
        <f t="shared" si="30"/>
        <v>42795</v>
      </c>
      <c r="G250" s="229">
        <v>649.5</v>
      </c>
      <c r="H250" s="71" t="s">
        <v>703</v>
      </c>
      <c r="I250" s="71" t="s">
        <v>691</v>
      </c>
      <c r="J250" s="79"/>
      <c r="K250" s="55">
        <f t="shared" si="31"/>
        <v>2017</v>
      </c>
      <c r="L250" s="80"/>
      <c r="M250" s="80"/>
      <c r="N250" s="73" t="s">
        <v>692</v>
      </c>
      <c r="O250" s="73" t="s">
        <v>1362</v>
      </c>
      <c r="P250" s="74" t="s">
        <v>1366</v>
      </c>
      <c r="Q250" s="75" t="s">
        <v>1367</v>
      </c>
      <c r="R250" s="230">
        <v>2405</v>
      </c>
      <c r="S250" s="230">
        <v>2600</v>
      </c>
      <c r="T250" s="230">
        <v>5005</v>
      </c>
      <c r="U250" s="231">
        <v>1300</v>
      </c>
      <c r="V250" s="230"/>
      <c r="W250" s="230"/>
      <c r="X250" s="231"/>
      <c r="Y250" s="85">
        <v>0.5</v>
      </c>
      <c r="Z250" s="85"/>
      <c r="AA250" s="76"/>
      <c r="AB250" s="77"/>
      <c r="AC250" s="78"/>
    </row>
    <row r="251" spans="1:29" hidden="1" x14ac:dyDescent="0.2">
      <c r="A251" s="117" t="s">
        <v>1368</v>
      </c>
      <c r="B251" s="118" t="e">
        <f t="shared" si="29"/>
        <v>#VALUE!</v>
      </c>
      <c r="C251" s="118" t="s">
        <v>612</v>
      </c>
      <c r="D251" s="113">
        <v>39065</v>
      </c>
      <c r="E251" s="84">
        <v>39142</v>
      </c>
      <c r="F251" s="84">
        <f t="shared" si="30"/>
        <v>42795</v>
      </c>
      <c r="G251" s="229">
        <v>587.44000000000005</v>
      </c>
      <c r="H251" s="71" t="s">
        <v>703</v>
      </c>
      <c r="I251" s="71" t="s">
        <v>691</v>
      </c>
      <c r="J251" s="79"/>
      <c r="K251" s="55">
        <f t="shared" si="31"/>
        <v>2017</v>
      </c>
      <c r="L251" s="80"/>
      <c r="M251" s="80"/>
      <c r="N251" s="73" t="s">
        <v>692</v>
      </c>
      <c r="O251" s="73" t="s">
        <v>1362</v>
      </c>
      <c r="P251" s="74" t="s">
        <v>1369</v>
      </c>
      <c r="Q251" s="75" t="s">
        <v>1370</v>
      </c>
      <c r="R251" s="230">
        <v>2188</v>
      </c>
      <c r="S251" s="230">
        <v>2352</v>
      </c>
      <c r="T251" s="230">
        <v>4540</v>
      </c>
      <c r="U251" s="231">
        <v>1176</v>
      </c>
      <c r="V251" s="230"/>
      <c r="W251" s="230"/>
      <c r="X251" s="231"/>
      <c r="Y251" s="85">
        <v>0.5</v>
      </c>
      <c r="Z251" s="85"/>
      <c r="AA251" s="76"/>
      <c r="AB251" s="77"/>
      <c r="AC251" s="78"/>
    </row>
    <row r="252" spans="1:29" hidden="1" x14ac:dyDescent="0.2">
      <c r="A252" s="117" t="s">
        <v>1371</v>
      </c>
      <c r="B252" s="118" t="e">
        <f t="shared" ref="B252:B283" si="32">IF(COUNTIF(GIS,A254),"YES","NO")</f>
        <v>#VALUE!</v>
      </c>
      <c r="C252" s="118" t="s">
        <v>612</v>
      </c>
      <c r="D252" s="113">
        <v>39065</v>
      </c>
      <c r="E252" s="84">
        <v>39142</v>
      </c>
      <c r="F252" s="84">
        <f t="shared" ref="F252:F283" si="33">DATE(YEAR(E252)+10,MONTH(E252),DAY(E252))</f>
        <v>42795</v>
      </c>
      <c r="G252" s="229">
        <v>561.49</v>
      </c>
      <c r="H252" s="71" t="s">
        <v>703</v>
      </c>
      <c r="I252" s="71" t="s">
        <v>691</v>
      </c>
      <c r="J252" s="79"/>
      <c r="K252" s="55">
        <f t="shared" ref="K252:K283" si="34">YEAR(F252)</f>
        <v>2017</v>
      </c>
      <c r="L252" s="80"/>
      <c r="M252" s="80"/>
      <c r="N252" s="73" t="s">
        <v>692</v>
      </c>
      <c r="O252" s="73" t="s">
        <v>1362</v>
      </c>
      <c r="P252" s="74" t="s">
        <v>1372</v>
      </c>
      <c r="Q252" s="75" t="s">
        <v>1373</v>
      </c>
      <c r="R252" s="230">
        <v>2097</v>
      </c>
      <c r="S252" s="230">
        <v>60696</v>
      </c>
      <c r="T252" s="230">
        <v>62793</v>
      </c>
      <c r="U252" s="231">
        <v>1124</v>
      </c>
      <c r="V252" s="230"/>
      <c r="W252" s="230"/>
      <c r="X252" s="231"/>
      <c r="Y252" s="85">
        <v>0.5</v>
      </c>
      <c r="Z252" s="85"/>
      <c r="AA252" s="76"/>
      <c r="AB252" s="77"/>
      <c r="AC252" s="78"/>
    </row>
    <row r="253" spans="1:29" hidden="1" x14ac:dyDescent="0.2">
      <c r="A253" s="117" t="s">
        <v>1374</v>
      </c>
      <c r="B253" s="118" t="e">
        <f t="shared" si="32"/>
        <v>#VALUE!</v>
      </c>
      <c r="C253" s="118" t="s">
        <v>612</v>
      </c>
      <c r="D253" s="113">
        <v>39065</v>
      </c>
      <c r="E253" s="84">
        <v>39142</v>
      </c>
      <c r="F253" s="84">
        <f t="shared" si="33"/>
        <v>42795</v>
      </c>
      <c r="G253" s="229">
        <v>643.29999999999995</v>
      </c>
      <c r="H253" s="71" t="s">
        <v>703</v>
      </c>
      <c r="I253" s="71" t="s">
        <v>691</v>
      </c>
      <c r="J253" s="79"/>
      <c r="K253" s="55">
        <f t="shared" si="34"/>
        <v>2017</v>
      </c>
      <c r="L253" s="80"/>
      <c r="M253" s="80"/>
      <c r="N253" s="73" t="s">
        <v>692</v>
      </c>
      <c r="O253" s="73" t="s">
        <v>1362</v>
      </c>
      <c r="P253" s="74" t="s">
        <v>1375</v>
      </c>
      <c r="Q253" s="75" t="s">
        <v>1376</v>
      </c>
      <c r="R253" s="230">
        <v>2384</v>
      </c>
      <c r="S253" s="230">
        <v>0</v>
      </c>
      <c r="T253" s="230">
        <v>2384</v>
      </c>
      <c r="U253" s="231">
        <v>1288</v>
      </c>
      <c r="V253" s="230"/>
      <c r="W253" s="230"/>
      <c r="X253" s="231"/>
      <c r="Y253" s="85">
        <v>0.5</v>
      </c>
      <c r="Z253" s="85"/>
      <c r="AA253" s="76"/>
      <c r="AB253" s="77"/>
      <c r="AC253" s="78"/>
    </row>
    <row r="254" spans="1:29" hidden="1" x14ac:dyDescent="0.2">
      <c r="A254" s="117" t="s">
        <v>1377</v>
      </c>
      <c r="B254" s="118" t="e">
        <f t="shared" si="32"/>
        <v>#VALUE!</v>
      </c>
      <c r="C254" s="118" t="s">
        <v>612</v>
      </c>
      <c r="D254" s="113">
        <v>39065</v>
      </c>
      <c r="E254" s="84">
        <v>39142</v>
      </c>
      <c r="F254" s="84">
        <f t="shared" si="33"/>
        <v>42795</v>
      </c>
      <c r="G254" s="229">
        <v>280</v>
      </c>
      <c r="H254" s="71" t="s">
        <v>703</v>
      </c>
      <c r="I254" s="71" t="s">
        <v>691</v>
      </c>
      <c r="J254" s="79"/>
      <c r="K254" s="55">
        <f t="shared" si="34"/>
        <v>2017</v>
      </c>
      <c r="L254" s="80"/>
      <c r="M254" s="80"/>
      <c r="N254" s="73" t="s">
        <v>692</v>
      </c>
      <c r="O254" s="73" t="s">
        <v>1362</v>
      </c>
      <c r="P254" s="74" t="s">
        <v>1378</v>
      </c>
      <c r="Q254" s="75" t="s">
        <v>1379</v>
      </c>
      <c r="R254" s="230">
        <v>1110</v>
      </c>
      <c r="S254" s="230">
        <v>0</v>
      </c>
      <c r="T254" s="230">
        <v>1110</v>
      </c>
      <c r="U254" s="231">
        <v>560</v>
      </c>
      <c r="V254" s="230"/>
      <c r="W254" s="230"/>
      <c r="X254" s="231"/>
      <c r="Y254" s="85">
        <v>0.5</v>
      </c>
      <c r="Z254" s="85"/>
      <c r="AA254" s="76"/>
      <c r="AB254" s="77"/>
      <c r="AC254" s="78"/>
    </row>
    <row r="255" spans="1:29" hidden="1" x14ac:dyDescent="0.2">
      <c r="A255" s="117" t="s">
        <v>1380</v>
      </c>
      <c r="B255" s="118" t="e">
        <f t="shared" si="32"/>
        <v>#VALUE!</v>
      </c>
      <c r="C255" s="118" t="s">
        <v>612</v>
      </c>
      <c r="D255" s="113">
        <v>39065</v>
      </c>
      <c r="E255" s="84">
        <v>39142</v>
      </c>
      <c r="F255" s="84">
        <f t="shared" si="33"/>
        <v>42795</v>
      </c>
      <c r="G255" s="229">
        <v>642.5</v>
      </c>
      <c r="H255" s="71" t="s">
        <v>703</v>
      </c>
      <c r="I255" s="71" t="s">
        <v>691</v>
      </c>
      <c r="J255" s="79"/>
      <c r="K255" s="55">
        <f t="shared" si="34"/>
        <v>2017</v>
      </c>
      <c r="L255" s="80"/>
      <c r="M255" s="80"/>
      <c r="N255" s="73" t="s">
        <v>692</v>
      </c>
      <c r="O255" s="73" t="s">
        <v>1362</v>
      </c>
      <c r="P255" s="74" t="s">
        <v>1381</v>
      </c>
      <c r="Q255" s="75" t="s">
        <v>1382</v>
      </c>
      <c r="R255" s="230">
        <v>2380.5</v>
      </c>
      <c r="S255" s="230">
        <v>0</v>
      </c>
      <c r="T255" s="230">
        <v>2380.5</v>
      </c>
      <c r="U255" s="231">
        <v>1286</v>
      </c>
      <c r="V255" s="230"/>
      <c r="W255" s="230"/>
      <c r="X255" s="231"/>
      <c r="Y255" s="85">
        <v>0.5</v>
      </c>
      <c r="Z255" s="85"/>
      <c r="AA255" s="76"/>
      <c r="AB255" s="77"/>
      <c r="AC255" s="78"/>
    </row>
    <row r="256" spans="1:29" ht="27" hidden="1" customHeight="1" x14ac:dyDescent="0.2">
      <c r="A256" s="117" t="s">
        <v>1383</v>
      </c>
      <c r="B256" s="118" t="e">
        <f t="shared" si="32"/>
        <v>#VALUE!</v>
      </c>
      <c r="C256" s="118" t="s">
        <v>612</v>
      </c>
      <c r="D256" s="113">
        <v>39065</v>
      </c>
      <c r="E256" s="84">
        <v>39142</v>
      </c>
      <c r="F256" s="84">
        <f t="shared" si="33"/>
        <v>42795</v>
      </c>
      <c r="G256" s="229">
        <v>321.58</v>
      </c>
      <c r="H256" s="71" t="s">
        <v>703</v>
      </c>
      <c r="I256" s="71" t="s">
        <v>691</v>
      </c>
      <c r="J256" s="79"/>
      <c r="K256" s="55">
        <f t="shared" si="34"/>
        <v>2017</v>
      </c>
      <c r="L256" s="80"/>
      <c r="M256" s="80"/>
      <c r="N256" s="73" t="s">
        <v>692</v>
      </c>
      <c r="O256" s="73" t="s">
        <v>1362</v>
      </c>
      <c r="P256" s="74" t="s">
        <v>1384</v>
      </c>
      <c r="Q256" s="75" t="s">
        <v>1385</v>
      </c>
      <c r="R256" s="230">
        <v>1257</v>
      </c>
      <c r="S256" s="230">
        <v>0</v>
      </c>
      <c r="T256" s="230">
        <v>1257</v>
      </c>
      <c r="U256" s="231">
        <v>644</v>
      </c>
      <c r="V256" s="230"/>
      <c r="W256" s="230"/>
      <c r="X256" s="231"/>
      <c r="Y256" s="85">
        <v>0.5</v>
      </c>
      <c r="Z256" s="85"/>
      <c r="AA256" s="76"/>
      <c r="AB256" s="77"/>
      <c r="AC256" s="78"/>
    </row>
    <row r="257" spans="1:29" hidden="1" x14ac:dyDescent="0.2">
      <c r="A257" s="117" t="s">
        <v>1386</v>
      </c>
      <c r="B257" s="118" t="e">
        <f t="shared" si="32"/>
        <v>#VALUE!</v>
      </c>
      <c r="C257" s="118" t="s">
        <v>612</v>
      </c>
      <c r="D257" s="113">
        <v>39065</v>
      </c>
      <c r="E257" s="84">
        <v>39142</v>
      </c>
      <c r="F257" s="84">
        <f t="shared" si="33"/>
        <v>42795</v>
      </c>
      <c r="G257" s="229">
        <v>602.80999999999995</v>
      </c>
      <c r="H257" s="71" t="s">
        <v>703</v>
      </c>
      <c r="I257" s="71" t="s">
        <v>691</v>
      </c>
      <c r="J257" s="79"/>
      <c r="K257" s="55">
        <f t="shared" si="34"/>
        <v>2017</v>
      </c>
      <c r="L257" s="80"/>
      <c r="M257" s="80"/>
      <c r="N257" s="73" t="s">
        <v>692</v>
      </c>
      <c r="O257" s="73" t="s">
        <v>1362</v>
      </c>
      <c r="P257" s="74" t="s">
        <v>1387</v>
      </c>
      <c r="Q257" s="75" t="s">
        <v>1388</v>
      </c>
      <c r="R257" s="230">
        <v>2240.5</v>
      </c>
      <c r="S257" s="230">
        <v>0</v>
      </c>
      <c r="T257" s="230">
        <v>2240.5</v>
      </c>
      <c r="U257" s="231">
        <v>1206</v>
      </c>
      <c r="V257" s="230"/>
      <c r="W257" s="230"/>
      <c r="X257" s="231"/>
      <c r="Y257" s="85">
        <v>0.5</v>
      </c>
      <c r="Z257" s="85"/>
      <c r="AA257" s="76"/>
      <c r="AB257" s="77"/>
      <c r="AC257" s="78"/>
    </row>
    <row r="258" spans="1:29" hidden="1" x14ac:dyDescent="0.2">
      <c r="A258" s="117" t="s">
        <v>1389</v>
      </c>
      <c r="B258" s="118" t="e">
        <f t="shared" si="32"/>
        <v>#VALUE!</v>
      </c>
      <c r="C258" s="118" t="s">
        <v>612</v>
      </c>
      <c r="D258" s="113">
        <v>39065</v>
      </c>
      <c r="E258" s="84">
        <v>39142</v>
      </c>
      <c r="F258" s="84">
        <f t="shared" si="33"/>
        <v>42795</v>
      </c>
      <c r="G258" s="229">
        <v>39.68</v>
      </c>
      <c r="H258" s="71" t="s">
        <v>703</v>
      </c>
      <c r="I258" s="71" t="s">
        <v>691</v>
      </c>
      <c r="J258" s="79"/>
      <c r="K258" s="55">
        <f t="shared" si="34"/>
        <v>2017</v>
      </c>
      <c r="L258" s="80"/>
      <c r="M258" s="80"/>
      <c r="N258" s="73" t="s">
        <v>692</v>
      </c>
      <c r="O258" s="73" t="s">
        <v>1362</v>
      </c>
      <c r="P258" s="74" t="s">
        <v>1390</v>
      </c>
      <c r="Q258" s="75" t="s">
        <v>1391</v>
      </c>
      <c r="R258" s="230">
        <v>270</v>
      </c>
      <c r="S258" s="230">
        <v>4320</v>
      </c>
      <c r="T258" s="230">
        <v>4590</v>
      </c>
      <c r="U258" s="231">
        <v>80</v>
      </c>
      <c r="V258" s="230"/>
      <c r="W258" s="230"/>
      <c r="X258" s="231"/>
      <c r="Y258" s="85">
        <v>0.5</v>
      </c>
      <c r="Z258" s="85"/>
      <c r="AA258" s="76"/>
      <c r="AB258" s="77"/>
      <c r="AC258" s="78"/>
    </row>
    <row r="259" spans="1:29" hidden="1" x14ac:dyDescent="0.2">
      <c r="A259" s="117" t="s">
        <v>1392</v>
      </c>
      <c r="B259" s="118" t="e">
        <f t="shared" si="32"/>
        <v>#VALUE!</v>
      </c>
      <c r="C259" s="118" t="s">
        <v>612</v>
      </c>
      <c r="D259" s="113">
        <v>39065</v>
      </c>
      <c r="E259" s="84">
        <v>39142</v>
      </c>
      <c r="F259" s="84">
        <f t="shared" si="33"/>
        <v>42795</v>
      </c>
      <c r="G259" s="229">
        <v>57.05</v>
      </c>
      <c r="H259" s="71" t="s">
        <v>703</v>
      </c>
      <c r="I259" s="71" t="s">
        <v>691</v>
      </c>
      <c r="J259" s="79"/>
      <c r="K259" s="55">
        <f t="shared" si="34"/>
        <v>2017</v>
      </c>
      <c r="L259" s="80"/>
      <c r="M259" s="80"/>
      <c r="N259" s="73" t="s">
        <v>692</v>
      </c>
      <c r="O259" s="73" t="s">
        <v>1362</v>
      </c>
      <c r="P259" s="74" t="s">
        <v>1393</v>
      </c>
      <c r="Q259" s="75" t="s">
        <v>1394</v>
      </c>
      <c r="R259" s="230">
        <v>333</v>
      </c>
      <c r="S259" s="230">
        <v>0</v>
      </c>
      <c r="T259" s="230">
        <v>333</v>
      </c>
      <c r="U259" s="231">
        <v>116</v>
      </c>
      <c r="V259" s="230"/>
      <c r="W259" s="230"/>
      <c r="X259" s="231"/>
      <c r="Y259" s="85">
        <v>0.5</v>
      </c>
      <c r="Z259" s="85"/>
      <c r="AA259" s="76"/>
      <c r="AB259" s="77"/>
      <c r="AC259" s="78"/>
    </row>
    <row r="260" spans="1:29" hidden="1" x14ac:dyDescent="0.2">
      <c r="A260" s="117" t="s">
        <v>1395</v>
      </c>
      <c r="B260" s="118" t="e">
        <f t="shared" si="32"/>
        <v>#VALUE!</v>
      </c>
      <c r="C260" s="118" t="s">
        <v>612</v>
      </c>
      <c r="D260" s="113">
        <v>39065</v>
      </c>
      <c r="E260" s="84">
        <v>39142</v>
      </c>
      <c r="F260" s="84">
        <f t="shared" si="33"/>
        <v>42795</v>
      </c>
      <c r="G260" s="229">
        <v>640</v>
      </c>
      <c r="H260" s="71" t="s">
        <v>703</v>
      </c>
      <c r="I260" s="71" t="s">
        <v>691</v>
      </c>
      <c r="J260" s="79"/>
      <c r="K260" s="55">
        <f t="shared" si="34"/>
        <v>2017</v>
      </c>
      <c r="L260" s="80"/>
      <c r="M260" s="80"/>
      <c r="N260" s="73" t="s">
        <v>692</v>
      </c>
      <c r="O260" s="73" t="s">
        <v>1362</v>
      </c>
      <c r="P260" s="74" t="s">
        <v>1396</v>
      </c>
      <c r="Q260" s="75" t="s">
        <v>1397</v>
      </c>
      <c r="R260" s="230">
        <v>2370</v>
      </c>
      <c r="S260" s="230">
        <v>0</v>
      </c>
      <c r="T260" s="230">
        <v>2370</v>
      </c>
      <c r="U260" s="231">
        <v>1280</v>
      </c>
      <c r="V260" s="230"/>
      <c r="W260" s="230"/>
      <c r="X260" s="231"/>
      <c r="Y260" s="85">
        <v>0.5</v>
      </c>
      <c r="Z260" s="85"/>
      <c r="AA260" s="76"/>
      <c r="AB260" s="77"/>
      <c r="AC260" s="78"/>
    </row>
    <row r="261" spans="1:29" hidden="1" x14ac:dyDescent="0.2">
      <c r="A261" s="117" t="s">
        <v>1398</v>
      </c>
      <c r="B261" s="118" t="e">
        <f t="shared" si="32"/>
        <v>#VALUE!</v>
      </c>
      <c r="C261" s="118" t="s">
        <v>612</v>
      </c>
      <c r="D261" s="113">
        <v>39065</v>
      </c>
      <c r="E261" s="84">
        <v>39142</v>
      </c>
      <c r="F261" s="84">
        <f t="shared" si="33"/>
        <v>42795</v>
      </c>
      <c r="G261" s="229">
        <v>40</v>
      </c>
      <c r="H261" s="71" t="s">
        <v>1041</v>
      </c>
      <c r="I261" s="71" t="s">
        <v>691</v>
      </c>
      <c r="J261" s="79"/>
      <c r="K261" s="55">
        <f t="shared" si="34"/>
        <v>2017</v>
      </c>
      <c r="L261" s="80"/>
      <c r="M261" s="80"/>
      <c r="N261" s="73" t="s">
        <v>692</v>
      </c>
      <c r="O261" s="73" t="s">
        <v>1399</v>
      </c>
      <c r="P261" s="74" t="s">
        <v>1400</v>
      </c>
      <c r="Q261" s="75" t="s">
        <v>1401</v>
      </c>
      <c r="R261" s="230">
        <v>270</v>
      </c>
      <c r="S261" s="230">
        <v>160</v>
      </c>
      <c r="T261" s="230">
        <v>430</v>
      </c>
      <c r="U261" s="231">
        <v>80</v>
      </c>
      <c r="V261" s="230"/>
      <c r="W261" s="230"/>
      <c r="X261" s="231"/>
      <c r="Y261" s="85">
        <v>0.5</v>
      </c>
      <c r="Z261" s="85"/>
      <c r="AA261" s="76"/>
      <c r="AB261" s="77"/>
      <c r="AC261" s="78"/>
    </row>
    <row r="262" spans="1:29" ht="53" hidden="1" customHeight="1" x14ac:dyDescent="0.2">
      <c r="A262" s="117" t="s">
        <v>1402</v>
      </c>
      <c r="B262" s="118" t="e">
        <f t="shared" si="32"/>
        <v>#VALUE!</v>
      </c>
      <c r="C262" s="118" t="s">
        <v>612</v>
      </c>
      <c r="D262" s="113">
        <v>39065</v>
      </c>
      <c r="E262" s="84">
        <v>39142</v>
      </c>
      <c r="F262" s="84">
        <f t="shared" si="33"/>
        <v>42795</v>
      </c>
      <c r="G262" s="229">
        <v>478.73</v>
      </c>
      <c r="H262" s="71" t="s">
        <v>1041</v>
      </c>
      <c r="I262" s="71" t="s">
        <v>691</v>
      </c>
      <c r="J262" s="79"/>
      <c r="K262" s="55">
        <f t="shared" si="34"/>
        <v>2017</v>
      </c>
      <c r="L262" s="80"/>
      <c r="M262" s="80"/>
      <c r="N262" s="73" t="s">
        <v>692</v>
      </c>
      <c r="O262" s="73" t="s">
        <v>1399</v>
      </c>
      <c r="P262" s="74" t="s">
        <v>1403</v>
      </c>
      <c r="Q262" s="75" t="s">
        <v>1404</v>
      </c>
      <c r="R262" s="230">
        <v>1806.5</v>
      </c>
      <c r="S262" s="230">
        <v>0</v>
      </c>
      <c r="T262" s="230">
        <v>1806.5</v>
      </c>
      <c r="U262" s="231">
        <v>958</v>
      </c>
      <c r="V262" s="230"/>
      <c r="W262" s="230"/>
      <c r="X262" s="231"/>
      <c r="Y262" s="85">
        <v>0.5</v>
      </c>
      <c r="Z262" s="85"/>
      <c r="AA262" s="76"/>
      <c r="AB262" s="77"/>
      <c r="AC262" s="78"/>
    </row>
    <row r="263" spans="1:29" hidden="1" x14ac:dyDescent="0.2">
      <c r="A263" s="117" t="s">
        <v>1405</v>
      </c>
      <c r="B263" s="118" t="e">
        <f t="shared" si="32"/>
        <v>#VALUE!</v>
      </c>
      <c r="C263" s="118" t="s">
        <v>612</v>
      </c>
      <c r="D263" s="113">
        <v>39065</v>
      </c>
      <c r="E263" s="84">
        <v>39142</v>
      </c>
      <c r="F263" s="84">
        <f t="shared" si="33"/>
        <v>42795</v>
      </c>
      <c r="G263" s="229">
        <v>644</v>
      </c>
      <c r="H263" s="71" t="s">
        <v>1041</v>
      </c>
      <c r="I263" s="71" t="s">
        <v>691</v>
      </c>
      <c r="J263" s="79"/>
      <c r="K263" s="55">
        <f t="shared" si="34"/>
        <v>2017</v>
      </c>
      <c r="L263" s="80"/>
      <c r="M263" s="80"/>
      <c r="N263" s="73" t="s">
        <v>692</v>
      </c>
      <c r="O263" s="73" t="s">
        <v>1399</v>
      </c>
      <c r="P263" s="74" t="s">
        <v>1406</v>
      </c>
      <c r="Q263" s="75" t="s">
        <v>1407</v>
      </c>
      <c r="R263" s="230">
        <v>2384</v>
      </c>
      <c r="S263" s="230">
        <v>0</v>
      </c>
      <c r="T263" s="230">
        <v>2384</v>
      </c>
      <c r="U263" s="231">
        <v>1288</v>
      </c>
      <c r="V263" s="230"/>
      <c r="W263" s="230"/>
      <c r="X263" s="231"/>
      <c r="Y263" s="85">
        <v>0.5</v>
      </c>
      <c r="Z263" s="85"/>
      <c r="AA263" s="76"/>
      <c r="AB263" s="77"/>
      <c r="AC263" s="78"/>
    </row>
    <row r="264" spans="1:29" hidden="1" x14ac:dyDescent="0.2">
      <c r="A264" s="117" t="s">
        <v>1408</v>
      </c>
      <c r="B264" s="118" t="e">
        <f t="shared" si="32"/>
        <v>#VALUE!</v>
      </c>
      <c r="C264" s="118" t="s">
        <v>612</v>
      </c>
      <c r="D264" s="113">
        <v>39065</v>
      </c>
      <c r="E264" s="84">
        <v>39142</v>
      </c>
      <c r="F264" s="84">
        <f t="shared" si="33"/>
        <v>42795</v>
      </c>
      <c r="G264" s="229">
        <v>643.70000000000005</v>
      </c>
      <c r="H264" s="71" t="s">
        <v>1041</v>
      </c>
      <c r="I264" s="71" t="s">
        <v>691</v>
      </c>
      <c r="J264" s="79"/>
      <c r="K264" s="55">
        <f t="shared" si="34"/>
        <v>2017</v>
      </c>
      <c r="L264" s="80"/>
      <c r="M264" s="80"/>
      <c r="N264" s="73" t="s">
        <v>692</v>
      </c>
      <c r="O264" s="73" t="s">
        <v>1399</v>
      </c>
      <c r="P264" s="74" t="s">
        <v>1366</v>
      </c>
      <c r="Q264" s="75" t="s">
        <v>1409</v>
      </c>
      <c r="R264" s="230">
        <v>2384</v>
      </c>
      <c r="S264" s="230">
        <v>2576</v>
      </c>
      <c r="T264" s="230">
        <v>4960</v>
      </c>
      <c r="U264" s="231">
        <v>1288</v>
      </c>
      <c r="V264" s="230"/>
      <c r="W264" s="230"/>
      <c r="X264" s="231"/>
      <c r="Y264" s="85">
        <v>0.5</v>
      </c>
      <c r="Z264" s="85"/>
      <c r="AA264" s="76"/>
      <c r="AB264" s="77"/>
      <c r="AC264" s="78"/>
    </row>
    <row r="265" spans="1:29" hidden="1" x14ac:dyDescent="0.2">
      <c r="A265" s="117" t="s">
        <v>1410</v>
      </c>
      <c r="B265" s="118" t="e">
        <f t="shared" si="32"/>
        <v>#VALUE!</v>
      </c>
      <c r="C265" s="118" t="s">
        <v>612</v>
      </c>
      <c r="D265" s="113">
        <v>39065</v>
      </c>
      <c r="E265" s="84">
        <v>39142</v>
      </c>
      <c r="F265" s="84">
        <f t="shared" si="33"/>
        <v>42795</v>
      </c>
      <c r="G265" s="229">
        <v>79.88</v>
      </c>
      <c r="H265" s="71" t="s">
        <v>1041</v>
      </c>
      <c r="I265" s="71" t="s">
        <v>691</v>
      </c>
      <c r="J265" s="79"/>
      <c r="K265" s="55">
        <f t="shared" si="34"/>
        <v>2017</v>
      </c>
      <c r="L265" s="80"/>
      <c r="M265" s="80"/>
      <c r="N265" s="73" t="s">
        <v>692</v>
      </c>
      <c r="O265" s="73" t="s">
        <v>1399</v>
      </c>
      <c r="P265" s="74" t="s">
        <v>1411</v>
      </c>
      <c r="Q265" s="75" t="s">
        <v>1412</v>
      </c>
      <c r="R265" s="230">
        <v>410</v>
      </c>
      <c r="S265" s="230">
        <v>0</v>
      </c>
      <c r="T265" s="230">
        <v>410</v>
      </c>
      <c r="U265" s="231">
        <v>160</v>
      </c>
      <c r="V265" s="230"/>
      <c r="W265" s="230"/>
      <c r="X265" s="231"/>
      <c r="Y265" s="85">
        <v>0.5</v>
      </c>
      <c r="Z265" s="85"/>
      <c r="AA265" s="76"/>
      <c r="AB265" s="77"/>
      <c r="AC265" s="78"/>
    </row>
    <row r="266" spans="1:29" hidden="1" x14ac:dyDescent="0.2">
      <c r="A266" s="117" t="s">
        <v>1413</v>
      </c>
      <c r="B266" s="118" t="e">
        <f t="shared" si="32"/>
        <v>#VALUE!</v>
      </c>
      <c r="C266" s="118" t="s">
        <v>612</v>
      </c>
      <c r="D266" s="113">
        <v>39065</v>
      </c>
      <c r="E266" s="84">
        <v>39142</v>
      </c>
      <c r="F266" s="84">
        <f t="shared" si="33"/>
        <v>42795</v>
      </c>
      <c r="G266" s="229">
        <v>200.62</v>
      </c>
      <c r="H266" s="71" t="s">
        <v>1005</v>
      </c>
      <c r="I266" s="71" t="s">
        <v>691</v>
      </c>
      <c r="J266" s="72" t="s">
        <v>1414</v>
      </c>
      <c r="K266" s="55">
        <f t="shared" si="34"/>
        <v>2017</v>
      </c>
      <c r="L266" s="81"/>
      <c r="M266" s="81"/>
      <c r="N266" s="73" t="s">
        <v>692</v>
      </c>
      <c r="O266" s="73" t="s">
        <v>1415</v>
      </c>
      <c r="P266" s="74" t="s">
        <v>1416</v>
      </c>
      <c r="Q266" s="75" t="s">
        <v>1417</v>
      </c>
      <c r="R266" s="230">
        <v>833.5</v>
      </c>
      <c r="S266" s="230">
        <v>35778</v>
      </c>
      <c r="T266" s="230">
        <v>36611.5</v>
      </c>
      <c r="U266" s="231">
        <v>402</v>
      </c>
      <c r="V266" s="230"/>
      <c r="W266" s="230"/>
      <c r="X266" s="231"/>
      <c r="Y266" s="85">
        <v>0.5</v>
      </c>
      <c r="Z266" s="85"/>
      <c r="AA266" s="76"/>
      <c r="AB266" s="77"/>
      <c r="AC266" s="78"/>
    </row>
    <row r="267" spans="1:29" ht="27" hidden="1" customHeight="1" x14ac:dyDescent="0.2">
      <c r="A267" s="117" t="s">
        <v>1418</v>
      </c>
      <c r="B267" s="118" t="e">
        <f t="shared" si="32"/>
        <v>#VALUE!</v>
      </c>
      <c r="C267" s="118" t="s">
        <v>612</v>
      </c>
      <c r="D267" s="113">
        <v>39065</v>
      </c>
      <c r="E267" s="84">
        <v>39142</v>
      </c>
      <c r="F267" s="84">
        <f t="shared" si="33"/>
        <v>42795</v>
      </c>
      <c r="G267" s="229">
        <v>638.52</v>
      </c>
      <c r="H267" s="71" t="s">
        <v>1005</v>
      </c>
      <c r="I267" s="71" t="s">
        <v>691</v>
      </c>
      <c r="J267" s="72" t="s">
        <v>1414</v>
      </c>
      <c r="K267" s="55">
        <f t="shared" si="34"/>
        <v>2017</v>
      </c>
      <c r="L267" s="81"/>
      <c r="M267" s="81"/>
      <c r="N267" s="73" t="s">
        <v>692</v>
      </c>
      <c r="O267" s="73" t="s">
        <v>1415</v>
      </c>
      <c r="P267" s="74" t="s">
        <v>1419</v>
      </c>
      <c r="Q267" s="75" t="s">
        <v>1420</v>
      </c>
      <c r="R267" s="230">
        <v>2366.5</v>
      </c>
      <c r="S267" s="230">
        <v>21087</v>
      </c>
      <c r="T267" s="230">
        <v>23453.5</v>
      </c>
      <c r="U267" s="231">
        <v>1278</v>
      </c>
      <c r="V267" s="230"/>
      <c r="W267" s="230"/>
      <c r="X267" s="231"/>
      <c r="Y267" s="85">
        <v>0.5</v>
      </c>
      <c r="Z267" s="85"/>
      <c r="AA267" s="76"/>
      <c r="AB267" s="77"/>
      <c r="AC267" s="78"/>
    </row>
    <row r="268" spans="1:29" hidden="1" x14ac:dyDescent="0.2">
      <c r="A268" s="117" t="s">
        <v>1421</v>
      </c>
      <c r="B268" s="118" t="e">
        <f t="shared" si="32"/>
        <v>#VALUE!</v>
      </c>
      <c r="C268" s="118" t="s">
        <v>612</v>
      </c>
      <c r="D268" s="113">
        <v>39065</v>
      </c>
      <c r="E268" s="84">
        <v>39142</v>
      </c>
      <c r="F268" s="84">
        <f t="shared" si="33"/>
        <v>42795</v>
      </c>
      <c r="G268" s="229">
        <v>640</v>
      </c>
      <c r="H268" s="71" t="s">
        <v>1005</v>
      </c>
      <c r="I268" s="71" t="s">
        <v>691</v>
      </c>
      <c r="J268" s="72" t="s">
        <v>1414</v>
      </c>
      <c r="K268" s="55">
        <f t="shared" si="34"/>
        <v>2017</v>
      </c>
      <c r="L268" s="81"/>
      <c r="M268" s="81"/>
      <c r="N268" s="73" t="s">
        <v>692</v>
      </c>
      <c r="O268" s="73" t="s">
        <v>1422</v>
      </c>
      <c r="P268" s="74" t="s">
        <v>1406</v>
      </c>
      <c r="Q268" s="75" t="s">
        <v>1423</v>
      </c>
      <c r="R268" s="230">
        <v>2370</v>
      </c>
      <c r="S268" s="230">
        <v>1920</v>
      </c>
      <c r="T268" s="230">
        <v>4290</v>
      </c>
      <c r="U268" s="231">
        <v>1280</v>
      </c>
      <c r="V268" s="230"/>
      <c r="W268" s="230"/>
      <c r="X268" s="231"/>
      <c r="Y268" s="85">
        <v>0.5</v>
      </c>
      <c r="Z268" s="85"/>
      <c r="AA268" s="76"/>
      <c r="AB268" s="77"/>
      <c r="AC268" s="78"/>
    </row>
    <row r="269" spans="1:29" hidden="1" x14ac:dyDescent="0.2">
      <c r="A269" s="117" t="s">
        <v>1424</v>
      </c>
      <c r="B269" s="118" t="e">
        <f t="shared" si="32"/>
        <v>#VALUE!</v>
      </c>
      <c r="C269" s="118" t="s">
        <v>612</v>
      </c>
      <c r="D269" s="113">
        <v>39065</v>
      </c>
      <c r="E269" s="84">
        <v>39142</v>
      </c>
      <c r="F269" s="84">
        <f t="shared" si="33"/>
        <v>42795</v>
      </c>
      <c r="G269" s="229">
        <v>440.28</v>
      </c>
      <c r="H269" s="71" t="s">
        <v>1005</v>
      </c>
      <c r="I269" s="71" t="s">
        <v>691</v>
      </c>
      <c r="J269" s="72" t="s">
        <v>1414</v>
      </c>
      <c r="K269" s="55">
        <f t="shared" si="34"/>
        <v>2017</v>
      </c>
      <c r="L269" s="81"/>
      <c r="M269" s="81"/>
      <c r="N269" s="73" t="s">
        <v>692</v>
      </c>
      <c r="O269" s="73" t="s">
        <v>1422</v>
      </c>
      <c r="P269" s="74" t="s">
        <v>1425</v>
      </c>
      <c r="Q269" s="75" t="s">
        <v>1426</v>
      </c>
      <c r="R269" s="230">
        <v>1673.5</v>
      </c>
      <c r="S269" s="230">
        <v>1323</v>
      </c>
      <c r="T269" s="230">
        <v>2996.5</v>
      </c>
      <c r="U269" s="231">
        <v>882</v>
      </c>
      <c r="V269" s="230"/>
      <c r="W269" s="230"/>
      <c r="X269" s="231"/>
      <c r="Y269" s="85">
        <v>0.5</v>
      </c>
      <c r="Z269" s="85"/>
      <c r="AA269" s="76"/>
      <c r="AB269" s="77"/>
      <c r="AC269" s="78"/>
    </row>
    <row r="270" spans="1:29" ht="27" hidden="1" customHeight="1" x14ac:dyDescent="0.2">
      <c r="A270" s="117" t="s">
        <v>1427</v>
      </c>
      <c r="B270" s="118" t="e">
        <f t="shared" si="32"/>
        <v>#VALUE!</v>
      </c>
      <c r="C270" s="118" t="s">
        <v>612</v>
      </c>
      <c r="D270" s="113">
        <v>39065</v>
      </c>
      <c r="E270" s="84">
        <v>39142</v>
      </c>
      <c r="F270" s="84">
        <f t="shared" si="33"/>
        <v>42795</v>
      </c>
      <c r="G270" s="229">
        <v>588.12</v>
      </c>
      <c r="H270" s="71" t="s">
        <v>1005</v>
      </c>
      <c r="I270" s="71" t="s">
        <v>691</v>
      </c>
      <c r="J270" s="72" t="s">
        <v>1414</v>
      </c>
      <c r="K270" s="55">
        <f t="shared" si="34"/>
        <v>2017</v>
      </c>
      <c r="L270" s="81"/>
      <c r="M270" s="81"/>
      <c r="N270" s="73" t="s">
        <v>692</v>
      </c>
      <c r="O270" s="73" t="s">
        <v>1422</v>
      </c>
      <c r="P270" s="74" t="s">
        <v>1428</v>
      </c>
      <c r="Q270" s="75" t="s">
        <v>1429</v>
      </c>
      <c r="R270" s="230">
        <v>2191.5</v>
      </c>
      <c r="S270" s="230">
        <v>2356</v>
      </c>
      <c r="T270" s="230">
        <v>4547.5</v>
      </c>
      <c r="U270" s="231">
        <v>1178</v>
      </c>
      <c r="V270" s="230"/>
      <c r="W270" s="230"/>
      <c r="X270" s="231"/>
      <c r="Y270" s="85">
        <v>0.5</v>
      </c>
      <c r="Z270" s="85"/>
      <c r="AA270" s="76"/>
      <c r="AB270" s="77"/>
      <c r="AC270" s="78"/>
    </row>
    <row r="271" spans="1:29" hidden="1" x14ac:dyDescent="0.2">
      <c r="A271" s="117" t="s">
        <v>1430</v>
      </c>
      <c r="B271" s="118" t="e">
        <f t="shared" si="32"/>
        <v>#VALUE!</v>
      </c>
      <c r="C271" s="118" t="s">
        <v>612</v>
      </c>
      <c r="D271" s="113">
        <v>39065</v>
      </c>
      <c r="E271" s="84">
        <v>39142</v>
      </c>
      <c r="F271" s="84">
        <f t="shared" si="33"/>
        <v>42795</v>
      </c>
      <c r="G271" s="229">
        <v>642.96</v>
      </c>
      <c r="H271" s="71" t="s">
        <v>1005</v>
      </c>
      <c r="I271" s="71" t="s">
        <v>691</v>
      </c>
      <c r="J271" s="72" t="s">
        <v>1414</v>
      </c>
      <c r="K271" s="55">
        <f t="shared" si="34"/>
        <v>2017</v>
      </c>
      <c r="L271" s="81"/>
      <c r="M271" s="81"/>
      <c r="N271" s="73" t="s">
        <v>692</v>
      </c>
      <c r="O271" s="73" t="s">
        <v>1422</v>
      </c>
      <c r="P271" s="74" t="s">
        <v>1431</v>
      </c>
      <c r="Q271" s="75" t="s">
        <v>1432</v>
      </c>
      <c r="R271" s="230">
        <v>2380.5</v>
      </c>
      <c r="S271" s="230">
        <v>2572</v>
      </c>
      <c r="T271" s="230">
        <v>4952.5</v>
      </c>
      <c r="U271" s="231">
        <v>1286</v>
      </c>
      <c r="V271" s="230"/>
      <c r="W271" s="230"/>
      <c r="X271" s="231"/>
      <c r="Y271" s="85">
        <v>0.5</v>
      </c>
      <c r="Z271" s="85"/>
      <c r="AA271" s="76"/>
      <c r="AB271" s="77"/>
      <c r="AC271" s="78"/>
    </row>
    <row r="272" spans="1:29" hidden="1" x14ac:dyDescent="0.2">
      <c r="A272" s="117" t="s">
        <v>1433</v>
      </c>
      <c r="B272" s="118" t="e">
        <f t="shared" si="32"/>
        <v>#VALUE!</v>
      </c>
      <c r="C272" s="118" t="s">
        <v>612</v>
      </c>
      <c r="D272" s="113">
        <v>39065</v>
      </c>
      <c r="E272" s="84">
        <v>39142</v>
      </c>
      <c r="F272" s="84">
        <f t="shared" si="33"/>
        <v>42795</v>
      </c>
      <c r="G272" s="229">
        <v>640.32000000000005</v>
      </c>
      <c r="H272" s="71" t="s">
        <v>1005</v>
      </c>
      <c r="I272" s="71" t="s">
        <v>691</v>
      </c>
      <c r="J272" s="72" t="s">
        <v>1414</v>
      </c>
      <c r="K272" s="55">
        <f t="shared" si="34"/>
        <v>2017</v>
      </c>
      <c r="L272" s="81"/>
      <c r="M272" s="81"/>
      <c r="N272" s="73" t="s">
        <v>692</v>
      </c>
      <c r="O272" s="73" t="s">
        <v>1422</v>
      </c>
      <c r="P272" s="74" t="s">
        <v>1434</v>
      </c>
      <c r="Q272" s="75" t="s">
        <v>1435</v>
      </c>
      <c r="R272" s="230">
        <v>2373.5</v>
      </c>
      <c r="S272" s="230">
        <v>2564</v>
      </c>
      <c r="T272" s="230">
        <v>4937.5</v>
      </c>
      <c r="U272" s="231">
        <v>1282</v>
      </c>
      <c r="V272" s="230"/>
      <c r="W272" s="230"/>
      <c r="X272" s="231"/>
      <c r="Y272" s="85">
        <v>0.5</v>
      </c>
      <c r="Z272" s="85"/>
      <c r="AA272" s="76"/>
      <c r="AB272" s="77"/>
      <c r="AC272" s="78"/>
    </row>
    <row r="273" spans="1:29" hidden="1" x14ac:dyDescent="0.2">
      <c r="A273" s="117" t="s">
        <v>1436</v>
      </c>
      <c r="B273" s="118" t="e">
        <f t="shared" si="32"/>
        <v>#VALUE!</v>
      </c>
      <c r="C273" s="118" t="s">
        <v>612</v>
      </c>
      <c r="D273" s="113">
        <v>39065</v>
      </c>
      <c r="E273" s="84">
        <v>39142</v>
      </c>
      <c r="F273" s="84">
        <f t="shared" si="33"/>
        <v>42795</v>
      </c>
      <c r="G273" s="229">
        <v>640</v>
      </c>
      <c r="H273" s="71" t="s">
        <v>1005</v>
      </c>
      <c r="I273" s="71" t="s">
        <v>691</v>
      </c>
      <c r="J273" s="72" t="s">
        <v>1414</v>
      </c>
      <c r="K273" s="55">
        <f t="shared" si="34"/>
        <v>2017</v>
      </c>
      <c r="L273" s="81"/>
      <c r="M273" s="81"/>
      <c r="N273" s="73" t="s">
        <v>692</v>
      </c>
      <c r="O273" s="73" t="s">
        <v>1422</v>
      </c>
      <c r="P273" s="74" t="s">
        <v>1437</v>
      </c>
      <c r="Q273" s="75" t="s">
        <v>1438</v>
      </c>
      <c r="R273" s="230">
        <v>2370</v>
      </c>
      <c r="S273" s="230">
        <v>2560</v>
      </c>
      <c r="T273" s="230">
        <v>4930</v>
      </c>
      <c r="U273" s="231">
        <v>1280</v>
      </c>
      <c r="V273" s="230"/>
      <c r="W273" s="230"/>
      <c r="X273" s="231"/>
      <c r="Y273" s="85">
        <v>0.5</v>
      </c>
      <c r="Z273" s="85"/>
      <c r="AA273" s="76"/>
      <c r="AB273" s="77"/>
      <c r="AC273" s="78"/>
    </row>
    <row r="274" spans="1:29" hidden="1" x14ac:dyDescent="0.2">
      <c r="A274" s="117" t="s">
        <v>1439</v>
      </c>
      <c r="B274" s="118" t="e">
        <f t="shared" si="32"/>
        <v>#VALUE!</v>
      </c>
      <c r="C274" s="118" t="s">
        <v>612</v>
      </c>
      <c r="D274" s="113">
        <v>39065</v>
      </c>
      <c r="E274" s="84">
        <v>39142</v>
      </c>
      <c r="F274" s="84">
        <f t="shared" si="33"/>
        <v>42795</v>
      </c>
      <c r="G274" s="229">
        <v>640</v>
      </c>
      <c r="H274" s="71" t="s">
        <v>816</v>
      </c>
      <c r="I274" s="71" t="s">
        <v>691</v>
      </c>
      <c r="J274" s="72" t="s">
        <v>1414</v>
      </c>
      <c r="K274" s="55">
        <f t="shared" si="34"/>
        <v>2017</v>
      </c>
      <c r="L274" s="81"/>
      <c r="M274" s="81"/>
      <c r="N274" s="73" t="s">
        <v>692</v>
      </c>
      <c r="O274" s="73" t="s">
        <v>1422</v>
      </c>
      <c r="P274" s="74" t="s">
        <v>1440</v>
      </c>
      <c r="Q274" s="75" t="s">
        <v>1441</v>
      </c>
      <c r="R274" s="230">
        <v>2370</v>
      </c>
      <c r="S274" s="230">
        <v>0</v>
      </c>
      <c r="T274" s="230">
        <v>2370</v>
      </c>
      <c r="U274" s="231">
        <v>1280</v>
      </c>
      <c r="V274" s="230"/>
      <c r="W274" s="230"/>
      <c r="X274" s="231"/>
      <c r="Y274" s="85">
        <v>0.5</v>
      </c>
      <c r="Z274" s="85"/>
      <c r="AA274" s="76"/>
      <c r="AB274" s="77"/>
      <c r="AC274" s="78"/>
    </row>
    <row r="275" spans="1:29" ht="29" hidden="1" x14ac:dyDescent="0.2">
      <c r="A275" s="117" t="s">
        <v>1442</v>
      </c>
      <c r="B275" s="118" t="e">
        <f t="shared" si="32"/>
        <v>#VALUE!</v>
      </c>
      <c r="C275" s="118" t="s">
        <v>612</v>
      </c>
      <c r="D275" s="113">
        <v>39065</v>
      </c>
      <c r="E275" s="84">
        <v>39142</v>
      </c>
      <c r="F275" s="84">
        <f t="shared" si="33"/>
        <v>42795</v>
      </c>
      <c r="G275" s="229">
        <v>360</v>
      </c>
      <c r="H275" s="71" t="s">
        <v>1005</v>
      </c>
      <c r="I275" s="71" t="s">
        <v>691</v>
      </c>
      <c r="J275" s="72" t="s">
        <v>1414</v>
      </c>
      <c r="K275" s="55">
        <f t="shared" si="34"/>
        <v>2017</v>
      </c>
      <c r="L275" s="81"/>
      <c r="M275" s="81"/>
      <c r="N275" s="73" t="s">
        <v>692</v>
      </c>
      <c r="O275" s="73" t="s">
        <v>1422</v>
      </c>
      <c r="P275" s="74" t="s">
        <v>1443</v>
      </c>
      <c r="Q275" s="75" t="s">
        <v>1444</v>
      </c>
      <c r="R275" s="230">
        <v>1390</v>
      </c>
      <c r="S275" s="230">
        <v>1800</v>
      </c>
      <c r="T275" s="230">
        <v>3190</v>
      </c>
      <c r="U275" s="231">
        <v>720</v>
      </c>
      <c r="V275" s="230"/>
      <c r="W275" s="230"/>
      <c r="X275" s="231"/>
      <c r="Y275" s="85">
        <v>0.5</v>
      </c>
      <c r="Z275" s="85"/>
      <c r="AA275" s="76"/>
      <c r="AB275" s="77"/>
      <c r="AC275" s="78"/>
    </row>
    <row r="276" spans="1:29" hidden="1" x14ac:dyDescent="0.2">
      <c r="A276" s="117" t="s">
        <v>1445</v>
      </c>
      <c r="B276" s="118" t="e">
        <f t="shared" si="32"/>
        <v>#VALUE!</v>
      </c>
      <c r="C276" s="118" t="s">
        <v>612</v>
      </c>
      <c r="D276" s="113">
        <v>39065</v>
      </c>
      <c r="E276" s="84">
        <v>39142</v>
      </c>
      <c r="F276" s="84">
        <f t="shared" si="33"/>
        <v>42795</v>
      </c>
      <c r="G276" s="229">
        <v>643.36</v>
      </c>
      <c r="H276" s="71" t="s">
        <v>1005</v>
      </c>
      <c r="I276" s="71" t="s">
        <v>691</v>
      </c>
      <c r="J276" s="72" t="s">
        <v>1414</v>
      </c>
      <c r="K276" s="55">
        <f t="shared" si="34"/>
        <v>2017</v>
      </c>
      <c r="L276" s="81"/>
      <c r="M276" s="81"/>
      <c r="N276" s="73" t="s">
        <v>692</v>
      </c>
      <c r="O276" s="73" t="s">
        <v>1422</v>
      </c>
      <c r="P276" s="74" t="s">
        <v>1446</v>
      </c>
      <c r="Q276" s="75" t="s">
        <v>1447</v>
      </c>
      <c r="R276" s="230">
        <v>2384</v>
      </c>
      <c r="S276" s="230">
        <v>3864</v>
      </c>
      <c r="T276" s="230">
        <v>6248</v>
      </c>
      <c r="U276" s="231">
        <v>1288</v>
      </c>
      <c r="V276" s="230"/>
      <c r="W276" s="230"/>
      <c r="X276" s="231"/>
      <c r="Y276" s="85">
        <v>0.5</v>
      </c>
      <c r="Z276" s="85"/>
      <c r="AA276" s="76"/>
      <c r="AB276" s="77"/>
      <c r="AC276" s="78"/>
    </row>
    <row r="277" spans="1:29" hidden="1" x14ac:dyDescent="0.2">
      <c r="A277" s="117" t="s">
        <v>1448</v>
      </c>
      <c r="B277" s="118" t="e">
        <f t="shared" si="32"/>
        <v>#VALUE!</v>
      </c>
      <c r="C277" s="118" t="s">
        <v>612</v>
      </c>
      <c r="D277" s="113">
        <v>39065</v>
      </c>
      <c r="E277" s="84">
        <v>39142</v>
      </c>
      <c r="F277" s="84">
        <f t="shared" si="33"/>
        <v>42795</v>
      </c>
      <c r="G277" s="229">
        <v>642.96</v>
      </c>
      <c r="H277" s="71" t="s">
        <v>1005</v>
      </c>
      <c r="I277" s="71" t="s">
        <v>691</v>
      </c>
      <c r="J277" s="72" t="s">
        <v>1414</v>
      </c>
      <c r="K277" s="55">
        <f t="shared" si="34"/>
        <v>2017</v>
      </c>
      <c r="L277" s="81"/>
      <c r="M277" s="81"/>
      <c r="N277" s="73" t="s">
        <v>692</v>
      </c>
      <c r="O277" s="73" t="s">
        <v>1422</v>
      </c>
      <c r="P277" s="74" t="s">
        <v>778</v>
      </c>
      <c r="Q277" s="75" t="s">
        <v>1449</v>
      </c>
      <c r="R277" s="230">
        <v>2380.5</v>
      </c>
      <c r="S277" s="230">
        <v>4501</v>
      </c>
      <c r="T277" s="230">
        <v>6881.5</v>
      </c>
      <c r="U277" s="231">
        <v>1286</v>
      </c>
      <c r="V277" s="230"/>
      <c r="W277" s="230"/>
      <c r="X277" s="231"/>
      <c r="Y277" s="85">
        <v>0.5</v>
      </c>
      <c r="Z277" s="85"/>
      <c r="AA277" s="76"/>
      <c r="AB277" s="77"/>
      <c r="AC277" s="78"/>
    </row>
    <row r="278" spans="1:29" hidden="1" x14ac:dyDescent="0.2">
      <c r="A278" s="117" t="s">
        <v>1450</v>
      </c>
      <c r="B278" s="118" t="e">
        <f t="shared" si="32"/>
        <v>#VALUE!</v>
      </c>
      <c r="C278" s="118" t="s">
        <v>612</v>
      </c>
      <c r="D278" s="113">
        <v>39065</v>
      </c>
      <c r="E278" s="84">
        <v>39142</v>
      </c>
      <c r="F278" s="84">
        <f t="shared" si="33"/>
        <v>42795</v>
      </c>
      <c r="G278" s="229">
        <v>800</v>
      </c>
      <c r="H278" s="71" t="s">
        <v>1005</v>
      </c>
      <c r="I278" s="71" t="s">
        <v>691</v>
      </c>
      <c r="J278" s="72"/>
      <c r="K278" s="55">
        <f t="shared" si="34"/>
        <v>2017</v>
      </c>
      <c r="L278" s="81"/>
      <c r="M278" s="81"/>
      <c r="N278" s="73" t="s">
        <v>692</v>
      </c>
      <c r="O278" s="73" t="s">
        <v>1422</v>
      </c>
      <c r="P278" s="74" t="s">
        <v>1451</v>
      </c>
      <c r="Q278" s="75" t="s">
        <v>1452</v>
      </c>
      <c r="R278" s="230">
        <v>2930</v>
      </c>
      <c r="S278" s="230">
        <v>4800</v>
      </c>
      <c r="T278" s="230">
        <v>7730</v>
      </c>
      <c r="U278" s="231">
        <v>1600</v>
      </c>
      <c r="V278" s="230"/>
      <c r="W278" s="230"/>
      <c r="X278" s="231"/>
      <c r="Y278" s="85">
        <v>0.5</v>
      </c>
      <c r="Z278" s="85"/>
      <c r="AA278" s="76"/>
      <c r="AB278" s="77"/>
      <c r="AC278" s="78"/>
    </row>
    <row r="279" spans="1:29" hidden="1" x14ac:dyDescent="0.2">
      <c r="A279" s="117" t="s">
        <v>1453</v>
      </c>
      <c r="B279" s="118" t="e">
        <f t="shared" si="32"/>
        <v>#VALUE!</v>
      </c>
      <c r="C279" s="118" t="s">
        <v>612</v>
      </c>
      <c r="D279" s="113">
        <v>39065</v>
      </c>
      <c r="E279" s="84">
        <v>39142</v>
      </c>
      <c r="F279" s="84">
        <f t="shared" si="33"/>
        <v>42795</v>
      </c>
      <c r="G279" s="229">
        <v>640</v>
      </c>
      <c r="H279" s="71" t="s">
        <v>1005</v>
      </c>
      <c r="I279" s="71" t="s">
        <v>691</v>
      </c>
      <c r="J279" s="72"/>
      <c r="K279" s="55">
        <f t="shared" si="34"/>
        <v>2017</v>
      </c>
      <c r="L279" s="81"/>
      <c r="M279" s="81"/>
      <c r="N279" s="73" t="s">
        <v>692</v>
      </c>
      <c r="O279" s="73" t="s">
        <v>1422</v>
      </c>
      <c r="P279" s="74" t="s">
        <v>784</v>
      </c>
      <c r="Q279" s="75" t="s">
        <v>1454</v>
      </c>
      <c r="R279" s="230">
        <v>2370</v>
      </c>
      <c r="S279" s="230">
        <v>1280</v>
      </c>
      <c r="T279" s="230">
        <v>3650</v>
      </c>
      <c r="U279" s="231">
        <v>1280</v>
      </c>
      <c r="V279" s="230"/>
      <c r="W279" s="230"/>
      <c r="X279" s="231"/>
      <c r="Y279" s="85">
        <v>0.5</v>
      </c>
      <c r="Z279" s="85"/>
      <c r="AA279" s="76"/>
      <c r="AB279" s="77"/>
      <c r="AC279" s="78"/>
    </row>
    <row r="280" spans="1:29" hidden="1" x14ac:dyDescent="0.2">
      <c r="A280" s="117" t="s">
        <v>1455</v>
      </c>
      <c r="B280" s="118" t="e">
        <f t="shared" si="32"/>
        <v>#VALUE!</v>
      </c>
      <c r="C280" s="118" t="s">
        <v>612</v>
      </c>
      <c r="D280" s="113">
        <v>39065</v>
      </c>
      <c r="E280" s="84">
        <v>39142</v>
      </c>
      <c r="F280" s="84">
        <f t="shared" si="33"/>
        <v>42795</v>
      </c>
      <c r="G280" s="229">
        <v>479.4</v>
      </c>
      <c r="H280" s="71" t="s">
        <v>1005</v>
      </c>
      <c r="I280" s="71" t="s">
        <v>691</v>
      </c>
      <c r="J280" s="79"/>
      <c r="K280" s="55">
        <f t="shared" si="34"/>
        <v>2017</v>
      </c>
      <c r="L280" s="80"/>
      <c r="M280" s="80"/>
      <c r="N280" s="73" t="s">
        <v>692</v>
      </c>
      <c r="O280" s="73" t="s">
        <v>1422</v>
      </c>
      <c r="P280" s="74" t="s">
        <v>1456</v>
      </c>
      <c r="Q280" s="75" t="s">
        <v>1457</v>
      </c>
      <c r="R280" s="230">
        <v>1810</v>
      </c>
      <c r="S280" s="230">
        <v>1920</v>
      </c>
      <c r="T280" s="230">
        <v>3730</v>
      </c>
      <c r="U280" s="231">
        <v>960</v>
      </c>
      <c r="V280" s="230"/>
      <c r="W280" s="230"/>
      <c r="X280" s="231"/>
      <c r="Y280" s="85">
        <v>0.5</v>
      </c>
      <c r="Z280" s="85"/>
      <c r="AA280" s="76"/>
      <c r="AB280" s="77"/>
      <c r="AC280" s="78"/>
    </row>
    <row r="281" spans="1:29" hidden="1" x14ac:dyDescent="0.2">
      <c r="A281" s="117" t="s">
        <v>1458</v>
      </c>
      <c r="B281" s="118" t="e">
        <f t="shared" si="32"/>
        <v>#VALUE!</v>
      </c>
      <c r="C281" s="118" t="s">
        <v>612</v>
      </c>
      <c r="D281" s="113">
        <v>39065</v>
      </c>
      <c r="E281" s="84">
        <v>39142</v>
      </c>
      <c r="F281" s="84">
        <f t="shared" si="33"/>
        <v>42795</v>
      </c>
      <c r="G281" s="229">
        <v>638.4</v>
      </c>
      <c r="H281" s="71" t="s">
        <v>816</v>
      </c>
      <c r="I281" s="71" t="s">
        <v>691</v>
      </c>
      <c r="J281" s="79"/>
      <c r="K281" s="55">
        <f t="shared" si="34"/>
        <v>2017</v>
      </c>
      <c r="L281" s="80"/>
      <c r="M281" s="80"/>
      <c r="N281" s="73" t="s">
        <v>692</v>
      </c>
      <c r="O281" s="73" t="s">
        <v>1422</v>
      </c>
      <c r="P281" s="74" t="s">
        <v>790</v>
      </c>
      <c r="Q281" s="75" t="s">
        <v>1459</v>
      </c>
      <c r="R281" s="230">
        <v>2366.5</v>
      </c>
      <c r="S281" s="230">
        <v>1278</v>
      </c>
      <c r="T281" s="230">
        <v>3644.5</v>
      </c>
      <c r="U281" s="231">
        <v>1278</v>
      </c>
      <c r="V281" s="230"/>
      <c r="W281" s="230"/>
      <c r="X281" s="231"/>
      <c r="Y281" s="85">
        <v>0.5</v>
      </c>
      <c r="Z281" s="85"/>
      <c r="AA281" s="76"/>
      <c r="AB281" s="77"/>
      <c r="AC281" s="78"/>
    </row>
    <row r="282" spans="1:29" hidden="1" x14ac:dyDescent="0.2">
      <c r="A282" s="117" t="s">
        <v>1460</v>
      </c>
      <c r="B282" s="118" t="e">
        <f t="shared" si="32"/>
        <v>#VALUE!</v>
      </c>
      <c r="C282" s="118" t="s">
        <v>612</v>
      </c>
      <c r="D282" s="113">
        <v>39065</v>
      </c>
      <c r="E282" s="84">
        <v>39142</v>
      </c>
      <c r="F282" s="84">
        <f t="shared" si="33"/>
        <v>42795</v>
      </c>
      <c r="G282" s="229">
        <v>638.79999999999995</v>
      </c>
      <c r="H282" s="71" t="s">
        <v>816</v>
      </c>
      <c r="I282" s="71" t="s">
        <v>691</v>
      </c>
      <c r="J282" s="79"/>
      <c r="K282" s="55">
        <f t="shared" si="34"/>
        <v>2017</v>
      </c>
      <c r="L282" s="80"/>
      <c r="M282" s="80"/>
      <c r="N282" s="73" t="s">
        <v>692</v>
      </c>
      <c r="O282" s="73" t="s">
        <v>1422</v>
      </c>
      <c r="P282" s="74" t="s">
        <v>1461</v>
      </c>
      <c r="Q282" s="75" t="s">
        <v>1462</v>
      </c>
      <c r="R282" s="230">
        <v>2366.5</v>
      </c>
      <c r="S282" s="230"/>
      <c r="T282" s="230">
        <v>2366.5</v>
      </c>
      <c r="U282" s="231">
        <v>1278</v>
      </c>
      <c r="V282" s="230"/>
      <c r="W282" s="230"/>
      <c r="X282" s="231"/>
      <c r="Y282" s="85">
        <v>0.5</v>
      </c>
      <c r="Z282" s="85"/>
      <c r="AA282" s="76"/>
      <c r="AB282" s="77"/>
      <c r="AC282" s="78"/>
    </row>
    <row r="283" spans="1:29" hidden="1" x14ac:dyDescent="0.2">
      <c r="A283" s="117" t="s">
        <v>1463</v>
      </c>
      <c r="B283" s="118" t="e">
        <f t="shared" si="32"/>
        <v>#VALUE!</v>
      </c>
      <c r="C283" s="118" t="s">
        <v>612</v>
      </c>
      <c r="D283" s="113">
        <v>39065</v>
      </c>
      <c r="E283" s="84">
        <v>39142</v>
      </c>
      <c r="F283" s="84">
        <f t="shared" si="33"/>
        <v>42795</v>
      </c>
      <c r="G283" s="229">
        <v>440</v>
      </c>
      <c r="H283" s="71" t="s">
        <v>1464</v>
      </c>
      <c r="I283" s="71" t="s">
        <v>691</v>
      </c>
      <c r="J283" s="79"/>
      <c r="K283" s="55">
        <f t="shared" si="34"/>
        <v>2017</v>
      </c>
      <c r="L283" s="80"/>
      <c r="M283" s="80"/>
      <c r="N283" s="73" t="s">
        <v>692</v>
      </c>
      <c r="O283" s="73" t="s">
        <v>1422</v>
      </c>
      <c r="P283" s="74" t="s">
        <v>1465</v>
      </c>
      <c r="Q283" s="75" t="s">
        <v>1466</v>
      </c>
      <c r="R283" s="230">
        <v>1670</v>
      </c>
      <c r="S283" s="230">
        <v>1760</v>
      </c>
      <c r="T283" s="230">
        <v>3430</v>
      </c>
      <c r="U283" s="231">
        <v>880</v>
      </c>
      <c r="V283" s="230"/>
      <c r="W283" s="230"/>
      <c r="X283" s="231"/>
      <c r="Y283" s="85">
        <v>0.5</v>
      </c>
      <c r="Z283" s="85"/>
      <c r="AA283" s="76"/>
      <c r="AB283" s="77"/>
      <c r="AC283" s="78"/>
    </row>
    <row r="284" spans="1:29" hidden="1" x14ac:dyDescent="0.2">
      <c r="A284" s="117" t="s">
        <v>1467</v>
      </c>
      <c r="B284" s="118" t="e">
        <f t="shared" ref="B284:B292" si="35">IF(COUNTIF(GIS,A286),"YES","NO")</f>
        <v>#VALUE!</v>
      </c>
      <c r="C284" s="118" t="s">
        <v>612</v>
      </c>
      <c r="D284" s="113">
        <v>39065</v>
      </c>
      <c r="E284" s="84">
        <v>39142</v>
      </c>
      <c r="F284" s="84">
        <f t="shared" ref="F284:F292" si="36">DATE(YEAR(E284)+10,MONTH(E284),DAY(E284))</f>
        <v>42795</v>
      </c>
      <c r="G284" s="229">
        <v>642</v>
      </c>
      <c r="H284" s="71" t="s">
        <v>1464</v>
      </c>
      <c r="I284" s="71" t="s">
        <v>691</v>
      </c>
      <c r="J284" s="79"/>
      <c r="K284" s="55">
        <f t="shared" ref="K284:K292" si="37">YEAR(F284)</f>
        <v>2017</v>
      </c>
      <c r="L284" s="80"/>
      <c r="M284" s="80"/>
      <c r="N284" s="73" t="s">
        <v>692</v>
      </c>
      <c r="O284" s="73" t="s">
        <v>1422</v>
      </c>
      <c r="P284" s="74" t="s">
        <v>1468</v>
      </c>
      <c r="Q284" s="75" t="s">
        <v>1469</v>
      </c>
      <c r="R284" s="230">
        <v>2377</v>
      </c>
      <c r="S284" s="230">
        <v>2568</v>
      </c>
      <c r="T284" s="230">
        <v>4945</v>
      </c>
      <c r="U284" s="231">
        <v>1284</v>
      </c>
      <c r="V284" s="230"/>
      <c r="W284" s="230"/>
      <c r="X284" s="231"/>
      <c r="Y284" s="85">
        <v>0.5</v>
      </c>
      <c r="Z284" s="85"/>
      <c r="AA284" s="76"/>
      <c r="AB284" s="77"/>
      <c r="AC284" s="78"/>
    </row>
    <row r="285" spans="1:29" hidden="1" x14ac:dyDescent="0.2">
      <c r="A285" s="117" t="s">
        <v>1470</v>
      </c>
      <c r="B285" s="118" t="e">
        <f t="shared" si="35"/>
        <v>#VALUE!</v>
      </c>
      <c r="C285" s="118" t="s">
        <v>612</v>
      </c>
      <c r="D285" s="113">
        <v>39065</v>
      </c>
      <c r="E285" s="84">
        <v>39142</v>
      </c>
      <c r="F285" s="84">
        <f t="shared" si="36"/>
        <v>42795</v>
      </c>
      <c r="G285" s="229">
        <v>346.71</v>
      </c>
      <c r="H285" s="71" t="s">
        <v>1464</v>
      </c>
      <c r="I285" s="71" t="s">
        <v>691</v>
      </c>
      <c r="J285" s="79"/>
      <c r="K285" s="55">
        <f t="shared" si="37"/>
        <v>2017</v>
      </c>
      <c r="L285" s="80"/>
      <c r="M285" s="80"/>
      <c r="N285" s="73" t="s">
        <v>692</v>
      </c>
      <c r="O285" s="73" t="s">
        <v>1422</v>
      </c>
      <c r="P285" s="74" t="s">
        <v>1471</v>
      </c>
      <c r="Q285" s="75" t="s">
        <v>1472</v>
      </c>
      <c r="R285" s="230">
        <v>1344.5</v>
      </c>
      <c r="S285" s="230"/>
      <c r="T285" s="230">
        <v>1344.5</v>
      </c>
      <c r="U285" s="231">
        <v>694</v>
      </c>
      <c r="V285" s="230"/>
      <c r="W285" s="230"/>
      <c r="X285" s="231"/>
      <c r="Y285" s="85">
        <v>0.5</v>
      </c>
      <c r="Z285" s="85"/>
      <c r="AA285" s="76"/>
      <c r="AB285" s="77"/>
      <c r="AC285" s="78"/>
    </row>
    <row r="286" spans="1:29" hidden="1" x14ac:dyDescent="0.2">
      <c r="A286" s="117" t="s">
        <v>1473</v>
      </c>
      <c r="B286" s="118" t="e">
        <f t="shared" si="35"/>
        <v>#VALUE!</v>
      </c>
      <c r="C286" s="118" t="s">
        <v>612</v>
      </c>
      <c r="D286" s="113">
        <v>39065</v>
      </c>
      <c r="E286" s="84">
        <v>39142</v>
      </c>
      <c r="F286" s="84">
        <f t="shared" si="36"/>
        <v>42795</v>
      </c>
      <c r="G286" s="229">
        <v>650.78</v>
      </c>
      <c r="H286" s="71" t="s">
        <v>1464</v>
      </c>
      <c r="I286" s="71" t="s">
        <v>691</v>
      </c>
      <c r="J286" s="79"/>
      <c r="K286" s="55">
        <f t="shared" si="37"/>
        <v>2017</v>
      </c>
      <c r="L286" s="80"/>
      <c r="M286" s="80"/>
      <c r="N286" s="73" t="s">
        <v>692</v>
      </c>
      <c r="O286" s="73" t="s">
        <v>1422</v>
      </c>
      <c r="P286" s="74" t="s">
        <v>1474</v>
      </c>
      <c r="Q286" s="75" t="s">
        <v>1475</v>
      </c>
      <c r="R286" s="230">
        <v>2408.5</v>
      </c>
      <c r="S286" s="230"/>
      <c r="T286" s="230">
        <v>2408.5</v>
      </c>
      <c r="U286" s="231">
        <v>1302</v>
      </c>
      <c r="V286" s="230"/>
      <c r="W286" s="230"/>
      <c r="X286" s="231"/>
      <c r="Y286" s="85">
        <v>0.5</v>
      </c>
      <c r="Z286" s="85"/>
      <c r="AA286" s="76"/>
      <c r="AB286" s="77"/>
      <c r="AC286" s="78"/>
    </row>
    <row r="287" spans="1:29" hidden="1" x14ac:dyDescent="0.2">
      <c r="A287" s="117" t="s">
        <v>1476</v>
      </c>
      <c r="B287" s="118" t="e">
        <f t="shared" si="35"/>
        <v>#VALUE!</v>
      </c>
      <c r="C287" s="118" t="s">
        <v>612</v>
      </c>
      <c r="D287" s="113">
        <v>39065</v>
      </c>
      <c r="E287" s="84">
        <v>39142</v>
      </c>
      <c r="F287" s="84">
        <f t="shared" si="36"/>
        <v>42795</v>
      </c>
      <c r="G287" s="229">
        <v>690.36</v>
      </c>
      <c r="H287" s="71" t="s">
        <v>816</v>
      </c>
      <c r="I287" s="71" t="s">
        <v>691</v>
      </c>
      <c r="J287" s="79"/>
      <c r="K287" s="55">
        <f t="shared" si="37"/>
        <v>2017</v>
      </c>
      <c r="L287" s="80"/>
      <c r="M287" s="80"/>
      <c r="N287" s="73" t="s">
        <v>692</v>
      </c>
      <c r="O287" s="73" t="s">
        <v>1422</v>
      </c>
      <c r="P287" s="74" t="s">
        <v>1477</v>
      </c>
      <c r="Q287" s="75" t="s">
        <v>1478</v>
      </c>
      <c r="R287" s="230">
        <v>2548.5</v>
      </c>
      <c r="S287" s="230"/>
      <c r="T287" s="230">
        <v>2548.5</v>
      </c>
      <c r="U287" s="231">
        <v>1382</v>
      </c>
      <c r="V287" s="230"/>
      <c r="W287" s="230"/>
      <c r="X287" s="231"/>
      <c r="Y287" s="85">
        <v>0.5</v>
      </c>
      <c r="Z287" s="85"/>
      <c r="AA287" s="76"/>
      <c r="AB287" s="77"/>
      <c r="AC287" s="78"/>
    </row>
    <row r="288" spans="1:29" hidden="1" x14ac:dyDescent="0.2">
      <c r="A288" s="117" t="s">
        <v>1479</v>
      </c>
      <c r="B288" s="118" t="e">
        <f t="shared" si="35"/>
        <v>#VALUE!</v>
      </c>
      <c r="C288" s="118" t="s">
        <v>612</v>
      </c>
      <c r="D288" s="113">
        <v>39065</v>
      </c>
      <c r="E288" s="84">
        <v>39142</v>
      </c>
      <c r="F288" s="84">
        <f t="shared" si="36"/>
        <v>42795</v>
      </c>
      <c r="G288" s="229">
        <v>75</v>
      </c>
      <c r="H288" s="71" t="s">
        <v>816</v>
      </c>
      <c r="I288" s="71" t="s">
        <v>691</v>
      </c>
      <c r="J288" s="79"/>
      <c r="K288" s="55">
        <f t="shared" si="37"/>
        <v>2017</v>
      </c>
      <c r="L288" s="80"/>
      <c r="M288" s="80"/>
      <c r="N288" s="73" t="s">
        <v>692</v>
      </c>
      <c r="O288" s="73" t="s">
        <v>1480</v>
      </c>
      <c r="P288" s="74" t="s">
        <v>1481</v>
      </c>
      <c r="Q288" s="75" t="s">
        <v>1482</v>
      </c>
      <c r="R288" s="230">
        <v>392.5</v>
      </c>
      <c r="S288" s="230">
        <v>17850</v>
      </c>
      <c r="T288" s="230">
        <v>18242.5</v>
      </c>
      <c r="U288" s="231">
        <v>150</v>
      </c>
      <c r="V288" s="230"/>
      <c r="W288" s="230"/>
      <c r="X288" s="231"/>
      <c r="Y288" s="85">
        <v>0.5</v>
      </c>
      <c r="Z288" s="85"/>
      <c r="AA288" s="76"/>
      <c r="AB288" s="77"/>
      <c r="AC288" s="78"/>
    </row>
    <row r="289" spans="1:29" ht="40" hidden="1" customHeight="1" x14ac:dyDescent="0.2">
      <c r="A289" s="117" t="s">
        <v>1483</v>
      </c>
      <c r="B289" s="118" t="e">
        <f t="shared" si="35"/>
        <v>#VALUE!</v>
      </c>
      <c r="C289" s="118" t="s">
        <v>612</v>
      </c>
      <c r="D289" s="113">
        <v>39065</v>
      </c>
      <c r="E289" s="84">
        <v>39142</v>
      </c>
      <c r="F289" s="84">
        <f t="shared" si="36"/>
        <v>42795</v>
      </c>
      <c r="G289" s="229">
        <v>234.42</v>
      </c>
      <c r="H289" s="71" t="s">
        <v>1086</v>
      </c>
      <c r="I289" s="71" t="s">
        <v>691</v>
      </c>
      <c r="J289" s="79"/>
      <c r="K289" s="55">
        <f t="shared" si="37"/>
        <v>2017</v>
      </c>
      <c r="L289" s="80"/>
      <c r="M289" s="80"/>
      <c r="N289" s="73" t="s">
        <v>723</v>
      </c>
      <c r="O289" s="73" t="s">
        <v>1484</v>
      </c>
      <c r="P289" s="74" t="s">
        <v>1485</v>
      </c>
      <c r="Q289" s="75" t="s">
        <v>1486</v>
      </c>
      <c r="R289" s="230">
        <v>952.5</v>
      </c>
      <c r="S289" s="230">
        <v>2350</v>
      </c>
      <c r="T289" s="230">
        <v>3302.5</v>
      </c>
      <c r="U289" s="231">
        <v>470</v>
      </c>
      <c r="V289" s="230"/>
      <c r="W289" s="230"/>
      <c r="X289" s="231"/>
      <c r="Y289" s="85">
        <v>0.5</v>
      </c>
      <c r="Z289" s="85"/>
      <c r="AA289" s="76"/>
      <c r="AB289" s="77"/>
      <c r="AC289" s="78"/>
    </row>
    <row r="290" spans="1:29" ht="40" hidden="1" customHeight="1" x14ac:dyDescent="0.2">
      <c r="A290" s="117" t="s">
        <v>1487</v>
      </c>
      <c r="B290" s="118" t="e">
        <f t="shared" si="35"/>
        <v>#VALUE!</v>
      </c>
      <c r="C290" s="118" t="s">
        <v>612</v>
      </c>
      <c r="D290" s="113">
        <v>39065</v>
      </c>
      <c r="E290" s="84">
        <v>39142</v>
      </c>
      <c r="F290" s="84">
        <f t="shared" si="36"/>
        <v>42795</v>
      </c>
      <c r="G290" s="229">
        <v>544.16999999999996</v>
      </c>
      <c r="H290" s="71" t="s">
        <v>1086</v>
      </c>
      <c r="I290" s="71" t="s">
        <v>691</v>
      </c>
      <c r="J290" s="79"/>
      <c r="K290" s="55">
        <f t="shared" si="37"/>
        <v>2017</v>
      </c>
      <c r="L290" s="80"/>
      <c r="M290" s="80"/>
      <c r="N290" s="73" t="s">
        <v>723</v>
      </c>
      <c r="O290" s="73" t="s">
        <v>1484</v>
      </c>
      <c r="P290" s="74" t="s">
        <v>1488</v>
      </c>
      <c r="Q290" s="75" t="s">
        <v>1489</v>
      </c>
      <c r="R290" s="230">
        <v>2037.5</v>
      </c>
      <c r="S290" s="230">
        <v>5450</v>
      </c>
      <c r="T290" s="230">
        <v>7487.5</v>
      </c>
      <c r="U290" s="231">
        <v>1090</v>
      </c>
      <c r="V290" s="230"/>
      <c r="W290" s="230"/>
      <c r="X290" s="231"/>
      <c r="Y290" s="85">
        <v>0.5</v>
      </c>
      <c r="Z290" s="85"/>
      <c r="AA290" s="76"/>
      <c r="AB290" s="77"/>
      <c r="AC290" s="78"/>
    </row>
    <row r="291" spans="1:29" hidden="1" x14ac:dyDescent="0.2">
      <c r="A291" s="117" t="s">
        <v>1490</v>
      </c>
      <c r="B291" s="118" t="e">
        <f t="shared" si="35"/>
        <v>#VALUE!</v>
      </c>
      <c r="C291" s="118" t="s">
        <v>612</v>
      </c>
      <c r="D291" s="113">
        <v>39065</v>
      </c>
      <c r="E291" s="84">
        <v>39142</v>
      </c>
      <c r="F291" s="84">
        <f t="shared" si="36"/>
        <v>42795</v>
      </c>
      <c r="G291" s="229">
        <v>120</v>
      </c>
      <c r="H291" s="71" t="s">
        <v>1086</v>
      </c>
      <c r="I291" s="71" t="s">
        <v>691</v>
      </c>
      <c r="J291" s="79"/>
      <c r="K291" s="55">
        <f t="shared" si="37"/>
        <v>2017</v>
      </c>
      <c r="L291" s="80"/>
      <c r="M291" s="80"/>
      <c r="N291" s="73" t="s">
        <v>723</v>
      </c>
      <c r="O291" s="73" t="s">
        <v>1484</v>
      </c>
      <c r="P291" s="74" t="s">
        <v>1491</v>
      </c>
      <c r="Q291" s="75" t="s">
        <v>1492</v>
      </c>
      <c r="R291" s="230">
        <v>550</v>
      </c>
      <c r="S291" s="230">
        <v>1200</v>
      </c>
      <c r="T291" s="230">
        <v>1750</v>
      </c>
      <c r="U291" s="231">
        <v>240</v>
      </c>
      <c r="V291" s="230"/>
      <c r="W291" s="230"/>
      <c r="X291" s="231"/>
      <c r="Y291" s="85">
        <v>0.5</v>
      </c>
      <c r="Z291" s="85"/>
      <c r="AA291" s="76"/>
      <c r="AB291" s="77"/>
      <c r="AC291" s="78"/>
    </row>
    <row r="292" spans="1:29" hidden="1" x14ac:dyDescent="0.2">
      <c r="A292" s="117" t="s">
        <v>1493</v>
      </c>
      <c r="B292" s="118" t="e">
        <f t="shared" si="35"/>
        <v>#VALUE!</v>
      </c>
      <c r="C292" s="118" t="s">
        <v>612</v>
      </c>
      <c r="D292" s="113">
        <v>39065</v>
      </c>
      <c r="E292" s="84">
        <v>39142</v>
      </c>
      <c r="F292" s="84">
        <f t="shared" si="36"/>
        <v>42795</v>
      </c>
      <c r="G292" s="229">
        <v>80</v>
      </c>
      <c r="H292" s="71" t="s">
        <v>1086</v>
      </c>
      <c r="I292" s="71" t="s">
        <v>691</v>
      </c>
      <c r="J292" s="79"/>
      <c r="K292" s="55">
        <f t="shared" si="37"/>
        <v>2017</v>
      </c>
      <c r="L292" s="80"/>
      <c r="M292" s="80"/>
      <c r="N292" s="73" t="s">
        <v>723</v>
      </c>
      <c r="O292" s="73" t="s">
        <v>1484</v>
      </c>
      <c r="P292" s="74" t="s">
        <v>1494</v>
      </c>
      <c r="Q292" s="75" t="s">
        <v>1495</v>
      </c>
      <c r="R292" s="230">
        <v>410</v>
      </c>
      <c r="S292" s="230">
        <v>880</v>
      </c>
      <c r="T292" s="230">
        <v>1290</v>
      </c>
      <c r="U292" s="231">
        <v>160</v>
      </c>
      <c r="V292" s="230"/>
      <c r="W292" s="230"/>
      <c r="X292" s="231"/>
      <c r="Y292" s="85">
        <v>0.5</v>
      </c>
      <c r="Z292" s="85"/>
      <c r="AA292" s="76"/>
      <c r="AB292" s="77"/>
      <c r="AC292" s="78"/>
    </row>
    <row r="293" spans="1:29" hidden="1" x14ac:dyDescent="0.2">
      <c r="A293" s="117"/>
      <c r="D293" s="113"/>
      <c r="E293" s="84"/>
      <c r="F293" s="84"/>
      <c r="G293" s="229"/>
      <c r="H293" s="71"/>
      <c r="I293" s="71"/>
      <c r="J293" s="79"/>
      <c r="K293" s="79"/>
      <c r="L293" s="80"/>
      <c r="M293" s="80"/>
      <c r="N293" s="73"/>
      <c r="O293" s="73"/>
      <c r="P293" s="74"/>
      <c r="Q293" s="75" t="s">
        <v>1144</v>
      </c>
      <c r="R293" s="230">
        <v>133859</v>
      </c>
      <c r="S293" s="230">
        <v>552214</v>
      </c>
      <c r="T293" s="230">
        <v>686073</v>
      </c>
      <c r="U293" s="231"/>
      <c r="V293" s="230"/>
      <c r="W293" s="230"/>
      <c r="X293" s="231"/>
      <c r="Y293" s="85"/>
      <c r="Z293" s="85"/>
      <c r="AA293" s="76"/>
      <c r="AB293" s="77"/>
      <c r="AC293" s="78"/>
    </row>
    <row r="294" spans="1:29" hidden="1" x14ac:dyDescent="0.2">
      <c r="A294" s="117"/>
      <c r="D294" s="113"/>
      <c r="E294" s="84"/>
      <c r="F294" s="84"/>
      <c r="G294" s="237"/>
      <c r="H294" s="71"/>
      <c r="I294" s="71"/>
      <c r="J294" s="79"/>
      <c r="K294" s="79"/>
      <c r="L294" s="80"/>
      <c r="M294" s="80"/>
      <c r="N294" s="73"/>
      <c r="O294" s="73"/>
      <c r="P294" s="74"/>
      <c r="Q294" s="75"/>
      <c r="R294" s="230"/>
      <c r="S294" s="230"/>
      <c r="T294" s="230"/>
      <c r="U294" s="231"/>
      <c r="V294" s="230"/>
      <c r="W294" s="230"/>
      <c r="X294" s="231"/>
      <c r="Y294" s="85"/>
      <c r="Z294" s="85"/>
      <c r="AA294" s="76"/>
      <c r="AB294" s="77"/>
      <c r="AC294" s="78"/>
    </row>
    <row r="295" spans="1:29" hidden="1" x14ac:dyDescent="0.2">
      <c r="A295" s="117"/>
      <c r="F295" s="84"/>
      <c r="G295" s="237"/>
      <c r="H295" s="71"/>
      <c r="I295" s="71"/>
      <c r="J295" s="129"/>
      <c r="K295" s="129"/>
      <c r="N295" s="92"/>
      <c r="O295" s="73"/>
      <c r="P295" s="74"/>
      <c r="Q295" s="75"/>
      <c r="R295" s="230"/>
      <c r="S295" s="230"/>
      <c r="T295" s="230"/>
      <c r="U295" s="231"/>
      <c r="V295" s="230"/>
      <c r="W295" s="230"/>
      <c r="X295" s="231"/>
      <c r="Y295" s="85"/>
      <c r="Z295" s="85"/>
      <c r="AA295" s="76"/>
      <c r="AB295" s="77"/>
      <c r="AC295" s="78"/>
    </row>
    <row r="296" spans="1:29" hidden="1" x14ac:dyDescent="0.2">
      <c r="A296" s="117"/>
      <c r="F296" s="84"/>
      <c r="G296" s="229"/>
      <c r="H296" s="71"/>
      <c r="I296" s="71"/>
      <c r="J296" s="72" t="s">
        <v>1496</v>
      </c>
      <c r="K296" s="72"/>
      <c r="L296" s="81"/>
      <c r="M296" s="81"/>
      <c r="N296" s="92"/>
      <c r="O296" s="73"/>
      <c r="P296" s="74"/>
      <c r="Q296" s="75"/>
      <c r="R296" s="230">
        <v>-14733</v>
      </c>
      <c r="S296" s="230">
        <v>0</v>
      </c>
      <c r="T296" s="230">
        <v>-14733</v>
      </c>
      <c r="U296" s="231"/>
      <c r="V296" s="230"/>
      <c r="W296" s="230"/>
      <c r="X296" s="231"/>
      <c r="Y296" s="85"/>
      <c r="Z296" s="85"/>
      <c r="AA296" s="76"/>
      <c r="AB296" s="77"/>
      <c r="AC296" s="78"/>
    </row>
    <row r="297" spans="1:29" hidden="1" x14ac:dyDescent="0.2">
      <c r="A297" s="117"/>
      <c r="D297" s="113"/>
      <c r="E297" s="84"/>
      <c r="F297" s="84"/>
      <c r="G297" s="229"/>
      <c r="H297" s="71"/>
      <c r="I297" s="71"/>
      <c r="J297" s="79"/>
      <c r="K297" s="79"/>
      <c r="L297" s="80"/>
      <c r="M297" s="80"/>
      <c r="N297" s="73"/>
      <c r="O297" s="73"/>
      <c r="P297" s="74"/>
      <c r="Q297" s="75"/>
      <c r="R297" s="230"/>
      <c r="S297" s="230"/>
      <c r="T297" s="230"/>
      <c r="U297" s="231"/>
      <c r="V297" s="230"/>
      <c r="W297" s="230"/>
      <c r="X297" s="231"/>
      <c r="Y297" s="85"/>
      <c r="Z297" s="85"/>
      <c r="AA297" s="76"/>
      <c r="AB297" s="77"/>
      <c r="AC297" s="78"/>
    </row>
    <row r="298" spans="1:29" ht="15" hidden="1" customHeight="1" thickBot="1" x14ac:dyDescent="0.25">
      <c r="A298" s="117"/>
      <c r="D298" s="113"/>
      <c r="E298" s="84"/>
      <c r="F298" s="84"/>
      <c r="G298" s="229"/>
      <c r="H298" s="71"/>
      <c r="I298" s="71"/>
      <c r="J298" s="79"/>
      <c r="K298" s="79"/>
      <c r="L298" s="80"/>
      <c r="M298" s="80"/>
      <c r="N298" s="73"/>
      <c r="O298" s="73"/>
      <c r="P298" s="74"/>
      <c r="Q298" s="75"/>
      <c r="R298" s="241">
        <v>597974</v>
      </c>
      <c r="S298" s="241">
        <v>1424605.5</v>
      </c>
      <c r="T298" s="241">
        <v>2022579.5</v>
      </c>
      <c r="U298" s="231"/>
      <c r="V298" s="230"/>
      <c r="W298" s="230"/>
      <c r="X298" s="231"/>
      <c r="Y298" s="82"/>
      <c r="Z298" s="82"/>
      <c r="AA298" s="83"/>
      <c r="AB298" s="77"/>
      <c r="AC298" s="78"/>
    </row>
    <row r="299" spans="1:29" hidden="1" x14ac:dyDescent="0.2">
      <c r="A299" s="117"/>
      <c r="D299" s="113"/>
      <c r="E299" s="84"/>
      <c r="F299" s="84"/>
      <c r="G299" s="229"/>
      <c r="H299" s="71"/>
      <c r="I299" s="71"/>
      <c r="J299" s="79"/>
      <c r="K299" s="79"/>
      <c r="L299" s="80"/>
      <c r="M299" s="80"/>
      <c r="N299" s="73"/>
      <c r="O299" s="73"/>
      <c r="P299" s="74"/>
      <c r="Q299" s="75"/>
      <c r="R299" s="230"/>
      <c r="S299" s="230"/>
      <c r="T299" s="230"/>
      <c r="U299" s="231"/>
      <c r="V299" s="230"/>
      <c r="W299" s="230"/>
      <c r="X299" s="231"/>
      <c r="Y299" s="85"/>
      <c r="Z299" s="85"/>
      <c r="AA299" s="76"/>
      <c r="AB299" s="77"/>
      <c r="AC299" s="78"/>
    </row>
    <row r="300" spans="1:29" hidden="1" x14ac:dyDescent="0.2">
      <c r="A300" s="117" t="s">
        <v>1497</v>
      </c>
      <c r="B300" s="118" t="e">
        <f t="shared" ref="B300:B308" si="38">IF(COUNTIF(GIS,A302),"YES","NO")</f>
        <v>#VALUE!</v>
      </c>
      <c r="C300" s="118" t="s">
        <v>612</v>
      </c>
      <c r="D300" s="113">
        <v>39100</v>
      </c>
      <c r="E300" s="84">
        <v>39142</v>
      </c>
      <c r="F300" s="84">
        <f t="shared" ref="F300:F308" si="39">DATE(YEAR(E300)+10,MONTH(E300),DAY(E300))</f>
        <v>42795</v>
      </c>
      <c r="G300" s="229">
        <v>499</v>
      </c>
      <c r="H300" s="71" t="s">
        <v>1498</v>
      </c>
      <c r="I300" s="71" t="s">
        <v>614</v>
      </c>
      <c r="J300" s="79"/>
      <c r="K300" s="55">
        <f t="shared" ref="K300:K308" si="40">YEAR(F300)</f>
        <v>2017</v>
      </c>
      <c r="L300" s="80"/>
      <c r="M300" s="80"/>
      <c r="N300" s="73" t="s">
        <v>636</v>
      </c>
      <c r="O300" s="73" t="s">
        <v>1499</v>
      </c>
      <c r="P300" s="74" t="s">
        <v>1500</v>
      </c>
      <c r="Q300" s="75" t="s">
        <v>1501</v>
      </c>
      <c r="R300" s="230">
        <v>1876.5</v>
      </c>
      <c r="S300" s="230">
        <v>73852</v>
      </c>
      <c r="T300" s="230">
        <v>75728.5</v>
      </c>
      <c r="U300" s="231">
        <v>998</v>
      </c>
      <c r="V300" s="230"/>
      <c r="W300" s="230"/>
      <c r="X300" s="231"/>
      <c r="Y300" s="85">
        <v>0.5</v>
      </c>
      <c r="Z300" s="85"/>
      <c r="AA300" s="76"/>
      <c r="AB300" s="77" t="s">
        <v>1069</v>
      </c>
      <c r="AC300" s="78"/>
    </row>
    <row r="301" spans="1:29" hidden="1" x14ac:dyDescent="0.2">
      <c r="A301" s="117" t="s">
        <v>1502</v>
      </c>
      <c r="B301" s="118" t="e">
        <f t="shared" si="38"/>
        <v>#VALUE!</v>
      </c>
      <c r="C301" s="118" t="s">
        <v>612</v>
      </c>
      <c r="D301" s="113">
        <v>39100</v>
      </c>
      <c r="E301" s="84">
        <v>39142</v>
      </c>
      <c r="F301" s="84">
        <f t="shared" si="39"/>
        <v>42795</v>
      </c>
      <c r="G301" s="229">
        <v>40.770000000000003</v>
      </c>
      <c r="H301" s="71" t="s">
        <v>1503</v>
      </c>
      <c r="I301" s="71" t="s">
        <v>614</v>
      </c>
      <c r="J301" s="79"/>
      <c r="K301" s="55">
        <f t="shared" si="40"/>
        <v>2017</v>
      </c>
      <c r="L301" s="80"/>
      <c r="M301" s="80"/>
      <c r="N301" s="73" t="s">
        <v>654</v>
      </c>
      <c r="O301" s="73" t="s">
        <v>1504</v>
      </c>
      <c r="P301" s="74" t="s">
        <v>1500</v>
      </c>
      <c r="Q301" s="75" t="s">
        <v>1505</v>
      </c>
      <c r="R301" s="230">
        <v>273.5</v>
      </c>
      <c r="S301" s="230">
        <v>2378</v>
      </c>
      <c r="T301" s="230">
        <v>2651.5</v>
      </c>
      <c r="U301" s="231">
        <v>82</v>
      </c>
      <c r="V301" s="230"/>
      <c r="W301" s="230"/>
      <c r="X301" s="231"/>
      <c r="Y301" s="85">
        <v>0.5</v>
      </c>
      <c r="Z301" s="85"/>
      <c r="AA301" s="76"/>
      <c r="AB301" s="77" t="s">
        <v>1069</v>
      </c>
      <c r="AC301" s="78"/>
    </row>
    <row r="302" spans="1:29" hidden="1" x14ac:dyDescent="0.2">
      <c r="A302" s="117" t="s">
        <v>1506</v>
      </c>
      <c r="B302" s="118" t="e">
        <f t="shared" si="38"/>
        <v>#VALUE!</v>
      </c>
      <c r="C302" s="118" t="s">
        <v>612</v>
      </c>
      <c r="D302" s="113">
        <v>39100</v>
      </c>
      <c r="E302" s="84">
        <v>39142</v>
      </c>
      <c r="F302" s="84">
        <f t="shared" si="39"/>
        <v>42795</v>
      </c>
      <c r="G302" s="229">
        <v>325.27</v>
      </c>
      <c r="H302" s="71" t="s">
        <v>1507</v>
      </c>
      <c r="I302" s="71" t="s">
        <v>614</v>
      </c>
      <c r="J302" s="66" t="s">
        <v>841</v>
      </c>
      <c r="K302" s="55">
        <f t="shared" si="40"/>
        <v>2017</v>
      </c>
      <c r="L302" s="67"/>
      <c r="M302" s="67"/>
      <c r="N302" s="73" t="s">
        <v>654</v>
      </c>
      <c r="O302" s="73" t="s">
        <v>1508</v>
      </c>
      <c r="P302" s="74" t="s">
        <v>1509</v>
      </c>
      <c r="Q302" s="75" t="s">
        <v>1510</v>
      </c>
      <c r="R302" s="230">
        <v>1271</v>
      </c>
      <c r="S302" s="230">
        <v>9128</v>
      </c>
      <c r="T302" s="230">
        <v>10399</v>
      </c>
      <c r="U302" s="243"/>
      <c r="V302" s="244"/>
      <c r="W302" s="244"/>
      <c r="X302" s="243"/>
      <c r="Y302" s="85">
        <v>0.5</v>
      </c>
      <c r="Z302" s="85"/>
      <c r="AA302" s="76"/>
      <c r="AB302" s="77"/>
      <c r="AC302" s="78"/>
    </row>
    <row r="303" spans="1:29" hidden="1" x14ac:dyDescent="0.2">
      <c r="A303" s="117" t="s">
        <v>1511</v>
      </c>
      <c r="B303" s="118" t="e">
        <f t="shared" si="38"/>
        <v>#VALUE!</v>
      </c>
      <c r="C303" s="118" t="s">
        <v>612</v>
      </c>
      <c r="D303" s="113">
        <v>39100</v>
      </c>
      <c r="E303" s="84">
        <v>39142</v>
      </c>
      <c r="F303" s="84">
        <f t="shared" si="39"/>
        <v>42795</v>
      </c>
      <c r="G303" s="229">
        <v>428</v>
      </c>
      <c r="H303" s="71" t="s">
        <v>1512</v>
      </c>
      <c r="I303" s="71" t="s">
        <v>614</v>
      </c>
      <c r="J303" s="79"/>
      <c r="K303" s="55">
        <f t="shared" si="40"/>
        <v>2017</v>
      </c>
      <c r="L303" s="80"/>
      <c r="M303" s="80"/>
      <c r="N303" s="73" t="s">
        <v>636</v>
      </c>
      <c r="O303" s="73" t="s">
        <v>1513</v>
      </c>
      <c r="P303" s="74" t="s">
        <v>1500</v>
      </c>
      <c r="Q303" s="75" t="s">
        <v>1514</v>
      </c>
      <c r="R303" s="230">
        <v>1628</v>
      </c>
      <c r="S303" s="230">
        <v>11984</v>
      </c>
      <c r="T303" s="230">
        <v>13612</v>
      </c>
      <c r="U303" s="231">
        <v>856</v>
      </c>
      <c r="V303" s="230"/>
      <c r="W303" s="230"/>
      <c r="X303" s="231"/>
      <c r="Y303" s="85">
        <v>0.5</v>
      </c>
      <c r="Z303" s="85"/>
      <c r="AA303" s="76"/>
      <c r="AB303" s="77" t="s">
        <v>1069</v>
      </c>
      <c r="AC303" s="78"/>
    </row>
    <row r="304" spans="1:29" hidden="1" x14ac:dyDescent="0.2">
      <c r="A304" s="117" t="s">
        <v>1515</v>
      </c>
      <c r="B304" s="118" t="e">
        <f t="shared" si="38"/>
        <v>#VALUE!</v>
      </c>
      <c r="C304" s="118" t="s">
        <v>612</v>
      </c>
      <c r="D304" s="113">
        <v>39100</v>
      </c>
      <c r="E304" s="84">
        <v>39142</v>
      </c>
      <c r="F304" s="84">
        <f t="shared" si="39"/>
        <v>42795</v>
      </c>
      <c r="G304" s="229">
        <v>476.01</v>
      </c>
      <c r="H304" s="71" t="s">
        <v>1512</v>
      </c>
      <c r="I304" s="71" t="s">
        <v>614</v>
      </c>
      <c r="J304" s="79"/>
      <c r="K304" s="55">
        <f t="shared" si="40"/>
        <v>2017</v>
      </c>
      <c r="L304" s="80"/>
      <c r="M304" s="80"/>
      <c r="N304" s="73" t="s">
        <v>636</v>
      </c>
      <c r="O304" s="73" t="s">
        <v>1516</v>
      </c>
      <c r="P304" s="74" t="s">
        <v>1500</v>
      </c>
      <c r="Q304" s="75" t="s">
        <v>1517</v>
      </c>
      <c r="R304" s="230">
        <v>1799.5</v>
      </c>
      <c r="S304" s="230">
        <v>13356</v>
      </c>
      <c r="T304" s="230">
        <v>15155.5</v>
      </c>
      <c r="U304" s="231">
        <v>954</v>
      </c>
      <c r="V304" s="230"/>
      <c r="W304" s="230"/>
      <c r="X304" s="231"/>
      <c r="Y304" s="85">
        <v>0.5</v>
      </c>
      <c r="Z304" s="85"/>
      <c r="AA304" s="76"/>
      <c r="AB304" s="77" t="s">
        <v>1069</v>
      </c>
      <c r="AC304" s="78"/>
    </row>
    <row r="305" spans="1:29" hidden="1" x14ac:dyDescent="0.2">
      <c r="A305" s="117" t="s">
        <v>1518</v>
      </c>
      <c r="B305" s="118" t="e">
        <f t="shared" si="38"/>
        <v>#VALUE!</v>
      </c>
      <c r="C305" s="118" t="s">
        <v>612</v>
      </c>
      <c r="D305" s="113">
        <v>39100</v>
      </c>
      <c r="E305" s="84">
        <v>39142</v>
      </c>
      <c r="F305" s="84">
        <f t="shared" si="39"/>
        <v>42795</v>
      </c>
      <c r="G305" s="229">
        <v>2164.09</v>
      </c>
      <c r="H305" s="71" t="s">
        <v>1512</v>
      </c>
      <c r="I305" s="71" t="s">
        <v>614</v>
      </c>
      <c r="J305" s="79"/>
      <c r="K305" s="55">
        <f t="shared" si="40"/>
        <v>2017</v>
      </c>
      <c r="L305" s="80"/>
      <c r="M305" s="80"/>
      <c r="N305" s="73" t="s">
        <v>636</v>
      </c>
      <c r="O305" s="73" t="s">
        <v>1519</v>
      </c>
      <c r="P305" s="74" t="s">
        <v>1500</v>
      </c>
      <c r="Q305" s="75" t="s">
        <v>1520</v>
      </c>
      <c r="R305" s="230">
        <v>7707.5</v>
      </c>
      <c r="S305" s="230">
        <v>38970</v>
      </c>
      <c r="T305" s="230">
        <v>46677.5</v>
      </c>
      <c r="U305" s="231">
        <v>4330</v>
      </c>
      <c r="V305" s="230"/>
      <c r="W305" s="230"/>
      <c r="X305" s="231"/>
      <c r="Y305" s="85">
        <v>0.5</v>
      </c>
      <c r="Z305" s="85"/>
      <c r="AA305" s="76"/>
      <c r="AB305" s="77" t="s">
        <v>1069</v>
      </c>
      <c r="AC305" s="78"/>
    </row>
    <row r="306" spans="1:29" hidden="1" x14ac:dyDescent="0.2">
      <c r="A306" s="117" t="s">
        <v>1521</v>
      </c>
      <c r="B306" s="118" t="e">
        <f t="shared" si="38"/>
        <v>#VALUE!</v>
      </c>
      <c r="C306" s="118" t="s">
        <v>612</v>
      </c>
      <c r="D306" s="113">
        <v>39100</v>
      </c>
      <c r="E306" s="84">
        <v>39142</v>
      </c>
      <c r="F306" s="84">
        <f t="shared" si="39"/>
        <v>42795</v>
      </c>
      <c r="G306" s="229">
        <v>1780.91</v>
      </c>
      <c r="H306" s="71" t="s">
        <v>1512</v>
      </c>
      <c r="I306" s="71" t="s">
        <v>614</v>
      </c>
      <c r="J306" s="79"/>
      <c r="K306" s="55">
        <f t="shared" si="40"/>
        <v>2017</v>
      </c>
      <c r="L306" s="80"/>
      <c r="M306" s="80"/>
      <c r="N306" s="73" t="s">
        <v>636</v>
      </c>
      <c r="O306" s="73" t="s">
        <v>1522</v>
      </c>
      <c r="P306" s="74" t="s">
        <v>1500</v>
      </c>
      <c r="Q306" s="75" t="s">
        <v>1523</v>
      </c>
      <c r="R306" s="230">
        <v>6363.5</v>
      </c>
      <c r="S306" s="230">
        <v>17810</v>
      </c>
      <c r="T306" s="230">
        <v>24173.5</v>
      </c>
      <c r="U306" s="231">
        <v>3562</v>
      </c>
      <c r="V306" s="230"/>
      <c r="W306" s="230"/>
      <c r="X306" s="231"/>
      <c r="Y306" s="85">
        <v>0.5</v>
      </c>
      <c r="Z306" s="85"/>
      <c r="AA306" s="76"/>
      <c r="AB306" s="77" t="s">
        <v>1069</v>
      </c>
      <c r="AC306" s="78"/>
    </row>
    <row r="307" spans="1:29" hidden="1" x14ac:dyDescent="0.2">
      <c r="A307" s="117" t="s">
        <v>1524</v>
      </c>
      <c r="B307" s="118" t="e">
        <f t="shared" si="38"/>
        <v>#VALUE!</v>
      </c>
      <c r="C307" s="118" t="s">
        <v>612</v>
      </c>
      <c r="D307" s="113">
        <v>39100</v>
      </c>
      <c r="E307" s="84">
        <v>39142</v>
      </c>
      <c r="F307" s="84">
        <f t="shared" si="39"/>
        <v>42795</v>
      </c>
      <c r="G307" s="229">
        <v>191.7</v>
      </c>
      <c r="H307" s="71" t="s">
        <v>1512</v>
      </c>
      <c r="I307" s="71" t="s">
        <v>614</v>
      </c>
      <c r="J307" s="79"/>
      <c r="K307" s="55">
        <f t="shared" si="40"/>
        <v>2017</v>
      </c>
      <c r="L307" s="80"/>
      <c r="M307" s="80"/>
      <c r="N307" s="73" t="s">
        <v>636</v>
      </c>
      <c r="O307" s="73" t="s">
        <v>1525</v>
      </c>
      <c r="P307" s="74" t="s">
        <v>1500</v>
      </c>
      <c r="Q307" s="75" t="s">
        <v>1526</v>
      </c>
      <c r="R307" s="230">
        <v>802</v>
      </c>
      <c r="S307" s="230">
        <v>1920</v>
      </c>
      <c r="T307" s="230">
        <v>2722</v>
      </c>
      <c r="U307" s="231">
        <v>384</v>
      </c>
      <c r="V307" s="230"/>
      <c r="W307" s="230"/>
      <c r="X307" s="231"/>
      <c r="Y307" s="85">
        <v>0.5</v>
      </c>
      <c r="Z307" s="85"/>
      <c r="AA307" s="76"/>
      <c r="AB307" s="77" t="s">
        <v>1069</v>
      </c>
      <c r="AC307" s="78"/>
    </row>
    <row r="308" spans="1:29" ht="27" hidden="1" customHeight="1" x14ac:dyDescent="0.2">
      <c r="A308" s="117" t="s">
        <v>1527</v>
      </c>
      <c r="B308" s="118" t="e">
        <f t="shared" si="38"/>
        <v>#VALUE!</v>
      </c>
      <c r="C308" s="118" t="s">
        <v>612</v>
      </c>
      <c r="D308" s="113">
        <v>39100</v>
      </c>
      <c r="E308" s="84">
        <v>39142</v>
      </c>
      <c r="F308" s="84">
        <f t="shared" si="39"/>
        <v>42795</v>
      </c>
      <c r="G308" s="229">
        <v>929.68</v>
      </c>
      <c r="H308" s="71" t="s">
        <v>1528</v>
      </c>
      <c r="I308" s="71" t="s">
        <v>614</v>
      </c>
      <c r="J308" s="72" t="s">
        <v>1529</v>
      </c>
      <c r="K308" s="55">
        <f t="shared" si="40"/>
        <v>2017</v>
      </c>
      <c r="L308" s="81"/>
      <c r="M308" s="81"/>
      <c r="N308" s="73" t="s">
        <v>1530</v>
      </c>
      <c r="O308" s="73" t="s">
        <v>1531</v>
      </c>
      <c r="P308" s="74"/>
      <c r="Q308" s="75" t="s">
        <v>1532</v>
      </c>
      <c r="R308" s="230">
        <v>3385</v>
      </c>
      <c r="S308" s="230">
        <v>797940</v>
      </c>
      <c r="T308" s="230">
        <v>801325</v>
      </c>
      <c r="U308" s="231">
        <v>1395</v>
      </c>
      <c r="V308" s="230"/>
      <c r="W308" s="230"/>
      <c r="X308" s="231"/>
      <c r="Y308" s="85">
        <v>0.5</v>
      </c>
      <c r="Z308" s="85"/>
      <c r="AA308" s="76"/>
      <c r="AB308" s="77"/>
      <c r="AC308" s="78"/>
    </row>
    <row r="309" spans="1:29" hidden="1" x14ac:dyDescent="0.2">
      <c r="A309" s="117"/>
      <c r="D309" s="113"/>
      <c r="E309" s="84"/>
      <c r="F309" s="84"/>
      <c r="G309" s="229"/>
      <c r="H309" s="71"/>
      <c r="I309" s="71"/>
      <c r="J309" s="79"/>
      <c r="K309" s="79"/>
      <c r="L309" s="80"/>
      <c r="M309" s="80"/>
      <c r="N309" s="73"/>
      <c r="O309" s="73"/>
      <c r="P309" s="74"/>
      <c r="Q309" s="75" t="s">
        <v>1144</v>
      </c>
      <c r="R309" s="230">
        <v>25106.5</v>
      </c>
      <c r="S309" s="230">
        <v>967338</v>
      </c>
      <c r="T309" s="230">
        <v>992444.5</v>
      </c>
      <c r="U309" s="231"/>
      <c r="V309" s="230"/>
      <c r="W309" s="230"/>
      <c r="X309" s="231"/>
      <c r="Y309" s="85"/>
      <c r="Z309" s="85"/>
      <c r="AA309" s="76"/>
      <c r="AB309" s="77"/>
      <c r="AC309" s="78"/>
    </row>
    <row r="310" spans="1:29" hidden="1" x14ac:dyDescent="0.2">
      <c r="A310" s="117"/>
      <c r="D310" s="113"/>
      <c r="E310" s="84"/>
      <c r="F310" s="84"/>
      <c r="G310" s="229"/>
      <c r="H310" s="71"/>
      <c r="I310" s="71"/>
      <c r="J310" s="79"/>
      <c r="K310" s="79"/>
      <c r="L310" s="80"/>
      <c r="M310" s="80"/>
      <c r="N310" s="73"/>
      <c r="O310" s="73"/>
      <c r="P310" s="74"/>
      <c r="Q310" s="75"/>
      <c r="R310" s="230"/>
      <c r="S310" s="230"/>
      <c r="T310" s="230"/>
      <c r="U310" s="231"/>
      <c r="V310" s="230"/>
      <c r="W310" s="230"/>
      <c r="X310" s="231"/>
      <c r="Y310" s="85"/>
      <c r="Z310" s="85"/>
      <c r="AA310" s="76"/>
      <c r="AB310" s="77"/>
      <c r="AC310" s="78"/>
    </row>
    <row r="311" spans="1:29" hidden="1" x14ac:dyDescent="0.2">
      <c r="A311" s="117" t="s">
        <v>1533</v>
      </c>
      <c r="B311" s="118" t="e">
        <f t="shared" ref="B311:B340" si="41">IF(COUNTIF(GIS,A313),"YES","NO")</f>
        <v>#VALUE!</v>
      </c>
      <c r="C311" s="118" t="s">
        <v>612</v>
      </c>
      <c r="D311" s="113">
        <v>39190</v>
      </c>
      <c r="E311" s="84">
        <v>39234</v>
      </c>
      <c r="F311" s="84">
        <f t="shared" ref="F311:F340" si="42">DATE(YEAR(E311)+10,MONTH(E311),DAY(E311))</f>
        <v>42887</v>
      </c>
      <c r="G311" s="229">
        <v>80</v>
      </c>
      <c r="H311" s="71" t="s">
        <v>1534</v>
      </c>
      <c r="I311" s="71" t="s">
        <v>1147</v>
      </c>
      <c r="J311" s="79"/>
      <c r="K311" s="55">
        <f t="shared" ref="K311:K340" si="43">YEAR(F311)</f>
        <v>2017</v>
      </c>
      <c r="L311" s="80"/>
      <c r="M311" s="80"/>
      <c r="N311" s="73" t="s">
        <v>1535</v>
      </c>
      <c r="O311" s="73" t="s">
        <v>1536</v>
      </c>
      <c r="P311" s="74" t="s">
        <v>1537</v>
      </c>
      <c r="Q311" s="75" t="s">
        <v>1538</v>
      </c>
      <c r="R311" s="230">
        <v>410</v>
      </c>
      <c r="S311" s="230">
        <v>4640</v>
      </c>
      <c r="T311" s="230">
        <v>5050</v>
      </c>
      <c r="U311" s="231">
        <v>160</v>
      </c>
      <c r="V311" s="230"/>
      <c r="W311" s="230"/>
      <c r="X311" s="231"/>
      <c r="Y311" s="85">
        <v>0.5</v>
      </c>
      <c r="Z311" s="85"/>
      <c r="AA311" s="76"/>
      <c r="AB311" s="77"/>
      <c r="AC311" s="78"/>
    </row>
    <row r="312" spans="1:29" ht="27" hidden="1" customHeight="1" x14ac:dyDescent="0.2">
      <c r="A312" s="117" t="s">
        <v>1539</v>
      </c>
      <c r="B312" s="118" t="e">
        <f t="shared" si="41"/>
        <v>#VALUE!</v>
      </c>
      <c r="C312" s="118" t="s">
        <v>612</v>
      </c>
      <c r="D312" s="113">
        <v>39190</v>
      </c>
      <c r="E312" s="84">
        <v>39234</v>
      </c>
      <c r="F312" s="84">
        <f t="shared" si="42"/>
        <v>42887</v>
      </c>
      <c r="G312" s="229">
        <v>160</v>
      </c>
      <c r="H312" s="71" t="s">
        <v>1540</v>
      </c>
      <c r="I312" s="71" t="s">
        <v>1147</v>
      </c>
      <c r="J312" s="238" t="s">
        <v>1541</v>
      </c>
      <c r="K312" s="55">
        <f t="shared" si="43"/>
        <v>2017</v>
      </c>
      <c r="L312" s="239"/>
      <c r="M312" s="239"/>
      <c r="N312" s="73" t="s">
        <v>1535</v>
      </c>
      <c r="O312" s="73" t="s">
        <v>1542</v>
      </c>
      <c r="P312" s="74" t="s">
        <v>1543</v>
      </c>
      <c r="Q312" s="75" t="s">
        <v>1544</v>
      </c>
      <c r="R312" s="230">
        <v>690</v>
      </c>
      <c r="S312" s="230">
        <v>14080</v>
      </c>
      <c r="T312" s="230">
        <v>14770</v>
      </c>
      <c r="U312" s="231">
        <v>320</v>
      </c>
      <c r="V312" s="230"/>
      <c r="W312" s="230"/>
      <c r="X312" s="231"/>
      <c r="Y312" s="85">
        <v>0.5</v>
      </c>
      <c r="Z312" s="85"/>
      <c r="AA312" s="76"/>
      <c r="AB312" s="77" t="s">
        <v>1545</v>
      </c>
      <c r="AC312" s="78" t="s">
        <v>1546</v>
      </c>
    </row>
    <row r="313" spans="1:29" ht="27" hidden="1" customHeight="1" x14ac:dyDescent="0.2">
      <c r="A313" s="117" t="s">
        <v>1547</v>
      </c>
      <c r="B313" s="118" t="e">
        <f t="shared" si="41"/>
        <v>#VALUE!</v>
      </c>
      <c r="C313" s="118" t="s">
        <v>612</v>
      </c>
      <c r="D313" s="113">
        <v>39190</v>
      </c>
      <c r="E313" s="84">
        <v>39234</v>
      </c>
      <c r="F313" s="84">
        <f t="shared" si="42"/>
        <v>42887</v>
      </c>
      <c r="G313" s="229">
        <v>642.88</v>
      </c>
      <c r="H313" s="71" t="s">
        <v>1548</v>
      </c>
      <c r="I313" s="71" t="s">
        <v>1147</v>
      </c>
      <c r="J313" s="79"/>
      <c r="K313" s="55">
        <f t="shared" si="43"/>
        <v>2017</v>
      </c>
      <c r="L313" s="80"/>
      <c r="M313" s="80"/>
      <c r="N313" s="73" t="s">
        <v>1535</v>
      </c>
      <c r="O313" s="73" t="s">
        <v>1549</v>
      </c>
      <c r="P313" s="74" t="s">
        <v>1550</v>
      </c>
      <c r="Q313" s="75" t="s">
        <v>1551</v>
      </c>
      <c r="R313" s="230">
        <v>2380.5</v>
      </c>
      <c r="S313" s="230">
        <v>50154</v>
      </c>
      <c r="T313" s="230">
        <v>52534.5</v>
      </c>
      <c r="U313" s="231">
        <v>1286</v>
      </c>
      <c r="V313" s="230"/>
      <c r="W313" s="230"/>
      <c r="X313" s="231"/>
      <c r="Y313" s="85">
        <v>0.5</v>
      </c>
      <c r="Z313" s="85"/>
      <c r="AA313" s="76"/>
      <c r="AB313" s="77"/>
      <c r="AC313" s="78"/>
    </row>
    <row r="314" spans="1:29" ht="40" hidden="1" customHeight="1" x14ac:dyDescent="0.2">
      <c r="A314" s="117" t="s">
        <v>1552</v>
      </c>
      <c r="B314" s="118" t="e">
        <f t="shared" si="41"/>
        <v>#VALUE!</v>
      </c>
      <c r="C314" s="118" t="s">
        <v>612</v>
      </c>
      <c r="D314" s="113">
        <v>39190</v>
      </c>
      <c r="E314" s="84">
        <v>39234</v>
      </c>
      <c r="F314" s="84">
        <f t="shared" si="42"/>
        <v>42887</v>
      </c>
      <c r="G314" s="229">
        <v>1812.74</v>
      </c>
      <c r="H314" s="71" t="s">
        <v>1553</v>
      </c>
      <c r="I314" s="71" t="s">
        <v>1147</v>
      </c>
      <c r="J314" s="79"/>
      <c r="K314" s="55">
        <f t="shared" si="43"/>
        <v>2017</v>
      </c>
      <c r="L314" s="80"/>
      <c r="M314" s="80"/>
      <c r="N314" s="73" t="s">
        <v>1535</v>
      </c>
      <c r="O314" s="73" t="s">
        <v>1554</v>
      </c>
      <c r="P314" s="74" t="s">
        <v>1555</v>
      </c>
      <c r="Q314" s="75" t="s">
        <v>1556</v>
      </c>
      <c r="R314" s="230">
        <v>6475.5</v>
      </c>
      <c r="S314" s="230">
        <v>27195</v>
      </c>
      <c r="T314" s="230">
        <v>33670.5</v>
      </c>
      <c r="U314" s="231">
        <v>3626</v>
      </c>
      <c r="V314" s="230"/>
      <c r="W314" s="230"/>
      <c r="X314" s="231"/>
      <c r="Y314" s="85">
        <v>0.5</v>
      </c>
      <c r="Z314" s="85"/>
      <c r="AA314" s="76"/>
      <c r="AB314" s="77"/>
      <c r="AC314" s="78"/>
    </row>
    <row r="315" spans="1:29" ht="27" hidden="1" customHeight="1" x14ac:dyDescent="0.2">
      <c r="A315" s="117" t="s">
        <v>1557</v>
      </c>
      <c r="B315" s="118" t="e">
        <f t="shared" si="41"/>
        <v>#VALUE!</v>
      </c>
      <c r="C315" s="118" t="s">
        <v>612</v>
      </c>
      <c r="D315" s="113">
        <v>39190</v>
      </c>
      <c r="E315" s="84">
        <v>39234</v>
      </c>
      <c r="F315" s="84">
        <f t="shared" si="42"/>
        <v>42887</v>
      </c>
      <c r="G315" s="229">
        <v>40</v>
      </c>
      <c r="H315" s="71" t="s">
        <v>1558</v>
      </c>
      <c r="I315" s="71" t="s">
        <v>812</v>
      </c>
      <c r="J315" s="238" t="s">
        <v>1559</v>
      </c>
      <c r="K315" s="55">
        <f t="shared" si="43"/>
        <v>2017</v>
      </c>
      <c r="L315" s="238"/>
      <c r="M315" s="238"/>
      <c r="N315" s="73" t="s">
        <v>1535</v>
      </c>
      <c r="O315" s="73" t="s">
        <v>1560</v>
      </c>
      <c r="P315" s="74" t="s">
        <v>1561</v>
      </c>
      <c r="Q315" s="75" t="s">
        <v>1562</v>
      </c>
      <c r="R315" s="230">
        <v>270</v>
      </c>
      <c r="S315" s="230">
        <v>0</v>
      </c>
      <c r="T315" s="230">
        <v>270</v>
      </c>
      <c r="U315" s="231">
        <v>80</v>
      </c>
      <c r="V315" s="230"/>
      <c r="W315" s="230"/>
      <c r="X315" s="231"/>
      <c r="Y315" s="85">
        <v>0.5</v>
      </c>
      <c r="Z315" s="85"/>
      <c r="AA315" s="76"/>
      <c r="AB315" s="77"/>
      <c r="AC315" s="78"/>
    </row>
    <row r="316" spans="1:29" ht="15" hidden="1" customHeight="1" x14ac:dyDescent="0.2">
      <c r="A316" s="117" t="s">
        <v>1563</v>
      </c>
      <c r="B316" s="118" t="e">
        <f t="shared" si="41"/>
        <v>#VALUE!</v>
      </c>
      <c r="C316" s="118" t="s">
        <v>612</v>
      </c>
      <c r="D316" s="113">
        <v>39190</v>
      </c>
      <c r="E316" s="84">
        <v>39234</v>
      </c>
      <c r="F316" s="84">
        <f t="shared" si="42"/>
        <v>42887</v>
      </c>
      <c r="G316" s="229">
        <v>40</v>
      </c>
      <c r="H316" s="71" t="s">
        <v>1558</v>
      </c>
      <c r="I316" s="71" t="s">
        <v>812</v>
      </c>
      <c r="J316" s="238" t="s">
        <v>1564</v>
      </c>
      <c r="K316" s="55">
        <f t="shared" si="43"/>
        <v>2017</v>
      </c>
      <c r="L316" s="238"/>
      <c r="M316" s="238"/>
      <c r="N316" s="73" t="s">
        <v>1535</v>
      </c>
      <c r="O316" s="73" t="s">
        <v>1565</v>
      </c>
      <c r="P316" s="74" t="s">
        <v>1566</v>
      </c>
      <c r="Q316" s="75" t="s">
        <v>1567</v>
      </c>
      <c r="R316" s="230">
        <v>270</v>
      </c>
      <c r="S316" s="230">
        <v>0</v>
      </c>
      <c r="T316" s="230">
        <v>270</v>
      </c>
      <c r="U316" s="231">
        <v>80</v>
      </c>
      <c r="V316" s="230"/>
      <c r="W316" s="230"/>
      <c r="X316" s="231"/>
      <c r="Y316" s="85">
        <v>0.5</v>
      </c>
      <c r="Z316" s="85"/>
      <c r="AA316" s="76"/>
      <c r="AB316" s="77"/>
      <c r="AC316" s="78"/>
    </row>
    <row r="317" spans="1:29" hidden="1" x14ac:dyDescent="0.2">
      <c r="A317" s="117" t="s">
        <v>1568</v>
      </c>
      <c r="B317" s="118" t="e">
        <f t="shared" si="41"/>
        <v>#VALUE!</v>
      </c>
      <c r="C317" s="118" t="s">
        <v>612</v>
      </c>
      <c r="D317" s="113">
        <v>39190</v>
      </c>
      <c r="E317" s="84">
        <v>39234</v>
      </c>
      <c r="F317" s="84">
        <f t="shared" si="42"/>
        <v>42887</v>
      </c>
      <c r="G317" s="229">
        <v>80</v>
      </c>
      <c r="H317" s="71" t="s">
        <v>1558</v>
      </c>
      <c r="I317" s="71" t="s">
        <v>812</v>
      </c>
      <c r="J317" s="79"/>
      <c r="K317" s="55">
        <f t="shared" si="43"/>
        <v>2017</v>
      </c>
      <c r="L317" s="80"/>
      <c r="M317" s="80"/>
      <c r="N317" s="73" t="s">
        <v>1535</v>
      </c>
      <c r="O317" s="73" t="s">
        <v>1569</v>
      </c>
      <c r="P317" s="74" t="s">
        <v>1570</v>
      </c>
      <c r="Q317" s="75" t="s">
        <v>1571</v>
      </c>
      <c r="R317" s="230">
        <v>410</v>
      </c>
      <c r="S317" s="230">
        <v>0</v>
      </c>
      <c r="T317" s="230">
        <v>410</v>
      </c>
      <c r="U317" s="231">
        <v>160</v>
      </c>
      <c r="V317" s="230"/>
      <c r="W317" s="230"/>
      <c r="X317" s="231"/>
      <c r="Y317" s="85">
        <v>0.5</v>
      </c>
      <c r="Z317" s="85"/>
      <c r="AA317" s="76"/>
      <c r="AB317" s="77"/>
      <c r="AC317" s="78"/>
    </row>
    <row r="318" spans="1:29" ht="27" hidden="1" customHeight="1" x14ac:dyDescent="0.2">
      <c r="A318" s="117" t="s">
        <v>1572</v>
      </c>
      <c r="B318" s="118" t="e">
        <f t="shared" si="41"/>
        <v>#VALUE!</v>
      </c>
      <c r="C318" s="118" t="s">
        <v>612</v>
      </c>
      <c r="D318" s="113">
        <v>39190</v>
      </c>
      <c r="E318" s="84">
        <v>39234</v>
      </c>
      <c r="F318" s="84">
        <f t="shared" si="42"/>
        <v>42887</v>
      </c>
      <c r="G318" s="229">
        <v>88.98</v>
      </c>
      <c r="H318" s="71" t="s">
        <v>1558</v>
      </c>
      <c r="I318" s="71" t="s">
        <v>812</v>
      </c>
      <c r="J318" s="79"/>
      <c r="K318" s="55">
        <f t="shared" si="43"/>
        <v>2017</v>
      </c>
      <c r="L318" s="80"/>
      <c r="M318" s="80"/>
      <c r="N318" s="73" t="s">
        <v>1535</v>
      </c>
      <c r="O318" s="73" t="s">
        <v>1573</v>
      </c>
      <c r="P318" s="74" t="s">
        <v>1574</v>
      </c>
      <c r="Q318" s="75" t="s">
        <v>1575</v>
      </c>
      <c r="R318" s="230">
        <v>441.5</v>
      </c>
      <c r="S318" s="230">
        <v>0</v>
      </c>
      <c r="T318" s="230">
        <v>441.5</v>
      </c>
      <c r="U318" s="231">
        <v>178</v>
      </c>
      <c r="V318" s="230"/>
      <c r="W318" s="230"/>
      <c r="X318" s="231"/>
      <c r="Y318" s="85">
        <v>0.5</v>
      </c>
      <c r="Z318" s="85"/>
      <c r="AA318" s="76"/>
      <c r="AB318" s="77"/>
      <c r="AC318" s="78"/>
    </row>
    <row r="319" spans="1:29" hidden="1" x14ac:dyDescent="0.2">
      <c r="A319" s="117" t="s">
        <v>1576</v>
      </c>
      <c r="B319" s="118" t="e">
        <f t="shared" si="41"/>
        <v>#VALUE!</v>
      </c>
      <c r="C319" s="118" t="s">
        <v>612</v>
      </c>
      <c r="D319" s="113">
        <v>39190</v>
      </c>
      <c r="E319" s="84">
        <v>39234</v>
      </c>
      <c r="F319" s="84">
        <f t="shared" si="42"/>
        <v>42887</v>
      </c>
      <c r="G319" s="229">
        <v>160</v>
      </c>
      <c r="H319" s="71" t="s">
        <v>1577</v>
      </c>
      <c r="I319" s="71" t="s">
        <v>812</v>
      </c>
      <c r="J319" s="79"/>
      <c r="K319" s="55">
        <f t="shared" si="43"/>
        <v>2017</v>
      </c>
      <c r="L319" s="80"/>
      <c r="M319" s="80"/>
      <c r="N319" s="73" t="s">
        <v>1535</v>
      </c>
      <c r="O319" s="73" t="s">
        <v>1578</v>
      </c>
      <c r="P319" s="74" t="s">
        <v>1579</v>
      </c>
      <c r="Q319" s="75" t="s">
        <v>1580</v>
      </c>
      <c r="R319" s="230">
        <v>690</v>
      </c>
      <c r="S319" s="230">
        <v>1280</v>
      </c>
      <c r="T319" s="230">
        <v>1970</v>
      </c>
      <c r="U319" s="231">
        <v>320</v>
      </c>
      <c r="V319" s="230"/>
      <c r="W319" s="230"/>
      <c r="X319" s="231"/>
      <c r="Y319" s="85">
        <v>0.5</v>
      </c>
      <c r="Z319" s="85"/>
      <c r="AA319" s="76"/>
      <c r="AB319" s="77"/>
      <c r="AC319" s="78"/>
    </row>
    <row r="320" spans="1:29" hidden="1" x14ac:dyDescent="0.2">
      <c r="A320" s="117" t="s">
        <v>1581</v>
      </c>
      <c r="B320" s="118" t="e">
        <f t="shared" si="41"/>
        <v>#VALUE!</v>
      </c>
      <c r="C320" s="118" t="s">
        <v>612</v>
      </c>
      <c r="D320" s="113">
        <v>39190</v>
      </c>
      <c r="E320" s="84">
        <v>39234</v>
      </c>
      <c r="F320" s="84">
        <f t="shared" si="42"/>
        <v>42887</v>
      </c>
      <c r="G320" s="229">
        <v>80.239999999999995</v>
      </c>
      <c r="H320" s="71" t="s">
        <v>1582</v>
      </c>
      <c r="I320" s="71" t="s">
        <v>812</v>
      </c>
      <c r="J320" s="79"/>
      <c r="K320" s="55">
        <f t="shared" si="43"/>
        <v>2017</v>
      </c>
      <c r="L320" s="80"/>
      <c r="M320" s="80"/>
      <c r="N320" s="73" t="s">
        <v>1535</v>
      </c>
      <c r="O320" s="73" t="s">
        <v>1583</v>
      </c>
      <c r="P320" s="74" t="s">
        <v>1584</v>
      </c>
      <c r="Q320" s="75" t="s">
        <v>1585</v>
      </c>
      <c r="R320" s="230">
        <v>413.5</v>
      </c>
      <c r="S320" s="230">
        <v>8748</v>
      </c>
      <c r="T320" s="230">
        <v>9161.5</v>
      </c>
      <c r="U320" s="231">
        <v>162</v>
      </c>
      <c r="V320" s="230"/>
      <c r="W320" s="230"/>
      <c r="X320" s="231"/>
      <c r="Y320" s="85">
        <v>0.5</v>
      </c>
      <c r="Z320" s="85"/>
      <c r="AA320" s="76"/>
      <c r="AC320" s="78" t="s">
        <v>1586</v>
      </c>
    </row>
    <row r="321" spans="1:29" hidden="1" x14ac:dyDescent="0.2">
      <c r="A321" s="117" t="s">
        <v>1587</v>
      </c>
      <c r="B321" s="118" t="e">
        <f t="shared" si="41"/>
        <v>#VALUE!</v>
      </c>
      <c r="C321" s="118" t="s">
        <v>612</v>
      </c>
      <c r="D321" s="113">
        <v>39190</v>
      </c>
      <c r="E321" s="84">
        <v>39234</v>
      </c>
      <c r="F321" s="84">
        <f t="shared" si="42"/>
        <v>42887</v>
      </c>
      <c r="G321" s="229">
        <v>80</v>
      </c>
      <c r="H321" s="71" t="s">
        <v>1582</v>
      </c>
      <c r="I321" s="71" t="s">
        <v>812</v>
      </c>
      <c r="J321" s="79"/>
      <c r="K321" s="55">
        <f t="shared" si="43"/>
        <v>2017</v>
      </c>
      <c r="L321" s="80"/>
      <c r="M321" s="80"/>
      <c r="N321" s="73" t="s">
        <v>1535</v>
      </c>
      <c r="O321" s="73" t="s">
        <v>1588</v>
      </c>
      <c r="P321" s="74" t="s">
        <v>1589</v>
      </c>
      <c r="Q321" s="75" t="s">
        <v>1590</v>
      </c>
      <c r="R321" s="230">
        <v>410</v>
      </c>
      <c r="S321" s="230">
        <v>8640</v>
      </c>
      <c r="T321" s="230">
        <v>9050</v>
      </c>
      <c r="U321" s="231">
        <v>160</v>
      </c>
      <c r="V321" s="230"/>
      <c r="W321" s="230"/>
      <c r="X321" s="231"/>
      <c r="Y321" s="85">
        <v>0.5</v>
      </c>
      <c r="Z321" s="85"/>
      <c r="AA321" s="76"/>
      <c r="AB321" s="77"/>
      <c r="AC321" s="78"/>
    </row>
    <row r="322" spans="1:29" ht="27" hidden="1" customHeight="1" x14ac:dyDescent="0.2">
      <c r="A322" s="117" t="s">
        <v>1591</v>
      </c>
      <c r="B322" s="118" t="e">
        <f t="shared" si="41"/>
        <v>#VALUE!</v>
      </c>
      <c r="C322" s="118" t="s">
        <v>612</v>
      </c>
      <c r="D322" s="113">
        <v>39190</v>
      </c>
      <c r="E322" s="84">
        <v>39234</v>
      </c>
      <c r="F322" s="84">
        <f t="shared" si="42"/>
        <v>42887</v>
      </c>
      <c r="G322" s="229">
        <v>280</v>
      </c>
      <c r="H322" s="71" t="s">
        <v>1592</v>
      </c>
      <c r="I322" s="71" t="s">
        <v>812</v>
      </c>
      <c r="J322" s="79"/>
      <c r="K322" s="55">
        <f t="shared" si="43"/>
        <v>2017</v>
      </c>
      <c r="L322" s="80"/>
      <c r="M322" s="80"/>
      <c r="N322" s="73" t="s">
        <v>1535</v>
      </c>
      <c r="O322" s="73" t="s">
        <v>1593</v>
      </c>
      <c r="P322" s="74" t="s">
        <v>1594</v>
      </c>
      <c r="Q322" s="75" t="s">
        <v>1595</v>
      </c>
      <c r="R322" s="230">
        <v>1110</v>
      </c>
      <c r="S322" s="230">
        <v>3640</v>
      </c>
      <c r="T322" s="230">
        <v>4750</v>
      </c>
      <c r="U322" s="231">
        <v>560</v>
      </c>
      <c r="V322" s="230"/>
      <c r="W322" s="230"/>
      <c r="X322" s="231"/>
      <c r="Y322" s="85">
        <v>0.5</v>
      </c>
      <c r="Z322" s="85"/>
      <c r="AA322" s="76"/>
      <c r="AB322" s="77"/>
      <c r="AC322" s="78"/>
    </row>
    <row r="323" spans="1:29" ht="27" hidden="1" customHeight="1" x14ac:dyDescent="0.2">
      <c r="A323" s="117" t="s">
        <v>1596</v>
      </c>
      <c r="B323" s="118" t="e">
        <f t="shared" si="41"/>
        <v>#VALUE!</v>
      </c>
      <c r="C323" s="118" t="s">
        <v>612</v>
      </c>
      <c r="D323" s="113">
        <v>39190</v>
      </c>
      <c r="E323" s="84">
        <v>39234</v>
      </c>
      <c r="F323" s="84">
        <f t="shared" si="42"/>
        <v>42887</v>
      </c>
      <c r="G323" s="229">
        <v>99.48</v>
      </c>
      <c r="H323" s="71" t="s">
        <v>1592</v>
      </c>
      <c r="I323" s="71" t="s">
        <v>812</v>
      </c>
      <c r="J323" s="79"/>
      <c r="K323" s="55">
        <f t="shared" si="43"/>
        <v>2017</v>
      </c>
      <c r="L323" s="80"/>
      <c r="M323" s="80"/>
      <c r="N323" s="73" t="s">
        <v>1535</v>
      </c>
      <c r="O323" s="73" t="s">
        <v>1597</v>
      </c>
      <c r="P323" s="74" t="s">
        <v>1598</v>
      </c>
      <c r="Q323" s="75" t="s">
        <v>1599</v>
      </c>
      <c r="R323" s="230">
        <v>480</v>
      </c>
      <c r="S323" s="230">
        <v>0</v>
      </c>
      <c r="T323" s="230">
        <v>480</v>
      </c>
      <c r="U323" s="231">
        <v>200</v>
      </c>
      <c r="V323" s="230"/>
      <c r="W323" s="230"/>
      <c r="X323" s="231"/>
      <c r="Y323" s="85">
        <v>0.5</v>
      </c>
      <c r="Z323" s="85"/>
      <c r="AA323" s="76"/>
      <c r="AB323" s="77"/>
      <c r="AC323" s="78"/>
    </row>
    <row r="324" spans="1:29" ht="15.75" hidden="1" customHeight="1" x14ac:dyDescent="0.2">
      <c r="A324" s="117" t="s">
        <v>1600</v>
      </c>
      <c r="B324" s="118" t="e">
        <f t="shared" si="41"/>
        <v>#VALUE!</v>
      </c>
      <c r="C324" s="118" t="s">
        <v>612</v>
      </c>
      <c r="D324" s="113">
        <v>39190</v>
      </c>
      <c r="E324" s="84">
        <v>39234</v>
      </c>
      <c r="F324" s="84">
        <f t="shared" si="42"/>
        <v>42887</v>
      </c>
      <c r="G324" s="229">
        <v>40</v>
      </c>
      <c r="H324" s="71" t="s">
        <v>1601</v>
      </c>
      <c r="I324" s="71" t="s">
        <v>812</v>
      </c>
      <c r="J324" s="72" t="s">
        <v>1602</v>
      </c>
      <c r="K324" s="55">
        <f t="shared" si="43"/>
        <v>2017</v>
      </c>
      <c r="L324" s="72"/>
      <c r="M324" s="72"/>
      <c r="N324" s="73" t="s">
        <v>1535</v>
      </c>
      <c r="O324" s="73" t="s">
        <v>1603</v>
      </c>
      <c r="P324" s="74" t="s">
        <v>1604</v>
      </c>
      <c r="Q324" s="75" t="s">
        <v>1605</v>
      </c>
      <c r="R324" s="230">
        <v>270</v>
      </c>
      <c r="S324" s="230">
        <v>520</v>
      </c>
      <c r="T324" s="230">
        <v>790</v>
      </c>
      <c r="U324" s="231">
        <v>80</v>
      </c>
      <c r="V324" s="230"/>
      <c r="W324" s="230"/>
      <c r="X324" s="231"/>
      <c r="Y324" s="85">
        <v>0.5</v>
      </c>
      <c r="Z324" s="85"/>
      <c r="AA324" s="76"/>
      <c r="AB324" s="77"/>
      <c r="AC324" s="78"/>
    </row>
    <row r="325" spans="1:29" hidden="1" x14ac:dyDescent="0.2">
      <c r="A325" s="117" t="s">
        <v>1606</v>
      </c>
      <c r="B325" s="118" t="e">
        <f t="shared" si="41"/>
        <v>#VALUE!</v>
      </c>
      <c r="C325" s="118" t="s">
        <v>612</v>
      </c>
      <c r="D325" s="113">
        <v>39190</v>
      </c>
      <c r="E325" s="84">
        <v>39234</v>
      </c>
      <c r="F325" s="84">
        <f t="shared" si="42"/>
        <v>42887</v>
      </c>
      <c r="G325" s="229">
        <v>120</v>
      </c>
      <c r="H325" s="71" t="s">
        <v>1601</v>
      </c>
      <c r="I325" s="71" t="s">
        <v>812</v>
      </c>
      <c r="J325" s="79"/>
      <c r="K325" s="55">
        <f t="shared" si="43"/>
        <v>2017</v>
      </c>
      <c r="L325" s="80"/>
      <c r="M325" s="80"/>
      <c r="N325" s="73" t="s">
        <v>1535</v>
      </c>
      <c r="O325" s="73" t="s">
        <v>1607</v>
      </c>
      <c r="P325" s="74" t="s">
        <v>1608</v>
      </c>
      <c r="Q325" s="75" t="s">
        <v>1609</v>
      </c>
      <c r="R325" s="230">
        <v>550</v>
      </c>
      <c r="S325" s="230">
        <v>3360</v>
      </c>
      <c r="T325" s="230">
        <v>3910</v>
      </c>
      <c r="U325" s="231">
        <v>240</v>
      </c>
      <c r="V325" s="230"/>
      <c r="W325" s="230"/>
      <c r="X325" s="231"/>
      <c r="Y325" s="85">
        <v>0.5</v>
      </c>
      <c r="Z325" s="85"/>
      <c r="AA325" s="76"/>
      <c r="AB325" s="77"/>
      <c r="AC325" s="78"/>
    </row>
    <row r="326" spans="1:29" ht="17.25" hidden="1" customHeight="1" x14ac:dyDescent="0.2">
      <c r="A326" s="117" t="s">
        <v>1610</v>
      </c>
      <c r="B326" s="118" t="e">
        <f t="shared" si="41"/>
        <v>#VALUE!</v>
      </c>
      <c r="C326" s="118" t="s">
        <v>612</v>
      </c>
      <c r="D326" s="113">
        <v>39190</v>
      </c>
      <c r="E326" s="84">
        <v>39234</v>
      </c>
      <c r="F326" s="84">
        <f t="shared" si="42"/>
        <v>42887</v>
      </c>
      <c r="G326" s="229">
        <v>71.599999999999994</v>
      </c>
      <c r="H326" s="71" t="s">
        <v>1163</v>
      </c>
      <c r="I326" s="71" t="s">
        <v>812</v>
      </c>
      <c r="J326" s="72" t="s">
        <v>1611</v>
      </c>
      <c r="K326" s="55">
        <f t="shared" si="43"/>
        <v>2017</v>
      </c>
      <c r="L326" s="72"/>
      <c r="M326" s="72"/>
      <c r="N326" s="73" t="s">
        <v>1535</v>
      </c>
      <c r="O326" s="73" t="s">
        <v>1612</v>
      </c>
      <c r="P326" s="74" t="s">
        <v>1613</v>
      </c>
      <c r="Q326" s="75" t="s">
        <v>1614</v>
      </c>
      <c r="R326" s="230">
        <v>382</v>
      </c>
      <c r="S326" s="230">
        <v>8856</v>
      </c>
      <c r="T326" s="230">
        <v>9238</v>
      </c>
      <c r="U326" s="231">
        <v>144</v>
      </c>
      <c r="V326" s="230"/>
      <c r="W326" s="230"/>
      <c r="X326" s="231"/>
      <c r="Y326" s="85">
        <v>0.5</v>
      </c>
      <c r="Z326" s="85"/>
      <c r="AA326" s="76"/>
      <c r="AB326" s="77"/>
      <c r="AC326" s="78"/>
    </row>
    <row r="327" spans="1:29" hidden="1" x14ac:dyDescent="0.2">
      <c r="A327" s="117" t="s">
        <v>1615</v>
      </c>
      <c r="B327" s="118" t="e">
        <f t="shared" si="41"/>
        <v>#VALUE!</v>
      </c>
      <c r="C327" s="118" t="s">
        <v>612</v>
      </c>
      <c r="D327" s="113">
        <v>39190</v>
      </c>
      <c r="E327" s="84">
        <v>39234</v>
      </c>
      <c r="F327" s="84">
        <f t="shared" si="42"/>
        <v>42887</v>
      </c>
      <c r="G327" s="229">
        <v>160</v>
      </c>
      <c r="H327" s="71" t="s">
        <v>1163</v>
      </c>
      <c r="I327" s="71" t="s">
        <v>812</v>
      </c>
      <c r="J327" s="72" t="s">
        <v>1616</v>
      </c>
      <c r="K327" s="55">
        <f t="shared" si="43"/>
        <v>2017</v>
      </c>
      <c r="L327" s="81"/>
      <c r="M327" s="81"/>
      <c r="N327" s="73" t="s">
        <v>1535</v>
      </c>
      <c r="O327" s="73" t="s">
        <v>1617</v>
      </c>
      <c r="P327" s="74" t="s">
        <v>1618</v>
      </c>
      <c r="Q327" s="75" t="s">
        <v>1619</v>
      </c>
      <c r="R327" s="230">
        <v>690</v>
      </c>
      <c r="S327" s="230">
        <v>18880</v>
      </c>
      <c r="T327" s="230">
        <v>19570</v>
      </c>
      <c r="U327" s="231">
        <v>320</v>
      </c>
      <c r="V327" s="230"/>
      <c r="W327" s="230"/>
      <c r="X327" s="231"/>
      <c r="Y327" s="85">
        <v>0.5</v>
      </c>
      <c r="Z327" s="85"/>
      <c r="AA327" s="76"/>
      <c r="AB327" s="77"/>
      <c r="AC327" s="78"/>
    </row>
    <row r="328" spans="1:29" hidden="1" x14ac:dyDescent="0.2">
      <c r="A328" s="117" t="s">
        <v>1620</v>
      </c>
      <c r="B328" s="118" t="e">
        <f t="shared" si="41"/>
        <v>#VALUE!</v>
      </c>
      <c r="C328" s="118" t="s">
        <v>612</v>
      </c>
      <c r="D328" s="113">
        <v>39190</v>
      </c>
      <c r="E328" s="84">
        <v>39234</v>
      </c>
      <c r="F328" s="84">
        <f t="shared" si="42"/>
        <v>42887</v>
      </c>
      <c r="G328" s="229">
        <v>40</v>
      </c>
      <c r="H328" s="71" t="s">
        <v>1601</v>
      </c>
      <c r="I328" s="71" t="s">
        <v>812</v>
      </c>
      <c r="J328" s="79"/>
      <c r="K328" s="55">
        <f t="shared" si="43"/>
        <v>2017</v>
      </c>
      <c r="L328" s="80"/>
      <c r="M328" s="80"/>
      <c r="N328" s="73" t="s">
        <v>1535</v>
      </c>
      <c r="O328" s="73" t="s">
        <v>1621</v>
      </c>
      <c r="P328" s="74" t="s">
        <v>1622</v>
      </c>
      <c r="Q328" s="75" t="s">
        <v>1623</v>
      </c>
      <c r="R328" s="230">
        <v>270</v>
      </c>
      <c r="S328" s="230">
        <v>0</v>
      </c>
      <c r="T328" s="230">
        <v>270</v>
      </c>
      <c r="U328" s="231">
        <v>80</v>
      </c>
      <c r="V328" s="230"/>
      <c r="W328" s="230"/>
      <c r="X328" s="231"/>
      <c r="Y328" s="85">
        <v>0.5</v>
      </c>
      <c r="Z328" s="85"/>
      <c r="AA328" s="76"/>
      <c r="AB328" s="77"/>
      <c r="AC328" s="78"/>
    </row>
    <row r="329" spans="1:29" ht="40" hidden="1" customHeight="1" x14ac:dyDescent="0.2">
      <c r="A329" s="117" t="s">
        <v>1624</v>
      </c>
      <c r="B329" s="118" t="e">
        <f t="shared" si="41"/>
        <v>#VALUE!</v>
      </c>
      <c r="C329" s="118" t="s">
        <v>612</v>
      </c>
      <c r="D329" s="113">
        <v>39190</v>
      </c>
      <c r="E329" s="84">
        <v>39234</v>
      </c>
      <c r="F329" s="84">
        <f t="shared" si="42"/>
        <v>42887</v>
      </c>
      <c r="G329" s="229">
        <v>176.55</v>
      </c>
      <c r="H329" s="71" t="s">
        <v>1625</v>
      </c>
      <c r="I329" s="71" t="s">
        <v>812</v>
      </c>
      <c r="J329" s="79"/>
      <c r="K329" s="55">
        <f t="shared" si="43"/>
        <v>2017</v>
      </c>
      <c r="L329" s="80"/>
      <c r="M329" s="80"/>
      <c r="N329" s="73" t="s">
        <v>1535</v>
      </c>
      <c r="O329" s="73" t="s">
        <v>1626</v>
      </c>
      <c r="P329" s="74" t="s">
        <v>1627</v>
      </c>
      <c r="Q329" s="75" t="s">
        <v>1628</v>
      </c>
      <c r="R329" s="230">
        <v>749.5</v>
      </c>
      <c r="S329" s="230">
        <v>0</v>
      </c>
      <c r="T329" s="230">
        <v>749.5</v>
      </c>
      <c r="U329" s="231">
        <v>354</v>
      </c>
      <c r="V329" s="230"/>
      <c r="W329" s="230"/>
      <c r="X329" s="231"/>
      <c r="Y329" s="85">
        <v>0.5</v>
      </c>
      <c r="Z329" s="85"/>
      <c r="AA329" s="76"/>
      <c r="AB329" s="77"/>
      <c r="AC329" s="78"/>
    </row>
    <row r="330" spans="1:29" hidden="1" x14ac:dyDescent="0.2">
      <c r="A330" s="117" t="s">
        <v>1629</v>
      </c>
      <c r="B330" s="118" t="e">
        <f t="shared" si="41"/>
        <v>#VALUE!</v>
      </c>
      <c r="C330" s="118" t="s">
        <v>612</v>
      </c>
      <c r="D330" s="113">
        <v>39190</v>
      </c>
      <c r="E330" s="84">
        <v>39234</v>
      </c>
      <c r="F330" s="84">
        <f t="shared" si="42"/>
        <v>42887</v>
      </c>
      <c r="G330" s="229">
        <v>160</v>
      </c>
      <c r="H330" s="71" t="s">
        <v>811</v>
      </c>
      <c r="I330" s="71" t="s">
        <v>812</v>
      </c>
      <c r="J330" s="79"/>
      <c r="K330" s="55">
        <f t="shared" si="43"/>
        <v>2017</v>
      </c>
      <c r="L330" s="80"/>
      <c r="M330" s="80"/>
      <c r="N330" s="73" t="s">
        <v>1535</v>
      </c>
      <c r="O330" s="73" t="s">
        <v>1630</v>
      </c>
      <c r="P330" s="74" t="s">
        <v>1631</v>
      </c>
      <c r="Q330" s="75" t="s">
        <v>1632</v>
      </c>
      <c r="R330" s="230">
        <v>690</v>
      </c>
      <c r="S330" s="230">
        <v>31680</v>
      </c>
      <c r="T330" s="230">
        <v>32370</v>
      </c>
      <c r="U330" s="231">
        <v>320</v>
      </c>
      <c r="V330" s="230"/>
      <c r="W330" s="230"/>
      <c r="X330" s="231"/>
      <c r="Y330" s="85">
        <v>0.5</v>
      </c>
      <c r="Z330" s="85"/>
      <c r="AA330" s="76"/>
      <c r="AB330" s="77"/>
      <c r="AC330" s="78"/>
    </row>
    <row r="331" spans="1:29" hidden="1" x14ac:dyDescent="0.2">
      <c r="A331" s="117" t="s">
        <v>1633</v>
      </c>
      <c r="B331" s="118" t="e">
        <f t="shared" si="41"/>
        <v>#VALUE!</v>
      </c>
      <c r="C331" s="118" t="s">
        <v>612</v>
      </c>
      <c r="D331" s="113">
        <v>39190</v>
      </c>
      <c r="E331" s="84">
        <v>39234</v>
      </c>
      <c r="F331" s="84">
        <f t="shared" si="42"/>
        <v>42887</v>
      </c>
      <c r="G331" s="229">
        <v>680</v>
      </c>
      <c r="H331" s="71" t="s">
        <v>1634</v>
      </c>
      <c r="I331" s="71" t="s">
        <v>812</v>
      </c>
      <c r="J331" s="79"/>
      <c r="K331" s="55">
        <f t="shared" si="43"/>
        <v>2017</v>
      </c>
      <c r="L331" s="80"/>
      <c r="M331" s="80"/>
      <c r="N331" s="73" t="s">
        <v>1535</v>
      </c>
      <c r="O331" s="73" t="s">
        <v>1635</v>
      </c>
      <c r="P331" s="74" t="s">
        <v>1636</v>
      </c>
      <c r="Q331" s="75" t="s">
        <v>1637</v>
      </c>
      <c r="R331" s="230">
        <v>2510</v>
      </c>
      <c r="S331" s="230">
        <v>22440</v>
      </c>
      <c r="T331" s="230">
        <v>24950</v>
      </c>
      <c r="U331" s="231">
        <v>1360</v>
      </c>
      <c r="V331" s="230"/>
      <c r="W331" s="230"/>
      <c r="X331" s="231"/>
      <c r="Y331" s="85">
        <v>0.5</v>
      </c>
      <c r="Z331" s="85"/>
      <c r="AA331" s="76"/>
      <c r="AB331" s="77"/>
      <c r="AC331" s="78"/>
    </row>
    <row r="332" spans="1:29" hidden="1" x14ac:dyDescent="0.2">
      <c r="A332" s="117" t="s">
        <v>1638</v>
      </c>
      <c r="B332" s="118" t="e">
        <f t="shared" si="41"/>
        <v>#VALUE!</v>
      </c>
      <c r="C332" s="118" t="s">
        <v>612</v>
      </c>
      <c r="D332" s="113">
        <v>39190</v>
      </c>
      <c r="E332" s="84">
        <v>39234</v>
      </c>
      <c r="F332" s="84">
        <f t="shared" si="42"/>
        <v>42887</v>
      </c>
      <c r="G332" s="229">
        <v>40</v>
      </c>
      <c r="H332" s="71" t="s">
        <v>1163</v>
      </c>
      <c r="I332" s="71" t="s">
        <v>812</v>
      </c>
      <c r="J332" s="79"/>
      <c r="K332" s="55">
        <f t="shared" si="43"/>
        <v>2017</v>
      </c>
      <c r="L332" s="80"/>
      <c r="M332" s="80"/>
      <c r="N332" s="73" t="s">
        <v>1535</v>
      </c>
      <c r="O332" s="73" t="s">
        <v>1639</v>
      </c>
      <c r="P332" s="74" t="s">
        <v>1640</v>
      </c>
      <c r="Q332" s="75" t="s">
        <v>1641</v>
      </c>
      <c r="R332" s="230">
        <v>270</v>
      </c>
      <c r="S332" s="230">
        <v>5920</v>
      </c>
      <c r="T332" s="230">
        <v>6190</v>
      </c>
      <c r="U332" s="231">
        <v>80</v>
      </c>
      <c r="V332" s="230"/>
      <c r="W332" s="230"/>
      <c r="X332" s="231"/>
      <c r="Y332" s="85">
        <v>0.5</v>
      </c>
      <c r="Z332" s="85"/>
      <c r="AA332" s="76"/>
      <c r="AB332" s="77"/>
      <c r="AC332" s="78"/>
    </row>
    <row r="333" spans="1:29" ht="27" hidden="1" customHeight="1" x14ac:dyDescent="0.2">
      <c r="A333" s="117" t="s">
        <v>1642</v>
      </c>
      <c r="B333" s="118" t="e">
        <f t="shared" si="41"/>
        <v>#VALUE!</v>
      </c>
      <c r="C333" s="118" t="s">
        <v>612</v>
      </c>
      <c r="D333" s="113">
        <v>39190</v>
      </c>
      <c r="E333" s="84">
        <v>39234</v>
      </c>
      <c r="F333" s="84">
        <f t="shared" si="42"/>
        <v>42887</v>
      </c>
      <c r="G333" s="229">
        <v>997.8</v>
      </c>
      <c r="H333" s="71" t="s">
        <v>1528</v>
      </c>
      <c r="I333" s="71" t="s">
        <v>614</v>
      </c>
      <c r="J333" s="72" t="s">
        <v>1529</v>
      </c>
      <c r="K333" s="55">
        <f t="shared" si="43"/>
        <v>2017</v>
      </c>
      <c r="L333" s="81"/>
      <c r="M333" s="81"/>
      <c r="N333" s="73" t="s">
        <v>1643</v>
      </c>
      <c r="O333" s="73" t="s">
        <v>1644</v>
      </c>
      <c r="P333" s="74" t="s">
        <v>1645</v>
      </c>
      <c r="Q333" s="75" t="s">
        <v>1646</v>
      </c>
      <c r="R333" s="230">
        <v>3623</v>
      </c>
      <c r="S333" s="230">
        <v>67864</v>
      </c>
      <c r="T333" s="230">
        <v>71487</v>
      </c>
      <c r="U333" s="231">
        <v>1996</v>
      </c>
      <c r="V333" s="230"/>
      <c r="W333" s="230"/>
      <c r="X333" s="231"/>
      <c r="Y333" s="85">
        <v>0.5</v>
      </c>
      <c r="Z333" s="85"/>
      <c r="AA333" s="76"/>
      <c r="AB333" s="77"/>
      <c r="AC333" s="78"/>
    </row>
    <row r="334" spans="1:29" hidden="1" x14ac:dyDescent="0.2">
      <c r="A334" s="117" t="s">
        <v>1647</v>
      </c>
      <c r="B334" s="118" t="e">
        <f t="shared" si="41"/>
        <v>#VALUE!</v>
      </c>
      <c r="C334" s="118" t="s">
        <v>612</v>
      </c>
      <c r="D334" s="113">
        <v>39190</v>
      </c>
      <c r="E334" s="84">
        <v>39234</v>
      </c>
      <c r="F334" s="84">
        <f t="shared" si="42"/>
        <v>42887</v>
      </c>
      <c r="G334" s="229">
        <v>375</v>
      </c>
      <c r="H334" s="71" t="s">
        <v>1512</v>
      </c>
      <c r="I334" s="71" t="s">
        <v>614</v>
      </c>
      <c r="J334" s="79"/>
      <c r="K334" s="55">
        <f t="shared" si="43"/>
        <v>2017</v>
      </c>
      <c r="L334" s="80"/>
      <c r="M334" s="80"/>
      <c r="N334" s="73" t="s">
        <v>1648</v>
      </c>
      <c r="O334" s="73" t="s">
        <v>1649</v>
      </c>
      <c r="P334" s="74"/>
      <c r="Q334" s="75" t="s">
        <v>1650</v>
      </c>
      <c r="R334" s="230">
        <v>1442.5</v>
      </c>
      <c r="S334" s="230">
        <v>85500</v>
      </c>
      <c r="T334" s="230">
        <v>86942.5</v>
      </c>
      <c r="U334" s="231">
        <v>750</v>
      </c>
      <c r="V334" s="230"/>
      <c r="W334" s="230"/>
      <c r="X334" s="231"/>
      <c r="Y334" s="85">
        <v>0.5</v>
      </c>
      <c r="Z334" s="85"/>
      <c r="AA334" s="76"/>
      <c r="AB334" s="77" t="s">
        <v>1069</v>
      </c>
      <c r="AC334" s="78"/>
    </row>
    <row r="335" spans="1:29" hidden="1" x14ac:dyDescent="0.2">
      <c r="A335" s="117" t="s">
        <v>1651</v>
      </c>
      <c r="B335" s="118" t="e">
        <f t="shared" si="41"/>
        <v>#VALUE!</v>
      </c>
      <c r="C335" s="118" t="s">
        <v>612</v>
      </c>
      <c r="D335" s="113">
        <v>39190</v>
      </c>
      <c r="E335" s="84">
        <v>39234</v>
      </c>
      <c r="F335" s="84">
        <f t="shared" si="42"/>
        <v>42887</v>
      </c>
      <c r="G335" s="229">
        <v>78</v>
      </c>
      <c r="H335" s="71" t="s">
        <v>1512</v>
      </c>
      <c r="I335" s="71" t="s">
        <v>614</v>
      </c>
      <c r="J335" s="79"/>
      <c r="K335" s="55">
        <f t="shared" si="43"/>
        <v>2017</v>
      </c>
      <c r="L335" s="80"/>
      <c r="M335" s="80"/>
      <c r="N335" s="73" t="s">
        <v>1648</v>
      </c>
      <c r="O335" s="73" t="s">
        <v>1652</v>
      </c>
      <c r="P335" s="74"/>
      <c r="Q335" s="75" t="s">
        <v>1653</v>
      </c>
      <c r="R335" s="230">
        <v>403</v>
      </c>
      <c r="S335" s="230">
        <v>19344</v>
      </c>
      <c r="T335" s="230">
        <v>19747</v>
      </c>
      <c r="U335" s="231">
        <v>156</v>
      </c>
      <c r="V335" s="230"/>
      <c r="W335" s="230"/>
      <c r="X335" s="231"/>
      <c r="Y335" s="85">
        <v>0.5</v>
      </c>
      <c r="Z335" s="85"/>
      <c r="AA335" s="76"/>
      <c r="AB335" s="77" t="s">
        <v>1069</v>
      </c>
      <c r="AC335" s="78"/>
    </row>
    <row r="336" spans="1:29" hidden="1" x14ac:dyDescent="0.2">
      <c r="A336" s="117" t="s">
        <v>1654</v>
      </c>
      <c r="B336" s="118" t="e">
        <f t="shared" si="41"/>
        <v>#VALUE!</v>
      </c>
      <c r="C336" s="118" t="s">
        <v>612</v>
      </c>
      <c r="D336" s="113">
        <v>39190</v>
      </c>
      <c r="E336" s="84">
        <v>39234</v>
      </c>
      <c r="F336" s="84">
        <f t="shared" si="42"/>
        <v>42887</v>
      </c>
      <c r="G336" s="229">
        <v>104</v>
      </c>
      <c r="H336" s="71" t="s">
        <v>1512</v>
      </c>
      <c r="I336" s="71" t="s">
        <v>614</v>
      </c>
      <c r="J336" s="79"/>
      <c r="K336" s="55">
        <f t="shared" si="43"/>
        <v>2017</v>
      </c>
      <c r="L336" s="80"/>
      <c r="M336" s="80"/>
      <c r="N336" s="73" t="s">
        <v>1648</v>
      </c>
      <c r="O336" s="73" t="s">
        <v>1655</v>
      </c>
      <c r="P336" s="74"/>
      <c r="Q336" s="75" t="s">
        <v>1656</v>
      </c>
      <c r="R336" s="230">
        <v>494</v>
      </c>
      <c r="S336" s="230">
        <v>23712</v>
      </c>
      <c r="T336" s="230">
        <v>24206</v>
      </c>
      <c r="U336" s="231">
        <v>208</v>
      </c>
      <c r="V336" s="230"/>
      <c r="W336" s="230"/>
      <c r="X336" s="231"/>
      <c r="Y336" s="85">
        <v>0.5</v>
      </c>
      <c r="Z336" s="85"/>
      <c r="AA336" s="76"/>
      <c r="AB336" s="77" t="s">
        <v>1069</v>
      </c>
      <c r="AC336" s="78"/>
    </row>
    <row r="337" spans="1:29" hidden="1" x14ac:dyDescent="0.2">
      <c r="A337" s="117" t="s">
        <v>1657</v>
      </c>
      <c r="B337" s="118" t="e">
        <f t="shared" si="41"/>
        <v>#VALUE!</v>
      </c>
      <c r="C337" s="118" t="s">
        <v>612</v>
      </c>
      <c r="D337" s="113">
        <v>39190</v>
      </c>
      <c r="E337" s="84">
        <v>39234</v>
      </c>
      <c r="F337" s="84">
        <f t="shared" si="42"/>
        <v>42887</v>
      </c>
      <c r="G337" s="229">
        <v>16.97</v>
      </c>
      <c r="H337" s="71" t="s">
        <v>642</v>
      </c>
      <c r="I337" s="71" t="s">
        <v>614</v>
      </c>
      <c r="J337" s="79"/>
      <c r="K337" s="55">
        <f t="shared" si="43"/>
        <v>2017</v>
      </c>
      <c r="L337" s="80"/>
      <c r="M337" s="80"/>
      <c r="N337" s="73" t="s">
        <v>1648</v>
      </c>
      <c r="O337" s="73" t="s">
        <v>1658</v>
      </c>
      <c r="P337" s="74"/>
      <c r="Q337" s="75" t="s">
        <v>1659</v>
      </c>
      <c r="R337" s="230">
        <v>189.5</v>
      </c>
      <c r="S337" s="230">
        <v>0</v>
      </c>
      <c r="T337" s="230">
        <v>189.5</v>
      </c>
      <c r="U337" s="231">
        <v>34</v>
      </c>
      <c r="V337" s="230"/>
      <c r="W337" s="230"/>
      <c r="X337" s="231"/>
      <c r="Y337" s="85">
        <v>0.5</v>
      </c>
      <c r="Z337" s="85"/>
      <c r="AA337" s="76"/>
      <c r="AB337" s="77" t="s">
        <v>1069</v>
      </c>
      <c r="AC337" s="78"/>
    </row>
    <row r="338" spans="1:29" hidden="1" x14ac:dyDescent="0.2">
      <c r="A338" s="117" t="s">
        <v>1660</v>
      </c>
      <c r="B338" s="118" t="e">
        <f t="shared" si="41"/>
        <v>#VALUE!</v>
      </c>
      <c r="C338" s="118" t="s">
        <v>612</v>
      </c>
      <c r="D338" s="113">
        <v>39190</v>
      </c>
      <c r="E338" s="84">
        <v>39234</v>
      </c>
      <c r="F338" s="84">
        <f t="shared" si="42"/>
        <v>42887</v>
      </c>
      <c r="G338" s="229">
        <v>80.400000000000006</v>
      </c>
      <c r="H338" s="71" t="s">
        <v>642</v>
      </c>
      <c r="I338" s="71" t="s">
        <v>614</v>
      </c>
      <c r="J338" s="79"/>
      <c r="K338" s="55">
        <f t="shared" si="43"/>
        <v>2017</v>
      </c>
      <c r="L338" s="80"/>
      <c r="M338" s="80"/>
      <c r="N338" s="73" t="s">
        <v>1648</v>
      </c>
      <c r="O338" s="73" t="s">
        <v>1661</v>
      </c>
      <c r="P338" s="74" t="s">
        <v>1662</v>
      </c>
      <c r="Q338" s="75" t="s">
        <v>1663</v>
      </c>
      <c r="R338" s="230">
        <v>413.5</v>
      </c>
      <c r="S338" s="230">
        <v>64638</v>
      </c>
      <c r="T338" s="230">
        <v>65051.5</v>
      </c>
      <c r="U338" s="231">
        <v>162</v>
      </c>
      <c r="V338" s="230"/>
      <c r="W338" s="230"/>
      <c r="X338" s="231"/>
      <c r="Y338" s="85">
        <v>0.5</v>
      </c>
      <c r="Z338" s="85"/>
      <c r="AA338" s="76"/>
      <c r="AB338" s="77" t="s">
        <v>1069</v>
      </c>
      <c r="AC338" s="78"/>
    </row>
    <row r="339" spans="1:29" hidden="1" x14ac:dyDescent="0.2">
      <c r="A339" s="117" t="s">
        <v>1664</v>
      </c>
      <c r="B339" s="118" t="e">
        <f t="shared" si="41"/>
        <v>#VALUE!</v>
      </c>
      <c r="C339" s="118" t="s">
        <v>612</v>
      </c>
      <c r="D339" s="113">
        <v>39190</v>
      </c>
      <c r="E339" s="84">
        <v>39234</v>
      </c>
      <c r="F339" s="84">
        <f t="shared" si="42"/>
        <v>42887</v>
      </c>
      <c r="G339" s="229">
        <v>65.290000000000006</v>
      </c>
      <c r="H339" s="71" t="s">
        <v>642</v>
      </c>
      <c r="I339" s="71" t="s">
        <v>614</v>
      </c>
      <c r="J339" s="79"/>
      <c r="K339" s="55">
        <f t="shared" si="43"/>
        <v>2017</v>
      </c>
      <c r="L339" s="80"/>
      <c r="M339" s="80"/>
      <c r="N339" s="73" t="s">
        <v>1648</v>
      </c>
      <c r="O339" s="73" t="s">
        <v>1665</v>
      </c>
      <c r="P339" s="74" t="s">
        <v>1666</v>
      </c>
      <c r="Q339" s="75" t="s">
        <v>1667</v>
      </c>
      <c r="R339" s="230">
        <v>361</v>
      </c>
      <c r="S339" s="230">
        <v>7128</v>
      </c>
      <c r="T339" s="230">
        <v>7489</v>
      </c>
      <c r="U339" s="231">
        <v>132</v>
      </c>
      <c r="V339" s="230"/>
      <c r="W339" s="230"/>
      <c r="X339" s="231"/>
      <c r="Y339" s="85">
        <v>0.5</v>
      </c>
      <c r="Z339" s="85"/>
      <c r="AA339" s="76"/>
      <c r="AB339" s="77" t="s">
        <v>1069</v>
      </c>
      <c r="AC339" s="78"/>
    </row>
    <row r="340" spans="1:29" hidden="1" x14ac:dyDescent="0.2">
      <c r="A340" s="117" t="s">
        <v>1668</v>
      </c>
      <c r="B340" s="118" t="e">
        <f t="shared" si="41"/>
        <v>#VALUE!</v>
      </c>
      <c r="C340" s="118" t="s">
        <v>612</v>
      </c>
      <c r="D340" s="113">
        <v>39190</v>
      </c>
      <c r="E340" s="84">
        <v>39234</v>
      </c>
      <c r="F340" s="84">
        <f t="shared" si="42"/>
        <v>42887</v>
      </c>
      <c r="G340" s="229">
        <v>89</v>
      </c>
      <c r="H340" s="71" t="s">
        <v>642</v>
      </c>
      <c r="I340" s="71" t="s">
        <v>614</v>
      </c>
      <c r="J340" s="79"/>
      <c r="K340" s="55">
        <f t="shared" si="43"/>
        <v>2017</v>
      </c>
      <c r="L340" s="80"/>
      <c r="M340" s="80"/>
      <c r="N340" s="73" t="s">
        <v>1648</v>
      </c>
      <c r="O340" s="73" t="s">
        <v>1669</v>
      </c>
      <c r="P340" s="74"/>
      <c r="Q340" s="75" t="s">
        <v>1670</v>
      </c>
      <c r="R340" s="230">
        <v>441.5</v>
      </c>
      <c r="S340" s="230">
        <v>13172</v>
      </c>
      <c r="T340" s="230">
        <v>13613.5</v>
      </c>
      <c r="U340" s="231">
        <v>178</v>
      </c>
      <c r="V340" s="230"/>
      <c r="W340" s="230"/>
      <c r="X340" s="231"/>
      <c r="Y340" s="85">
        <v>0.5</v>
      </c>
      <c r="Z340" s="85"/>
      <c r="AA340" s="76"/>
      <c r="AB340" s="77" t="s">
        <v>1069</v>
      </c>
      <c r="AC340" s="78"/>
    </row>
    <row r="341" spans="1:29" hidden="1" x14ac:dyDescent="0.2">
      <c r="A341" s="117"/>
      <c r="D341" s="113"/>
      <c r="E341" s="84"/>
      <c r="F341" s="84"/>
      <c r="G341" s="229"/>
      <c r="H341" s="71"/>
      <c r="I341" s="71"/>
      <c r="J341" s="79"/>
      <c r="K341" s="79"/>
      <c r="L341" s="80"/>
      <c r="M341" s="80"/>
      <c r="N341" s="73"/>
      <c r="O341" s="73"/>
      <c r="P341" s="74"/>
      <c r="Q341" s="75" t="s">
        <v>1144</v>
      </c>
      <c r="R341" s="230">
        <v>28200.5</v>
      </c>
      <c r="S341" s="230">
        <v>491391</v>
      </c>
      <c r="T341" s="230">
        <v>519591.5</v>
      </c>
      <c r="U341" s="231"/>
      <c r="V341" s="230"/>
      <c r="W341" s="230"/>
      <c r="X341" s="231"/>
      <c r="Y341" s="85"/>
      <c r="Z341" s="85"/>
      <c r="AA341" s="76"/>
      <c r="AB341" s="77"/>
      <c r="AC341" s="78"/>
    </row>
    <row r="342" spans="1:29" hidden="1" x14ac:dyDescent="0.2">
      <c r="A342" s="117"/>
      <c r="D342" s="113"/>
      <c r="E342" s="84"/>
      <c r="F342" s="84"/>
      <c r="G342" s="229"/>
      <c r="H342" s="71"/>
      <c r="I342" s="71"/>
      <c r="J342" s="79"/>
      <c r="K342" s="79"/>
      <c r="L342" s="80"/>
      <c r="M342" s="80"/>
      <c r="N342" s="73"/>
      <c r="O342" s="73"/>
      <c r="P342" s="74"/>
      <c r="Q342" s="75"/>
      <c r="R342" s="230"/>
      <c r="S342" s="230"/>
      <c r="T342" s="230"/>
      <c r="U342" s="231"/>
      <c r="V342" s="230"/>
      <c r="W342" s="230"/>
      <c r="X342" s="231"/>
      <c r="Y342" s="85"/>
      <c r="Z342" s="85"/>
      <c r="AA342" s="76"/>
      <c r="AB342" s="77"/>
      <c r="AC342" s="78"/>
    </row>
    <row r="343" spans="1:29" hidden="1" x14ac:dyDescent="0.2">
      <c r="A343" s="117" t="s">
        <v>1671</v>
      </c>
      <c r="B343" s="118" t="e">
        <f t="shared" ref="B343:B374" si="44">IF(COUNTIF(GIS,A345),"YES","NO")</f>
        <v>#VALUE!</v>
      </c>
      <c r="C343" s="118" t="s">
        <v>612</v>
      </c>
      <c r="D343" s="113">
        <v>39156</v>
      </c>
      <c r="E343" s="84">
        <v>39234</v>
      </c>
      <c r="F343" s="84">
        <f t="shared" ref="F343:F374" si="45">DATE(YEAR(E343)+10,MONTH(E343),DAY(E343))</f>
        <v>42887</v>
      </c>
      <c r="G343" s="229">
        <v>160</v>
      </c>
      <c r="H343" s="71" t="s">
        <v>1091</v>
      </c>
      <c r="I343" s="71" t="s">
        <v>676</v>
      </c>
      <c r="J343" s="79"/>
      <c r="K343" s="55">
        <f t="shared" ref="K343:K374" si="46">YEAR(F343)</f>
        <v>2017</v>
      </c>
      <c r="L343" s="80"/>
      <c r="M343" s="80"/>
      <c r="N343" s="73" t="s">
        <v>1672</v>
      </c>
      <c r="O343" s="73" t="s">
        <v>1673</v>
      </c>
      <c r="P343" s="74"/>
      <c r="Q343" s="75" t="s">
        <v>1674</v>
      </c>
      <c r="R343" s="230">
        <v>690</v>
      </c>
      <c r="S343" s="230">
        <v>0</v>
      </c>
      <c r="T343" s="230">
        <v>690</v>
      </c>
      <c r="U343" s="231">
        <v>320</v>
      </c>
      <c r="V343" s="230"/>
      <c r="W343" s="230"/>
      <c r="X343" s="231"/>
      <c r="Y343" s="85">
        <v>0.5</v>
      </c>
      <c r="Z343" s="85"/>
      <c r="AA343" s="76"/>
      <c r="AB343" s="77"/>
      <c r="AC343" s="78"/>
    </row>
    <row r="344" spans="1:29" ht="40" hidden="1" customHeight="1" x14ac:dyDescent="0.2">
      <c r="A344" s="117" t="s">
        <v>1675</v>
      </c>
      <c r="B344" s="118" t="e">
        <f t="shared" si="44"/>
        <v>#VALUE!</v>
      </c>
      <c r="C344" s="118" t="s">
        <v>612</v>
      </c>
      <c r="D344" s="113">
        <v>39156</v>
      </c>
      <c r="E344" s="84">
        <v>39234</v>
      </c>
      <c r="F344" s="84">
        <f t="shared" si="45"/>
        <v>42887</v>
      </c>
      <c r="G344" s="229">
        <v>210.19</v>
      </c>
      <c r="H344" s="71" t="s">
        <v>1091</v>
      </c>
      <c r="I344" s="71" t="s">
        <v>676</v>
      </c>
      <c r="J344" s="79"/>
      <c r="K344" s="55">
        <f t="shared" si="46"/>
        <v>2017</v>
      </c>
      <c r="L344" s="80"/>
      <c r="M344" s="80"/>
      <c r="N344" s="73" t="s">
        <v>1672</v>
      </c>
      <c r="O344" s="73" t="s">
        <v>1676</v>
      </c>
      <c r="P344" s="74" t="s">
        <v>1677</v>
      </c>
      <c r="Q344" s="75" t="s">
        <v>1678</v>
      </c>
      <c r="R344" s="230">
        <v>868.5</v>
      </c>
      <c r="S344" s="230">
        <v>0</v>
      </c>
      <c r="T344" s="230">
        <v>868.5</v>
      </c>
      <c r="U344" s="231">
        <v>422</v>
      </c>
      <c r="V344" s="230"/>
      <c r="W344" s="230"/>
      <c r="X344" s="231"/>
      <c r="Y344" s="85">
        <v>0.5</v>
      </c>
      <c r="Z344" s="85"/>
      <c r="AA344" s="76"/>
      <c r="AB344" s="77"/>
      <c r="AC344" s="78"/>
    </row>
    <row r="345" spans="1:29" ht="27" hidden="1" customHeight="1" x14ac:dyDescent="0.2">
      <c r="A345" s="117" t="s">
        <v>1679</v>
      </c>
      <c r="B345" s="118" t="e">
        <f t="shared" si="44"/>
        <v>#VALUE!</v>
      </c>
      <c r="C345" s="118" t="s">
        <v>612</v>
      </c>
      <c r="D345" s="113">
        <v>39156</v>
      </c>
      <c r="E345" s="84">
        <v>39234</v>
      </c>
      <c r="F345" s="84">
        <f t="shared" si="45"/>
        <v>42887</v>
      </c>
      <c r="G345" s="229">
        <v>400</v>
      </c>
      <c r="H345" s="71" t="s">
        <v>884</v>
      </c>
      <c r="I345" s="71" t="s">
        <v>676</v>
      </c>
      <c r="J345" s="79"/>
      <c r="K345" s="55">
        <f t="shared" si="46"/>
        <v>2017</v>
      </c>
      <c r="L345" s="80"/>
      <c r="M345" s="80"/>
      <c r="N345" s="73" t="s">
        <v>1672</v>
      </c>
      <c r="O345" s="73" t="s">
        <v>1680</v>
      </c>
      <c r="P345" s="74" t="s">
        <v>1681</v>
      </c>
      <c r="Q345" s="75" t="s">
        <v>1682</v>
      </c>
      <c r="R345" s="230">
        <v>1530</v>
      </c>
      <c r="S345" s="230">
        <v>12800</v>
      </c>
      <c r="T345" s="230">
        <v>14330</v>
      </c>
      <c r="U345" s="231">
        <v>800</v>
      </c>
      <c r="V345" s="230"/>
      <c r="W345" s="230"/>
      <c r="X345" s="231"/>
      <c r="Y345" s="85">
        <v>0.5</v>
      </c>
      <c r="Z345" s="85"/>
      <c r="AA345" s="76"/>
      <c r="AB345" s="77"/>
      <c r="AC345" s="78"/>
    </row>
    <row r="346" spans="1:29" hidden="1" x14ac:dyDescent="0.2">
      <c r="A346" s="117" t="s">
        <v>1683</v>
      </c>
      <c r="B346" s="118" t="e">
        <f t="shared" si="44"/>
        <v>#VALUE!</v>
      </c>
      <c r="C346" s="118" t="s">
        <v>612</v>
      </c>
      <c r="D346" s="113">
        <v>39156</v>
      </c>
      <c r="E346" s="84">
        <v>39234</v>
      </c>
      <c r="F346" s="84">
        <f t="shared" si="45"/>
        <v>42887</v>
      </c>
      <c r="G346" s="229">
        <v>120</v>
      </c>
      <c r="H346" s="71" t="s">
        <v>884</v>
      </c>
      <c r="I346" s="71" t="s">
        <v>676</v>
      </c>
      <c r="J346" s="79"/>
      <c r="K346" s="55">
        <f t="shared" si="46"/>
        <v>2017</v>
      </c>
      <c r="L346" s="80"/>
      <c r="M346" s="80"/>
      <c r="N346" s="73" t="s">
        <v>1672</v>
      </c>
      <c r="O346" s="73" t="s">
        <v>1680</v>
      </c>
      <c r="P346" s="74" t="s">
        <v>1684</v>
      </c>
      <c r="Q346" s="75" t="s">
        <v>1685</v>
      </c>
      <c r="R346" s="230">
        <v>550</v>
      </c>
      <c r="S346" s="230">
        <v>4080</v>
      </c>
      <c r="T346" s="230">
        <v>4630</v>
      </c>
      <c r="U346" s="231">
        <v>240</v>
      </c>
      <c r="V346" s="230"/>
      <c r="W346" s="230"/>
      <c r="X346" s="231"/>
      <c r="Y346" s="85">
        <v>0.5</v>
      </c>
      <c r="Z346" s="85"/>
      <c r="AA346" s="76"/>
      <c r="AB346" s="77"/>
      <c r="AC346" s="78"/>
    </row>
    <row r="347" spans="1:29" ht="40" hidden="1" customHeight="1" x14ac:dyDescent="0.2">
      <c r="A347" s="117" t="s">
        <v>1686</v>
      </c>
      <c r="B347" s="118" t="e">
        <f t="shared" si="44"/>
        <v>#VALUE!</v>
      </c>
      <c r="C347" s="118" t="s">
        <v>612</v>
      </c>
      <c r="D347" s="113">
        <v>39156</v>
      </c>
      <c r="E347" s="84">
        <v>39234</v>
      </c>
      <c r="F347" s="84">
        <f t="shared" si="45"/>
        <v>42887</v>
      </c>
      <c r="G347" s="229">
        <v>1038.52</v>
      </c>
      <c r="H347" s="71" t="s">
        <v>1687</v>
      </c>
      <c r="I347" s="71" t="s">
        <v>676</v>
      </c>
      <c r="J347" s="79"/>
      <c r="K347" s="55">
        <f t="shared" si="46"/>
        <v>2017</v>
      </c>
      <c r="L347" s="80"/>
      <c r="M347" s="80"/>
      <c r="N347" s="73" t="s">
        <v>1688</v>
      </c>
      <c r="O347" s="73" t="s">
        <v>1689</v>
      </c>
      <c r="P347" s="74" t="s">
        <v>1690</v>
      </c>
      <c r="Q347" s="75" t="s">
        <v>1691</v>
      </c>
      <c r="R347" s="230">
        <v>3766.5</v>
      </c>
      <c r="S347" s="230">
        <v>673272</v>
      </c>
      <c r="T347" s="230">
        <v>677038.5</v>
      </c>
      <c r="U347" s="231">
        <v>2078</v>
      </c>
      <c r="V347" s="230"/>
      <c r="W347" s="230"/>
      <c r="X347" s="231"/>
      <c r="Y347" s="85">
        <v>0.5</v>
      </c>
      <c r="Z347" s="85"/>
      <c r="AA347" s="76"/>
      <c r="AB347" s="77"/>
      <c r="AC347" s="78"/>
    </row>
    <row r="348" spans="1:29" hidden="1" x14ac:dyDescent="0.2">
      <c r="A348" s="117" t="s">
        <v>1692</v>
      </c>
      <c r="B348" s="118" t="e">
        <f t="shared" si="44"/>
        <v>#VALUE!</v>
      </c>
      <c r="C348" s="118" t="s">
        <v>612</v>
      </c>
      <c r="D348" s="113">
        <v>39156</v>
      </c>
      <c r="E348" s="84">
        <v>39234</v>
      </c>
      <c r="F348" s="84">
        <f t="shared" si="45"/>
        <v>42887</v>
      </c>
      <c r="G348" s="229">
        <v>160</v>
      </c>
      <c r="H348" s="71" t="s">
        <v>1693</v>
      </c>
      <c r="I348" s="71" t="s">
        <v>676</v>
      </c>
      <c r="J348" s="79"/>
      <c r="K348" s="55">
        <f t="shared" si="46"/>
        <v>2017</v>
      </c>
      <c r="L348" s="80"/>
      <c r="M348" s="80"/>
      <c r="N348" s="73" t="s">
        <v>1688</v>
      </c>
      <c r="O348" s="73" t="s">
        <v>1694</v>
      </c>
      <c r="P348" s="74" t="s">
        <v>1695</v>
      </c>
      <c r="Q348" s="75" t="s">
        <v>1696</v>
      </c>
      <c r="R348" s="230">
        <v>690</v>
      </c>
      <c r="S348" s="230">
        <v>4480</v>
      </c>
      <c r="T348" s="230">
        <v>5170</v>
      </c>
      <c r="U348" s="231">
        <v>320</v>
      </c>
      <c r="V348" s="230"/>
      <c r="W348" s="230"/>
      <c r="X348" s="231"/>
      <c r="Y348" s="85">
        <v>0.5</v>
      </c>
      <c r="Z348" s="85"/>
      <c r="AA348" s="76"/>
      <c r="AB348" s="77"/>
      <c r="AC348" s="78"/>
    </row>
    <row r="349" spans="1:29" ht="27" hidden="1" customHeight="1" x14ac:dyDescent="0.2">
      <c r="A349" s="117" t="s">
        <v>1697</v>
      </c>
      <c r="B349" s="118" t="e">
        <f t="shared" si="44"/>
        <v>#VALUE!</v>
      </c>
      <c r="C349" s="118" t="s">
        <v>612</v>
      </c>
      <c r="D349" s="113">
        <v>39156</v>
      </c>
      <c r="E349" s="84">
        <v>39234</v>
      </c>
      <c r="F349" s="84">
        <f t="shared" si="45"/>
        <v>42887</v>
      </c>
      <c r="G349" s="229">
        <v>300</v>
      </c>
      <c r="H349" s="118" t="s">
        <v>1311</v>
      </c>
      <c r="I349" s="71" t="s">
        <v>684</v>
      </c>
      <c r="J349" s="79"/>
      <c r="K349" s="55">
        <f t="shared" si="46"/>
        <v>2017</v>
      </c>
      <c r="L349" s="80"/>
      <c r="M349" s="80"/>
      <c r="N349" s="73" t="s">
        <v>1698</v>
      </c>
      <c r="O349" s="73" t="s">
        <v>1313</v>
      </c>
      <c r="P349" s="74" t="s">
        <v>1699</v>
      </c>
      <c r="Q349" s="75" t="s">
        <v>1700</v>
      </c>
      <c r="R349" s="230">
        <v>1180</v>
      </c>
      <c r="S349" s="230">
        <v>30900</v>
      </c>
      <c r="T349" s="230">
        <v>32080</v>
      </c>
      <c r="U349" s="231">
        <v>600</v>
      </c>
      <c r="V349" s="230"/>
      <c r="W349" s="230"/>
      <c r="X349" s="231"/>
      <c r="Y349" s="85">
        <v>0.5</v>
      </c>
      <c r="Z349" s="85"/>
      <c r="AA349" s="76"/>
      <c r="AB349" s="77"/>
      <c r="AC349" s="78"/>
    </row>
    <row r="350" spans="1:29" ht="27" hidden="1" customHeight="1" x14ac:dyDescent="0.2">
      <c r="A350" s="117" t="s">
        <v>1701</v>
      </c>
      <c r="B350" s="118" t="e">
        <f t="shared" si="44"/>
        <v>#VALUE!</v>
      </c>
      <c r="C350" s="118" t="s">
        <v>612</v>
      </c>
      <c r="D350" s="113">
        <v>39156</v>
      </c>
      <c r="E350" s="84">
        <v>39234</v>
      </c>
      <c r="F350" s="84">
        <f t="shared" si="45"/>
        <v>42887</v>
      </c>
      <c r="G350" s="229">
        <v>460</v>
      </c>
      <c r="H350" s="71" t="s">
        <v>1702</v>
      </c>
      <c r="I350" s="71" t="s">
        <v>1703</v>
      </c>
      <c r="J350" s="79"/>
      <c r="K350" s="55">
        <f t="shared" si="46"/>
        <v>2017</v>
      </c>
      <c r="L350" s="80"/>
      <c r="M350" s="80"/>
      <c r="N350" s="73" t="s">
        <v>1704</v>
      </c>
      <c r="O350" s="73" t="s">
        <v>1705</v>
      </c>
      <c r="P350" s="74" t="s">
        <v>1706</v>
      </c>
      <c r="Q350" s="75" t="s">
        <v>1707</v>
      </c>
      <c r="R350" s="230">
        <v>1740</v>
      </c>
      <c r="S350" s="230">
        <v>0</v>
      </c>
      <c r="T350" s="230">
        <v>1740</v>
      </c>
      <c r="U350" s="231">
        <v>920</v>
      </c>
      <c r="V350" s="230"/>
      <c r="W350" s="230"/>
      <c r="X350" s="231"/>
      <c r="Y350" s="85">
        <v>0.5</v>
      </c>
      <c r="Z350" s="85"/>
      <c r="AA350" s="76"/>
      <c r="AB350" s="77"/>
      <c r="AC350" s="78"/>
    </row>
    <row r="351" spans="1:29" ht="40" hidden="1" customHeight="1" x14ac:dyDescent="0.2">
      <c r="A351" s="117" t="s">
        <v>1708</v>
      </c>
      <c r="B351" s="118" t="e">
        <f t="shared" si="44"/>
        <v>#VALUE!</v>
      </c>
      <c r="C351" s="118" t="s">
        <v>612</v>
      </c>
      <c r="D351" s="113">
        <v>39156</v>
      </c>
      <c r="E351" s="84">
        <v>39234</v>
      </c>
      <c r="F351" s="84">
        <f t="shared" si="45"/>
        <v>42887</v>
      </c>
      <c r="G351" s="229">
        <v>597.73</v>
      </c>
      <c r="H351" s="71" t="s">
        <v>1702</v>
      </c>
      <c r="I351" s="71" t="s">
        <v>1703</v>
      </c>
      <c r="J351" s="79"/>
      <c r="K351" s="55">
        <f t="shared" si="46"/>
        <v>2017</v>
      </c>
      <c r="L351" s="80"/>
      <c r="M351" s="80"/>
      <c r="N351" s="73" t="s">
        <v>1704</v>
      </c>
      <c r="O351" s="73" t="s">
        <v>1705</v>
      </c>
      <c r="P351" s="74" t="s">
        <v>1709</v>
      </c>
      <c r="Q351" s="75" t="s">
        <v>1710</v>
      </c>
      <c r="R351" s="230">
        <v>2223</v>
      </c>
      <c r="S351" s="230">
        <v>1196</v>
      </c>
      <c r="T351" s="230">
        <v>3419</v>
      </c>
      <c r="U351" s="231">
        <v>1196</v>
      </c>
      <c r="V351" s="230"/>
      <c r="W351" s="230"/>
      <c r="X351" s="231"/>
      <c r="Y351" s="85">
        <v>0.5</v>
      </c>
      <c r="Z351" s="85"/>
      <c r="AA351" s="76"/>
      <c r="AB351" s="77"/>
      <c r="AC351" s="78"/>
    </row>
    <row r="352" spans="1:29" ht="40" hidden="1" customHeight="1" x14ac:dyDescent="0.2">
      <c r="A352" s="117" t="s">
        <v>1711</v>
      </c>
      <c r="B352" s="118" t="e">
        <f t="shared" si="44"/>
        <v>#VALUE!</v>
      </c>
      <c r="C352" s="118" t="s">
        <v>612</v>
      </c>
      <c r="D352" s="113">
        <v>39156</v>
      </c>
      <c r="E352" s="84">
        <v>39234</v>
      </c>
      <c r="F352" s="84">
        <f t="shared" si="45"/>
        <v>42887</v>
      </c>
      <c r="G352" s="229">
        <v>496.2</v>
      </c>
      <c r="H352" s="71" t="s">
        <v>1702</v>
      </c>
      <c r="I352" s="71" t="s">
        <v>1703</v>
      </c>
      <c r="J352" s="79"/>
      <c r="K352" s="55">
        <f t="shared" si="46"/>
        <v>2017</v>
      </c>
      <c r="L352" s="80"/>
      <c r="M352" s="80"/>
      <c r="N352" s="73" t="s">
        <v>1704</v>
      </c>
      <c r="O352" s="73" t="s">
        <v>1705</v>
      </c>
      <c r="P352" s="74" t="s">
        <v>1712</v>
      </c>
      <c r="Q352" s="75" t="s">
        <v>1713</v>
      </c>
      <c r="R352" s="230">
        <v>1869.5</v>
      </c>
      <c r="S352" s="230">
        <v>0</v>
      </c>
      <c r="T352" s="230">
        <v>1869.5</v>
      </c>
      <c r="U352" s="231">
        <v>994</v>
      </c>
      <c r="V352" s="230"/>
      <c r="W352" s="230"/>
      <c r="X352" s="231"/>
      <c r="Y352" s="85">
        <v>0.5</v>
      </c>
      <c r="Z352" s="85"/>
      <c r="AA352" s="76"/>
      <c r="AB352" s="77"/>
      <c r="AC352" s="78"/>
    </row>
    <row r="353" spans="1:29" hidden="1" x14ac:dyDescent="0.2">
      <c r="A353" s="117" t="s">
        <v>1714</v>
      </c>
      <c r="B353" s="118" t="e">
        <f t="shared" si="44"/>
        <v>#VALUE!</v>
      </c>
      <c r="C353" s="118" t="s">
        <v>612</v>
      </c>
      <c r="D353" s="113">
        <v>39156</v>
      </c>
      <c r="E353" s="84">
        <v>39234</v>
      </c>
      <c r="F353" s="84">
        <f t="shared" si="45"/>
        <v>42887</v>
      </c>
      <c r="G353" s="229">
        <v>303.31</v>
      </c>
      <c r="H353" s="71" t="s">
        <v>1086</v>
      </c>
      <c r="I353" s="71" t="s">
        <v>691</v>
      </c>
      <c r="J353" s="79"/>
      <c r="K353" s="55">
        <f t="shared" si="46"/>
        <v>2017</v>
      </c>
      <c r="L353" s="80"/>
      <c r="M353" s="80"/>
      <c r="N353" s="73" t="s">
        <v>1715</v>
      </c>
      <c r="O353" s="73" t="s">
        <v>1716</v>
      </c>
      <c r="P353" s="74" t="s">
        <v>1717</v>
      </c>
      <c r="Q353" s="75" t="s">
        <v>1718</v>
      </c>
      <c r="R353" s="230">
        <v>1194</v>
      </c>
      <c r="S353" s="230">
        <v>9728</v>
      </c>
      <c r="T353" s="230">
        <v>10922</v>
      </c>
      <c r="U353" s="231">
        <v>608</v>
      </c>
      <c r="V353" s="230"/>
      <c r="W353" s="230"/>
      <c r="X353" s="231"/>
      <c r="Y353" s="85">
        <v>0.5</v>
      </c>
      <c r="Z353" s="85"/>
      <c r="AA353" s="76"/>
      <c r="AB353" s="77"/>
      <c r="AC353" s="78"/>
    </row>
    <row r="354" spans="1:29" hidden="1" x14ac:dyDescent="0.2">
      <c r="A354" s="117" t="s">
        <v>1719</v>
      </c>
      <c r="B354" s="118" t="e">
        <f t="shared" si="44"/>
        <v>#VALUE!</v>
      </c>
      <c r="C354" s="118" t="s">
        <v>612</v>
      </c>
      <c r="D354" s="113">
        <v>39156</v>
      </c>
      <c r="E354" s="84">
        <v>39234</v>
      </c>
      <c r="F354" s="84">
        <f t="shared" si="45"/>
        <v>42887</v>
      </c>
      <c r="G354" s="229">
        <v>191.77</v>
      </c>
      <c r="H354" s="71" t="s">
        <v>1086</v>
      </c>
      <c r="I354" s="71" t="s">
        <v>691</v>
      </c>
      <c r="J354" s="238" t="s">
        <v>1720</v>
      </c>
      <c r="K354" s="55">
        <f t="shared" si="46"/>
        <v>2017</v>
      </c>
      <c r="L354" s="239"/>
      <c r="M354" s="239"/>
      <c r="N354" s="73" t="s">
        <v>1715</v>
      </c>
      <c r="O354" s="73" t="s">
        <v>1716</v>
      </c>
      <c r="P354" s="74" t="s">
        <v>1721</v>
      </c>
      <c r="Q354" s="75" t="s">
        <v>1722</v>
      </c>
      <c r="R354" s="230">
        <v>942</v>
      </c>
      <c r="S354" s="230">
        <v>9744</v>
      </c>
      <c r="T354" s="230">
        <v>10686</v>
      </c>
      <c r="U354" s="231">
        <v>384</v>
      </c>
      <c r="V354" s="230"/>
      <c r="W354" s="230"/>
      <c r="X354" s="231"/>
      <c r="Y354" s="85">
        <v>0.5</v>
      </c>
      <c r="Z354" s="85"/>
      <c r="AA354" s="76"/>
      <c r="AB354" s="77"/>
      <c r="AC354" s="78"/>
    </row>
    <row r="355" spans="1:29" hidden="1" x14ac:dyDescent="0.2">
      <c r="A355" s="117" t="s">
        <v>1723</v>
      </c>
      <c r="B355" s="118" t="e">
        <f t="shared" si="44"/>
        <v>#VALUE!</v>
      </c>
      <c r="C355" s="118" t="s">
        <v>612</v>
      </c>
      <c r="D355" s="113">
        <v>39156</v>
      </c>
      <c r="E355" s="84">
        <v>39234</v>
      </c>
      <c r="F355" s="84">
        <f t="shared" si="45"/>
        <v>42887</v>
      </c>
      <c r="G355" s="229">
        <v>40</v>
      </c>
      <c r="H355" s="71" t="s">
        <v>1086</v>
      </c>
      <c r="I355" s="71" t="s">
        <v>691</v>
      </c>
      <c r="J355" s="238" t="s">
        <v>1720</v>
      </c>
      <c r="K355" s="55">
        <f t="shared" si="46"/>
        <v>2017</v>
      </c>
      <c r="L355" s="239"/>
      <c r="M355" s="239"/>
      <c r="N355" s="73" t="s">
        <v>1715</v>
      </c>
      <c r="O355" s="73" t="s">
        <v>1716</v>
      </c>
      <c r="P355" s="74" t="s">
        <v>1724</v>
      </c>
      <c r="Q355" s="75" t="s">
        <v>1725</v>
      </c>
      <c r="R355" s="230">
        <v>403</v>
      </c>
      <c r="S355" s="230">
        <v>4524</v>
      </c>
      <c r="T355" s="230">
        <v>4927</v>
      </c>
      <c r="U355" s="231">
        <v>80</v>
      </c>
      <c r="V355" s="230"/>
      <c r="W355" s="230"/>
      <c r="X355" s="231"/>
      <c r="Y355" s="85">
        <v>0.5</v>
      </c>
      <c r="Z355" s="85"/>
      <c r="AA355" s="76"/>
      <c r="AB355" s="77"/>
      <c r="AC355" s="78"/>
    </row>
    <row r="356" spans="1:29" ht="27" hidden="1" customHeight="1" x14ac:dyDescent="0.2">
      <c r="A356" s="117" t="s">
        <v>1726</v>
      </c>
      <c r="B356" s="118" t="e">
        <f t="shared" si="44"/>
        <v>#VALUE!</v>
      </c>
      <c r="C356" s="118" t="s">
        <v>612</v>
      </c>
      <c r="D356" s="113">
        <v>39156</v>
      </c>
      <c r="E356" s="84">
        <v>39234</v>
      </c>
      <c r="F356" s="84">
        <f t="shared" si="45"/>
        <v>42887</v>
      </c>
      <c r="G356" s="229">
        <v>587.42999999999995</v>
      </c>
      <c r="H356" s="71" t="s">
        <v>1086</v>
      </c>
      <c r="I356" s="71" t="s">
        <v>691</v>
      </c>
      <c r="J356" s="248"/>
      <c r="K356" s="55">
        <f t="shared" si="46"/>
        <v>2017</v>
      </c>
      <c r="L356" s="249"/>
      <c r="M356" s="249"/>
      <c r="N356" s="73" t="s">
        <v>1715</v>
      </c>
      <c r="O356" s="73" t="s">
        <v>1716</v>
      </c>
      <c r="P356" s="74" t="s">
        <v>1727</v>
      </c>
      <c r="Q356" s="75" t="s">
        <v>1728</v>
      </c>
      <c r="R356" s="230">
        <v>2188</v>
      </c>
      <c r="S356" s="230">
        <v>37632</v>
      </c>
      <c r="T356" s="230">
        <v>39820</v>
      </c>
      <c r="U356" s="231">
        <v>1176</v>
      </c>
      <c r="V356" s="230"/>
      <c r="W356" s="230"/>
      <c r="X356" s="231"/>
      <c r="Y356" s="85">
        <v>0.5</v>
      </c>
      <c r="Z356" s="85"/>
      <c r="AA356" s="76"/>
      <c r="AB356" s="77"/>
      <c r="AC356" s="78"/>
    </row>
    <row r="357" spans="1:29" hidden="1" x14ac:dyDescent="0.2">
      <c r="A357" s="117" t="s">
        <v>1729</v>
      </c>
      <c r="B357" s="118" t="e">
        <f t="shared" si="44"/>
        <v>#VALUE!</v>
      </c>
      <c r="C357" s="118" t="s">
        <v>612</v>
      </c>
      <c r="D357" s="113">
        <v>39156</v>
      </c>
      <c r="E357" s="84">
        <v>39234</v>
      </c>
      <c r="F357" s="84">
        <f t="shared" si="45"/>
        <v>42887</v>
      </c>
      <c r="G357" s="229">
        <v>627.17999999999995</v>
      </c>
      <c r="H357" s="71" t="s">
        <v>1086</v>
      </c>
      <c r="I357" s="71" t="s">
        <v>691</v>
      </c>
      <c r="J357" s="248"/>
      <c r="K357" s="55">
        <f t="shared" si="46"/>
        <v>2017</v>
      </c>
      <c r="L357" s="249"/>
      <c r="M357" s="249"/>
      <c r="N357" s="73" t="s">
        <v>1715</v>
      </c>
      <c r="O357" s="73" t="s">
        <v>1716</v>
      </c>
      <c r="P357" s="74" t="s">
        <v>1730</v>
      </c>
      <c r="Q357" s="75" t="s">
        <v>1731</v>
      </c>
      <c r="R357" s="230">
        <v>2328</v>
      </c>
      <c r="S357" s="230">
        <v>45844</v>
      </c>
      <c r="T357" s="230">
        <v>48172</v>
      </c>
      <c r="U357" s="231">
        <v>1256</v>
      </c>
      <c r="V357" s="230"/>
      <c r="W357" s="230"/>
      <c r="X357" s="231"/>
      <c r="Y357" s="85">
        <v>0.5</v>
      </c>
      <c r="Z357" s="85"/>
      <c r="AA357" s="76"/>
      <c r="AB357" s="77"/>
      <c r="AC357" s="78"/>
    </row>
    <row r="358" spans="1:29" ht="27" hidden="1" customHeight="1" x14ac:dyDescent="0.2">
      <c r="A358" s="117" t="s">
        <v>1732</v>
      </c>
      <c r="B358" s="118" t="e">
        <f t="shared" si="44"/>
        <v>#VALUE!</v>
      </c>
      <c r="C358" s="118" t="s">
        <v>612</v>
      </c>
      <c r="D358" s="113">
        <v>39156</v>
      </c>
      <c r="E358" s="84">
        <v>39234</v>
      </c>
      <c r="F358" s="84">
        <f t="shared" si="45"/>
        <v>42887</v>
      </c>
      <c r="G358" s="229">
        <v>207.09</v>
      </c>
      <c r="H358" s="71" t="s">
        <v>1086</v>
      </c>
      <c r="I358" s="71" t="s">
        <v>691</v>
      </c>
      <c r="J358" s="248"/>
      <c r="K358" s="55">
        <f t="shared" si="46"/>
        <v>2017</v>
      </c>
      <c r="L358" s="249"/>
      <c r="M358" s="249"/>
      <c r="N358" s="73" t="s">
        <v>1715</v>
      </c>
      <c r="O358" s="73" t="s">
        <v>1716</v>
      </c>
      <c r="P358" s="74" t="s">
        <v>1733</v>
      </c>
      <c r="Q358" s="75" t="s">
        <v>1734</v>
      </c>
      <c r="R358" s="230">
        <v>858</v>
      </c>
      <c r="S358" s="230">
        <v>16224</v>
      </c>
      <c r="T358" s="230">
        <v>17082</v>
      </c>
      <c r="U358" s="231">
        <v>416</v>
      </c>
      <c r="V358" s="230"/>
      <c r="W358" s="230"/>
      <c r="X358" s="231"/>
      <c r="Y358" s="85">
        <v>0.5</v>
      </c>
      <c r="Z358" s="85"/>
      <c r="AA358" s="76"/>
      <c r="AB358" s="77"/>
      <c r="AC358" s="78"/>
    </row>
    <row r="359" spans="1:29" hidden="1" x14ac:dyDescent="0.2">
      <c r="A359" s="117" t="s">
        <v>1735</v>
      </c>
      <c r="B359" s="118" t="e">
        <f t="shared" si="44"/>
        <v>#VALUE!</v>
      </c>
      <c r="C359" s="118" t="s">
        <v>612</v>
      </c>
      <c r="D359" s="113">
        <v>39156</v>
      </c>
      <c r="E359" s="84">
        <v>39234</v>
      </c>
      <c r="F359" s="84">
        <f t="shared" si="45"/>
        <v>42887</v>
      </c>
      <c r="G359" s="229">
        <v>491.11</v>
      </c>
      <c r="H359" s="71" t="s">
        <v>1086</v>
      </c>
      <c r="I359" s="71" t="s">
        <v>691</v>
      </c>
      <c r="J359" s="248"/>
      <c r="K359" s="55">
        <f t="shared" si="46"/>
        <v>2017</v>
      </c>
      <c r="L359" s="249"/>
      <c r="M359" s="249"/>
      <c r="N359" s="73" t="s">
        <v>1715</v>
      </c>
      <c r="O359" s="73" t="s">
        <v>1736</v>
      </c>
      <c r="P359" s="74" t="s">
        <v>1737</v>
      </c>
      <c r="Q359" s="75" t="s">
        <v>1738</v>
      </c>
      <c r="R359" s="230">
        <v>1852</v>
      </c>
      <c r="S359" s="230">
        <v>2952</v>
      </c>
      <c r="T359" s="230">
        <v>4804</v>
      </c>
      <c r="U359" s="231">
        <v>984</v>
      </c>
      <c r="V359" s="230"/>
      <c r="W359" s="230"/>
      <c r="X359" s="231"/>
      <c r="Y359" s="85">
        <v>0.5</v>
      </c>
      <c r="Z359" s="85"/>
      <c r="AA359" s="76"/>
      <c r="AB359" s="77"/>
      <c r="AC359" s="78"/>
    </row>
    <row r="360" spans="1:29" hidden="1" x14ac:dyDescent="0.2">
      <c r="A360" s="117" t="s">
        <v>1739</v>
      </c>
      <c r="B360" s="118" t="e">
        <f t="shared" si="44"/>
        <v>#VALUE!</v>
      </c>
      <c r="C360" s="118" t="s">
        <v>612</v>
      </c>
      <c r="D360" s="113">
        <v>39156</v>
      </c>
      <c r="E360" s="84">
        <v>39234</v>
      </c>
      <c r="F360" s="84">
        <f t="shared" si="45"/>
        <v>42887</v>
      </c>
      <c r="G360" s="229">
        <v>163.69999999999999</v>
      </c>
      <c r="H360" s="71" t="s">
        <v>1086</v>
      </c>
      <c r="I360" s="71" t="s">
        <v>691</v>
      </c>
      <c r="J360" s="248"/>
      <c r="K360" s="55">
        <f t="shared" si="46"/>
        <v>2017</v>
      </c>
      <c r="L360" s="249"/>
      <c r="M360" s="249"/>
      <c r="N360" s="73" t="s">
        <v>1715</v>
      </c>
      <c r="O360" s="73" t="s">
        <v>1736</v>
      </c>
      <c r="P360" s="74" t="s">
        <v>1740</v>
      </c>
      <c r="Q360" s="75" t="s">
        <v>1741</v>
      </c>
      <c r="R360" s="230">
        <v>704</v>
      </c>
      <c r="S360" s="230">
        <v>9512</v>
      </c>
      <c r="T360" s="230">
        <v>10216</v>
      </c>
      <c r="U360" s="231">
        <v>328</v>
      </c>
      <c r="V360" s="230"/>
      <c r="W360" s="230"/>
      <c r="X360" s="231"/>
      <c r="Y360" s="85">
        <v>0.5</v>
      </c>
      <c r="Z360" s="85"/>
      <c r="AA360" s="76"/>
      <c r="AB360" s="77"/>
      <c r="AC360" s="78"/>
    </row>
    <row r="361" spans="1:29" hidden="1" x14ac:dyDescent="0.2">
      <c r="A361" s="117" t="s">
        <v>1742</v>
      </c>
      <c r="B361" s="118" t="e">
        <f t="shared" si="44"/>
        <v>#VALUE!</v>
      </c>
      <c r="C361" s="118" t="s">
        <v>612</v>
      </c>
      <c r="D361" s="113">
        <v>39156</v>
      </c>
      <c r="E361" s="84">
        <v>39234</v>
      </c>
      <c r="F361" s="84">
        <f t="shared" si="45"/>
        <v>42887</v>
      </c>
      <c r="G361" s="229">
        <v>168.49</v>
      </c>
      <c r="H361" s="71" t="s">
        <v>1086</v>
      </c>
      <c r="I361" s="71" t="s">
        <v>691</v>
      </c>
      <c r="J361" s="248"/>
      <c r="K361" s="55">
        <f t="shared" si="46"/>
        <v>2017</v>
      </c>
      <c r="L361" s="249"/>
      <c r="M361" s="249"/>
      <c r="N361" s="73" t="s">
        <v>1715</v>
      </c>
      <c r="O361" s="73" t="s">
        <v>1736</v>
      </c>
      <c r="P361" s="74" t="s">
        <v>1743</v>
      </c>
      <c r="Q361" s="75" t="s">
        <v>1744</v>
      </c>
      <c r="R361" s="230">
        <v>721.5</v>
      </c>
      <c r="S361" s="230">
        <v>8957</v>
      </c>
      <c r="T361" s="230">
        <v>9678.5</v>
      </c>
      <c r="U361" s="231">
        <v>338</v>
      </c>
      <c r="V361" s="230"/>
      <c r="W361" s="230"/>
      <c r="X361" s="231"/>
      <c r="Y361" s="85">
        <v>0.5</v>
      </c>
      <c r="Z361" s="85"/>
      <c r="AA361" s="76"/>
      <c r="AB361" s="77"/>
      <c r="AC361" s="78"/>
    </row>
    <row r="362" spans="1:29" hidden="1" x14ac:dyDescent="0.2">
      <c r="A362" s="117" t="s">
        <v>1745</v>
      </c>
      <c r="B362" s="118" t="e">
        <f t="shared" si="44"/>
        <v>#VALUE!</v>
      </c>
      <c r="C362" s="118" t="s">
        <v>612</v>
      </c>
      <c r="D362" s="113">
        <v>39156</v>
      </c>
      <c r="E362" s="84">
        <v>39234</v>
      </c>
      <c r="F362" s="84">
        <f t="shared" si="45"/>
        <v>42887</v>
      </c>
      <c r="G362" s="229">
        <v>80.239999999999995</v>
      </c>
      <c r="H362" s="71" t="s">
        <v>1086</v>
      </c>
      <c r="I362" s="71" t="s">
        <v>691</v>
      </c>
      <c r="J362" s="248"/>
      <c r="K362" s="55">
        <f t="shared" si="46"/>
        <v>2017</v>
      </c>
      <c r="L362" s="249"/>
      <c r="M362" s="249"/>
      <c r="N362" s="73" t="s">
        <v>1715</v>
      </c>
      <c r="O362" s="73" t="s">
        <v>1746</v>
      </c>
      <c r="P362" s="74" t="s">
        <v>1747</v>
      </c>
      <c r="Q362" s="75" t="s">
        <v>1748</v>
      </c>
      <c r="R362" s="230">
        <v>413.5</v>
      </c>
      <c r="S362" s="230">
        <v>6318</v>
      </c>
      <c r="T362" s="230">
        <v>6731.5</v>
      </c>
      <c r="U362" s="231">
        <v>162</v>
      </c>
      <c r="V362" s="230"/>
      <c r="W362" s="230"/>
      <c r="X362" s="231"/>
      <c r="Y362" s="85">
        <v>0.5</v>
      </c>
      <c r="Z362" s="85"/>
      <c r="AA362" s="76"/>
      <c r="AB362" s="77"/>
      <c r="AC362" s="78"/>
    </row>
    <row r="363" spans="1:29" ht="27" hidden="1" customHeight="1" x14ac:dyDescent="0.2">
      <c r="A363" s="117" t="s">
        <v>1749</v>
      </c>
      <c r="B363" s="118" t="e">
        <f t="shared" si="44"/>
        <v>#VALUE!</v>
      </c>
      <c r="C363" s="118" t="s">
        <v>612</v>
      </c>
      <c r="D363" s="113">
        <v>39156</v>
      </c>
      <c r="E363" s="84">
        <v>39234</v>
      </c>
      <c r="F363" s="84">
        <f t="shared" si="45"/>
        <v>42887</v>
      </c>
      <c r="G363" s="229">
        <v>898.57</v>
      </c>
      <c r="H363" s="71" t="s">
        <v>1086</v>
      </c>
      <c r="I363" s="71" t="s">
        <v>691</v>
      </c>
      <c r="J363" s="238" t="s">
        <v>1750</v>
      </c>
      <c r="K363" s="55">
        <f t="shared" si="46"/>
        <v>2017</v>
      </c>
      <c r="L363" s="239"/>
      <c r="M363" s="239"/>
      <c r="N363" s="73" t="s">
        <v>1715</v>
      </c>
      <c r="O363" s="73" t="s">
        <v>1751</v>
      </c>
      <c r="P363" s="74" t="s">
        <v>1752</v>
      </c>
      <c r="Q363" s="75" t="s">
        <v>1753</v>
      </c>
      <c r="R363" s="230">
        <v>3276.5</v>
      </c>
      <c r="S363" s="230">
        <v>97092</v>
      </c>
      <c r="T363" s="230">
        <v>100368.5</v>
      </c>
      <c r="U363" s="231">
        <v>1798</v>
      </c>
      <c r="V363" s="230"/>
      <c r="W363" s="230"/>
      <c r="X363" s="231"/>
      <c r="Y363" s="85">
        <v>0.5</v>
      </c>
      <c r="Z363" s="85"/>
      <c r="AA363" s="76"/>
      <c r="AB363" s="77"/>
      <c r="AC363" s="78"/>
    </row>
    <row r="364" spans="1:29" ht="27" hidden="1" customHeight="1" x14ac:dyDescent="0.2">
      <c r="A364" s="117" t="s">
        <v>1754</v>
      </c>
      <c r="B364" s="118" t="e">
        <f t="shared" si="44"/>
        <v>#VALUE!</v>
      </c>
      <c r="C364" s="118" t="s">
        <v>612</v>
      </c>
      <c r="D364" s="113">
        <v>39156</v>
      </c>
      <c r="E364" s="84">
        <v>39234</v>
      </c>
      <c r="F364" s="84">
        <f t="shared" si="45"/>
        <v>42887</v>
      </c>
      <c r="G364" s="229">
        <v>158.91</v>
      </c>
      <c r="H364" s="71" t="s">
        <v>1086</v>
      </c>
      <c r="I364" s="71" t="s">
        <v>691</v>
      </c>
      <c r="J364" s="238" t="s">
        <v>1750</v>
      </c>
      <c r="K364" s="55">
        <f t="shared" si="46"/>
        <v>2017</v>
      </c>
      <c r="L364" s="239"/>
      <c r="M364" s="239"/>
      <c r="N364" s="73" t="s">
        <v>1715</v>
      </c>
      <c r="O364" s="73" t="s">
        <v>1751</v>
      </c>
      <c r="P364" s="74" t="s">
        <v>1755</v>
      </c>
      <c r="Q364" s="75" t="s">
        <v>1756</v>
      </c>
      <c r="R364" s="230">
        <v>686.5</v>
      </c>
      <c r="S364" s="230">
        <v>25917</v>
      </c>
      <c r="T364" s="230">
        <v>26603.5</v>
      </c>
      <c r="U364" s="231">
        <v>318</v>
      </c>
      <c r="V364" s="230"/>
      <c r="W364" s="230"/>
      <c r="X364" s="231"/>
      <c r="Y364" s="85">
        <v>0.5</v>
      </c>
      <c r="Z364" s="85"/>
      <c r="AA364" s="76"/>
      <c r="AB364" s="77"/>
      <c r="AC364" s="78"/>
    </row>
    <row r="365" spans="1:29" ht="27" hidden="1" customHeight="1" x14ac:dyDescent="0.2">
      <c r="A365" s="117" t="s">
        <v>1757</v>
      </c>
      <c r="B365" s="118" t="e">
        <f t="shared" si="44"/>
        <v>#VALUE!</v>
      </c>
      <c r="C365" s="118" t="s">
        <v>612</v>
      </c>
      <c r="D365" s="113">
        <v>39156</v>
      </c>
      <c r="E365" s="84">
        <v>39234</v>
      </c>
      <c r="F365" s="84">
        <f t="shared" si="45"/>
        <v>42887</v>
      </c>
      <c r="G365" s="229">
        <v>160.13</v>
      </c>
      <c r="H365" s="71" t="s">
        <v>1086</v>
      </c>
      <c r="I365" s="71" t="s">
        <v>691</v>
      </c>
      <c r="J365" s="238" t="s">
        <v>1750</v>
      </c>
      <c r="K365" s="55">
        <f t="shared" si="46"/>
        <v>2017</v>
      </c>
      <c r="L365" s="239"/>
      <c r="M365" s="239"/>
      <c r="N365" s="73" t="s">
        <v>1715</v>
      </c>
      <c r="O365" s="73" t="s">
        <v>1751</v>
      </c>
      <c r="P365" s="74" t="s">
        <v>1758</v>
      </c>
      <c r="Q365" s="75" t="s">
        <v>1759</v>
      </c>
      <c r="R365" s="230">
        <v>693.5</v>
      </c>
      <c r="S365" s="230">
        <v>18998</v>
      </c>
      <c r="T365" s="230">
        <v>19691.5</v>
      </c>
      <c r="U365" s="231">
        <v>322</v>
      </c>
      <c r="V365" s="230"/>
      <c r="W365" s="230"/>
      <c r="X365" s="231"/>
      <c r="Y365" s="85">
        <v>0.5</v>
      </c>
      <c r="Z365" s="85"/>
      <c r="AA365" s="76"/>
      <c r="AB365" s="77"/>
      <c r="AC365" s="78"/>
    </row>
    <row r="366" spans="1:29" ht="27" hidden="1" customHeight="1" x14ac:dyDescent="0.2">
      <c r="A366" s="117" t="s">
        <v>1760</v>
      </c>
      <c r="B366" s="118" t="e">
        <f t="shared" si="44"/>
        <v>#VALUE!</v>
      </c>
      <c r="C366" s="118" t="s">
        <v>612</v>
      </c>
      <c r="D366" s="113">
        <v>39156</v>
      </c>
      <c r="E366" s="84">
        <v>39234</v>
      </c>
      <c r="F366" s="84">
        <f t="shared" si="45"/>
        <v>42887</v>
      </c>
      <c r="G366" s="229">
        <v>356.16</v>
      </c>
      <c r="H366" s="71" t="s">
        <v>1086</v>
      </c>
      <c r="I366" s="71" t="s">
        <v>691</v>
      </c>
      <c r="J366" s="238" t="s">
        <v>1750</v>
      </c>
      <c r="K366" s="55">
        <f t="shared" si="46"/>
        <v>2017</v>
      </c>
      <c r="L366" s="239"/>
      <c r="M366" s="239"/>
      <c r="N366" s="73" t="s">
        <v>1715</v>
      </c>
      <c r="O366" s="73" t="s">
        <v>1751</v>
      </c>
      <c r="P366" s="74" t="s">
        <v>1761</v>
      </c>
      <c r="Q366" s="75" t="s">
        <v>1762</v>
      </c>
      <c r="R366" s="230">
        <v>1379.5</v>
      </c>
      <c r="S366" s="230">
        <v>1428</v>
      </c>
      <c r="T366" s="230">
        <v>2807.5</v>
      </c>
      <c r="U366" s="231">
        <v>714</v>
      </c>
      <c r="V366" s="230"/>
      <c r="W366" s="230"/>
      <c r="X366" s="231"/>
      <c r="Y366" s="85">
        <v>0.5</v>
      </c>
      <c r="Z366" s="85"/>
      <c r="AA366" s="76"/>
      <c r="AB366" s="77"/>
      <c r="AC366" s="78"/>
    </row>
    <row r="367" spans="1:29" ht="27" hidden="1" customHeight="1" x14ac:dyDescent="0.2">
      <c r="A367" s="117" t="s">
        <v>1763</v>
      </c>
      <c r="B367" s="118" t="e">
        <f t="shared" si="44"/>
        <v>#VALUE!</v>
      </c>
      <c r="C367" s="118" t="s">
        <v>612</v>
      </c>
      <c r="D367" s="113">
        <v>39156</v>
      </c>
      <c r="E367" s="84">
        <v>39234</v>
      </c>
      <c r="F367" s="84">
        <f t="shared" si="45"/>
        <v>42887</v>
      </c>
      <c r="G367" s="229">
        <v>127.36</v>
      </c>
      <c r="H367" s="71" t="s">
        <v>1086</v>
      </c>
      <c r="I367" s="71" t="s">
        <v>691</v>
      </c>
      <c r="J367" s="238" t="s">
        <v>1750</v>
      </c>
      <c r="K367" s="55">
        <f t="shared" si="46"/>
        <v>2017</v>
      </c>
      <c r="L367" s="239"/>
      <c r="M367" s="239"/>
      <c r="N367" s="73" t="s">
        <v>1715</v>
      </c>
      <c r="O367" s="73" t="s">
        <v>1751</v>
      </c>
      <c r="P367" s="74" t="s">
        <v>1764</v>
      </c>
      <c r="Q367" s="75" t="s">
        <v>1765</v>
      </c>
      <c r="R367" s="230">
        <v>578</v>
      </c>
      <c r="S367" s="230">
        <v>12544</v>
      </c>
      <c r="T367" s="230">
        <v>13122</v>
      </c>
      <c r="U367" s="231">
        <v>256</v>
      </c>
      <c r="V367" s="230"/>
      <c r="W367" s="230"/>
      <c r="X367" s="231"/>
      <c r="Y367" s="85">
        <v>0.5</v>
      </c>
      <c r="Z367" s="85"/>
      <c r="AA367" s="76"/>
      <c r="AB367" s="77"/>
      <c r="AC367" s="78"/>
    </row>
    <row r="368" spans="1:29" ht="27" hidden="1" customHeight="1" x14ac:dyDescent="0.2">
      <c r="A368" s="117" t="s">
        <v>1766</v>
      </c>
      <c r="B368" s="118" t="e">
        <f t="shared" si="44"/>
        <v>#VALUE!</v>
      </c>
      <c r="C368" s="118" t="s">
        <v>612</v>
      </c>
      <c r="D368" s="113">
        <v>39156</v>
      </c>
      <c r="E368" s="84">
        <v>39234</v>
      </c>
      <c r="F368" s="84">
        <f t="shared" si="45"/>
        <v>42887</v>
      </c>
      <c r="G368" s="229">
        <v>163.47</v>
      </c>
      <c r="H368" s="71" t="s">
        <v>1086</v>
      </c>
      <c r="I368" s="71" t="s">
        <v>691</v>
      </c>
      <c r="J368" s="238" t="s">
        <v>1750</v>
      </c>
      <c r="K368" s="55">
        <f t="shared" si="46"/>
        <v>2017</v>
      </c>
      <c r="L368" s="239"/>
      <c r="M368" s="239"/>
      <c r="N368" s="73" t="s">
        <v>1715</v>
      </c>
      <c r="O368" s="73" t="s">
        <v>1751</v>
      </c>
      <c r="P368" s="74" t="s">
        <v>1767</v>
      </c>
      <c r="Q368" s="75" t="s">
        <v>1768</v>
      </c>
      <c r="R368" s="230">
        <v>704</v>
      </c>
      <c r="S368" s="230">
        <v>52152</v>
      </c>
      <c r="T368" s="230">
        <v>52856</v>
      </c>
      <c r="U368" s="231">
        <v>328</v>
      </c>
      <c r="V368" s="230"/>
      <c r="W368" s="230"/>
      <c r="X368" s="231"/>
      <c r="Y368" s="85">
        <v>0.5</v>
      </c>
      <c r="Z368" s="85"/>
      <c r="AA368" s="76"/>
      <c r="AB368" s="77"/>
      <c r="AC368" s="78"/>
    </row>
    <row r="369" spans="1:29" ht="27" hidden="1" customHeight="1" x14ac:dyDescent="0.2">
      <c r="A369" s="117" t="s">
        <v>1769</v>
      </c>
      <c r="B369" s="118" t="e">
        <f t="shared" si="44"/>
        <v>#VALUE!</v>
      </c>
      <c r="C369" s="118" t="s">
        <v>612</v>
      </c>
      <c r="D369" s="113">
        <v>39156</v>
      </c>
      <c r="E369" s="84">
        <v>39234</v>
      </c>
      <c r="F369" s="84">
        <f t="shared" si="45"/>
        <v>42887</v>
      </c>
      <c r="G369" s="229">
        <v>78.67</v>
      </c>
      <c r="H369" s="71" t="s">
        <v>1086</v>
      </c>
      <c r="I369" s="71" t="s">
        <v>691</v>
      </c>
      <c r="J369" s="238" t="s">
        <v>1750</v>
      </c>
      <c r="K369" s="55">
        <f t="shared" si="46"/>
        <v>2017</v>
      </c>
      <c r="L369" s="239"/>
      <c r="M369" s="239"/>
      <c r="N369" s="73" t="s">
        <v>1715</v>
      </c>
      <c r="O369" s="73" t="s">
        <v>1770</v>
      </c>
      <c r="P369" s="74" t="s">
        <v>1771</v>
      </c>
      <c r="Q369" s="75" t="s">
        <v>1772</v>
      </c>
      <c r="R369" s="230">
        <v>406.5</v>
      </c>
      <c r="S369" s="230">
        <v>5372</v>
      </c>
      <c r="T369" s="230">
        <v>5778.5</v>
      </c>
      <c r="U369" s="231">
        <v>158</v>
      </c>
      <c r="V369" s="230"/>
      <c r="W369" s="230"/>
      <c r="X369" s="231"/>
      <c r="Y369" s="85">
        <v>0.5</v>
      </c>
      <c r="Z369" s="85"/>
      <c r="AA369" s="76"/>
      <c r="AB369" s="77"/>
      <c r="AC369" s="78"/>
    </row>
    <row r="370" spans="1:29" hidden="1" x14ac:dyDescent="0.2">
      <c r="A370" s="117" t="s">
        <v>1773</v>
      </c>
      <c r="B370" s="118" t="e">
        <f t="shared" si="44"/>
        <v>#VALUE!</v>
      </c>
      <c r="C370" s="118" t="s">
        <v>612</v>
      </c>
      <c r="D370" s="113">
        <v>39156</v>
      </c>
      <c r="E370" s="84">
        <v>39234</v>
      </c>
      <c r="F370" s="84">
        <f t="shared" si="45"/>
        <v>42887</v>
      </c>
      <c r="G370" s="229">
        <v>359.38</v>
      </c>
      <c r="H370" s="71" t="s">
        <v>1774</v>
      </c>
      <c r="I370" s="71" t="s">
        <v>691</v>
      </c>
      <c r="J370" s="72" t="s">
        <v>1414</v>
      </c>
      <c r="K370" s="55">
        <f t="shared" si="46"/>
        <v>2017</v>
      </c>
      <c r="L370" s="81"/>
      <c r="M370" s="81"/>
      <c r="N370" s="73" t="s">
        <v>1092</v>
      </c>
      <c r="O370" s="73" t="s">
        <v>1775</v>
      </c>
      <c r="P370" s="74" t="s">
        <v>1776</v>
      </c>
      <c r="Q370" s="75" t="s">
        <v>1777</v>
      </c>
      <c r="R370" s="230">
        <v>1390</v>
      </c>
      <c r="S370" s="230">
        <v>0</v>
      </c>
      <c r="T370" s="230">
        <v>1390</v>
      </c>
      <c r="U370" s="231">
        <v>720</v>
      </c>
      <c r="V370" s="230"/>
      <c r="W370" s="230"/>
      <c r="X370" s="231"/>
      <c r="Y370" s="85">
        <v>0.5</v>
      </c>
      <c r="Z370" s="85"/>
      <c r="AA370" s="76"/>
      <c r="AB370" s="77"/>
      <c r="AC370" s="78"/>
    </row>
    <row r="371" spans="1:29" hidden="1" x14ac:dyDescent="0.2">
      <c r="A371" s="117" t="s">
        <v>1778</v>
      </c>
      <c r="B371" s="118" t="e">
        <f t="shared" si="44"/>
        <v>#VALUE!</v>
      </c>
      <c r="C371" s="118" t="s">
        <v>612</v>
      </c>
      <c r="D371" s="113">
        <v>39156</v>
      </c>
      <c r="E371" s="84">
        <v>39234</v>
      </c>
      <c r="F371" s="84">
        <f t="shared" si="45"/>
        <v>42887</v>
      </c>
      <c r="G371" s="229">
        <v>400</v>
      </c>
      <c r="H371" s="71" t="s">
        <v>1774</v>
      </c>
      <c r="I371" s="71" t="s">
        <v>691</v>
      </c>
      <c r="J371" s="72" t="s">
        <v>1414</v>
      </c>
      <c r="K371" s="55">
        <f t="shared" si="46"/>
        <v>2017</v>
      </c>
      <c r="L371" s="81"/>
      <c r="M371" s="81"/>
      <c r="N371" s="73" t="s">
        <v>1092</v>
      </c>
      <c r="O371" s="73" t="s">
        <v>1775</v>
      </c>
      <c r="P371" s="74" t="s">
        <v>1779</v>
      </c>
      <c r="Q371" s="75" t="s">
        <v>1780</v>
      </c>
      <c r="R371" s="230">
        <v>1530</v>
      </c>
      <c r="S371" s="230">
        <v>0</v>
      </c>
      <c r="T371" s="230">
        <v>1530</v>
      </c>
      <c r="U371" s="231">
        <v>800</v>
      </c>
      <c r="V371" s="230"/>
      <c r="W371" s="230"/>
      <c r="X371" s="231"/>
      <c r="Y371" s="85">
        <v>0.5</v>
      </c>
      <c r="Z371" s="85"/>
      <c r="AA371" s="76"/>
      <c r="AB371" s="77"/>
      <c r="AC371" s="78"/>
    </row>
    <row r="372" spans="1:29" ht="40" hidden="1" customHeight="1" x14ac:dyDescent="0.2">
      <c r="A372" s="117" t="s">
        <v>1781</v>
      </c>
      <c r="B372" s="118" t="e">
        <f t="shared" si="44"/>
        <v>#VALUE!</v>
      </c>
      <c r="C372" s="118" t="s">
        <v>612</v>
      </c>
      <c r="D372" s="113">
        <v>39156</v>
      </c>
      <c r="E372" s="84">
        <v>39234</v>
      </c>
      <c r="F372" s="84">
        <f t="shared" si="45"/>
        <v>42887</v>
      </c>
      <c r="G372" s="229">
        <v>549.6</v>
      </c>
      <c r="H372" s="71" t="s">
        <v>1005</v>
      </c>
      <c r="I372" s="71" t="s">
        <v>691</v>
      </c>
      <c r="J372" s="72" t="s">
        <v>1414</v>
      </c>
      <c r="K372" s="55">
        <f t="shared" si="46"/>
        <v>2017</v>
      </c>
      <c r="L372" s="81"/>
      <c r="M372" s="81"/>
      <c r="N372" s="73" t="s">
        <v>1092</v>
      </c>
      <c r="O372" s="73" t="s">
        <v>1775</v>
      </c>
      <c r="P372" s="74" t="s">
        <v>1782</v>
      </c>
      <c r="Q372" s="75" t="s">
        <v>1783</v>
      </c>
      <c r="R372" s="230">
        <v>2055</v>
      </c>
      <c r="S372" s="230">
        <v>0</v>
      </c>
      <c r="T372" s="230">
        <v>2055</v>
      </c>
      <c r="U372" s="231">
        <v>1100</v>
      </c>
      <c r="V372" s="230"/>
      <c r="W372" s="230"/>
      <c r="X372" s="231"/>
      <c r="Y372" s="85">
        <v>0.5</v>
      </c>
      <c r="Z372" s="85"/>
      <c r="AA372" s="76"/>
      <c r="AB372" s="77"/>
      <c r="AC372" s="78"/>
    </row>
    <row r="373" spans="1:29" ht="40" hidden="1" customHeight="1" x14ac:dyDescent="0.2">
      <c r="A373" s="117" t="s">
        <v>1784</v>
      </c>
      <c r="B373" s="118" t="e">
        <f t="shared" si="44"/>
        <v>#VALUE!</v>
      </c>
      <c r="C373" s="118" t="s">
        <v>612</v>
      </c>
      <c r="D373" s="113">
        <v>39156</v>
      </c>
      <c r="E373" s="84">
        <v>39234</v>
      </c>
      <c r="F373" s="84">
        <f t="shared" si="45"/>
        <v>42887</v>
      </c>
      <c r="G373" s="229">
        <v>478.69</v>
      </c>
      <c r="H373" s="71" t="s">
        <v>1005</v>
      </c>
      <c r="I373" s="71" t="s">
        <v>691</v>
      </c>
      <c r="J373" s="72" t="s">
        <v>1414</v>
      </c>
      <c r="K373" s="55">
        <f t="shared" si="46"/>
        <v>2017</v>
      </c>
      <c r="L373" s="81"/>
      <c r="M373" s="81"/>
      <c r="N373" s="73" t="s">
        <v>1092</v>
      </c>
      <c r="O373" s="73" t="s">
        <v>1775</v>
      </c>
      <c r="P373" s="74" t="s">
        <v>1785</v>
      </c>
      <c r="Q373" s="75" t="s">
        <v>1786</v>
      </c>
      <c r="R373" s="230">
        <v>1806.5</v>
      </c>
      <c r="S373" s="230">
        <v>0</v>
      </c>
      <c r="T373" s="230">
        <v>1806.5</v>
      </c>
      <c r="U373" s="231">
        <v>958</v>
      </c>
      <c r="V373" s="230"/>
      <c r="W373" s="230"/>
      <c r="X373" s="231"/>
      <c r="Y373" s="85">
        <v>0.5</v>
      </c>
      <c r="Z373" s="85"/>
      <c r="AA373" s="76"/>
      <c r="AB373" s="77"/>
      <c r="AC373" s="78"/>
    </row>
    <row r="374" spans="1:29" hidden="1" x14ac:dyDescent="0.2">
      <c r="A374" s="117" t="s">
        <v>1787</v>
      </c>
      <c r="B374" s="118" t="e">
        <f t="shared" si="44"/>
        <v>#VALUE!</v>
      </c>
      <c r="C374" s="118" t="s">
        <v>612</v>
      </c>
      <c r="D374" s="113">
        <v>39156</v>
      </c>
      <c r="E374" s="84">
        <v>39234</v>
      </c>
      <c r="F374" s="84">
        <f t="shared" si="45"/>
        <v>42887</v>
      </c>
      <c r="G374" s="229">
        <v>645.6</v>
      </c>
      <c r="H374" s="71" t="s">
        <v>1005</v>
      </c>
      <c r="I374" s="71" t="s">
        <v>691</v>
      </c>
      <c r="J374" s="72" t="s">
        <v>1414</v>
      </c>
      <c r="K374" s="55">
        <f t="shared" si="46"/>
        <v>2017</v>
      </c>
      <c r="L374" s="81"/>
      <c r="M374" s="81"/>
      <c r="N374" s="73" t="s">
        <v>1092</v>
      </c>
      <c r="O374" s="73" t="s">
        <v>1775</v>
      </c>
      <c r="P374" s="74" t="s">
        <v>725</v>
      </c>
      <c r="Q374" s="75" t="s">
        <v>1788</v>
      </c>
      <c r="R374" s="230">
        <v>2391</v>
      </c>
      <c r="S374" s="230">
        <v>0</v>
      </c>
      <c r="T374" s="230">
        <v>2391</v>
      </c>
      <c r="U374" s="231">
        <v>1292</v>
      </c>
      <c r="V374" s="230"/>
      <c r="W374" s="230"/>
      <c r="X374" s="231"/>
      <c r="Y374" s="85">
        <v>0.5</v>
      </c>
      <c r="Z374" s="85"/>
      <c r="AA374" s="76"/>
      <c r="AB374" s="77"/>
      <c r="AC374" s="78"/>
    </row>
    <row r="375" spans="1:29" hidden="1" x14ac:dyDescent="0.2">
      <c r="A375" s="117" t="s">
        <v>1789</v>
      </c>
      <c r="B375" s="118" t="e">
        <f t="shared" ref="B375:B406" si="47">IF(COUNTIF(GIS,A377),"YES","NO")</f>
        <v>#VALUE!</v>
      </c>
      <c r="C375" s="118" t="s">
        <v>612</v>
      </c>
      <c r="D375" s="113">
        <v>39156</v>
      </c>
      <c r="E375" s="84">
        <v>39234</v>
      </c>
      <c r="F375" s="84">
        <f t="shared" ref="F375:F406" si="48">DATE(YEAR(E375)+10,MONTH(E375),DAY(E375))</f>
        <v>42887</v>
      </c>
      <c r="G375" s="229">
        <v>323.12</v>
      </c>
      <c r="H375" s="71" t="s">
        <v>1005</v>
      </c>
      <c r="I375" s="71" t="s">
        <v>691</v>
      </c>
      <c r="J375" s="72" t="s">
        <v>1414</v>
      </c>
      <c r="K375" s="55">
        <f t="shared" ref="K375:K406" si="49">YEAR(F375)</f>
        <v>2017</v>
      </c>
      <c r="L375" s="81"/>
      <c r="M375" s="81"/>
      <c r="N375" s="73" t="s">
        <v>1092</v>
      </c>
      <c r="O375" s="73" t="s">
        <v>1775</v>
      </c>
      <c r="P375" s="74" t="s">
        <v>1790</v>
      </c>
      <c r="Q375" s="75" t="s">
        <v>1791</v>
      </c>
      <c r="R375" s="230">
        <v>1264</v>
      </c>
      <c r="S375" s="230">
        <v>0</v>
      </c>
      <c r="T375" s="230">
        <v>1264</v>
      </c>
      <c r="U375" s="231">
        <v>648</v>
      </c>
      <c r="V375" s="230"/>
      <c r="W375" s="230"/>
      <c r="X375" s="231"/>
      <c r="Y375" s="85">
        <v>0.5</v>
      </c>
      <c r="Z375" s="85"/>
      <c r="AA375" s="76"/>
      <c r="AB375" s="77"/>
      <c r="AC375" s="78"/>
    </row>
    <row r="376" spans="1:29" ht="40" hidden="1" customHeight="1" x14ac:dyDescent="0.2">
      <c r="A376" s="117" t="s">
        <v>1792</v>
      </c>
      <c r="B376" s="118" t="e">
        <f t="shared" si="47"/>
        <v>#VALUE!</v>
      </c>
      <c r="C376" s="118" t="s">
        <v>612</v>
      </c>
      <c r="D376" s="113">
        <v>39156</v>
      </c>
      <c r="E376" s="84">
        <v>39234</v>
      </c>
      <c r="F376" s="84">
        <f t="shared" si="48"/>
        <v>42887</v>
      </c>
      <c r="G376" s="229">
        <v>419.03</v>
      </c>
      <c r="H376" s="71" t="s">
        <v>1005</v>
      </c>
      <c r="I376" s="71" t="s">
        <v>691</v>
      </c>
      <c r="J376" s="72" t="s">
        <v>1414</v>
      </c>
      <c r="K376" s="55">
        <f t="shared" si="49"/>
        <v>2017</v>
      </c>
      <c r="L376" s="81"/>
      <c r="M376" s="81"/>
      <c r="N376" s="73" t="s">
        <v>1092</v>
      </c>
      <c r="O376" s="73" t="s">
        <v>1775</v>
      </c>
      <c r="P376" s="74" t="s">
        <v>1793</v>
      </c>
      <c r="Q376" s="75" t="s">
        <v>1794</v>
      </c>
      <c r="R376" s="230">
        <v>1600</v>
      </c>
      <c r="S376" s="230">
        <v>0</v>
      </c>
      <c r="T376" s="230">
        <v>1600</v>
      </c>
      <c r="U376" s="231">
        <v>840</v>
      </c>
      <c r="V376" s="230"/>
      <c r="W376" s="230"/>
      <c r="X376" s="231"/>
      <c r="Y376" s="85">
        <v>0.5</v>
      </c>
      <c r="Z376" s="85"/>
      <c r="AA376" s="76"/>
      <c r="AB376" s="77"/>
      <c r="AC376" s="78"/>
    </row>
    <row r="377" spans="1:29" hidden="1" x14ac:dyDescent="0.2">
      <c r="A377" s="117" t="s">
        <v>1795</v>
      </c>
      <c r="B377" s="118" t="e">
        <f t="shared" si="47"/>
        <v>#VALUE!</v>
      </c>
      <c r="C377" s="118" t="s">
        <v>612</v>
      </c>
      <c r="D377" s="113">
        <v>39156</v>
      </c>
      <c r="E377" s="84">
        <v>39234</v>
      </c>
      <c r="F377" s="84">
        <f t="shared" si="48"/>
        <v>42887</v>
      </c>
      <c r="G377" s="229">
        <v>319.8</v>
      </c>
      <c r="H377" s="71" t="s">
        <v>1005</v>
      </c>
      <c r="I377" s="71" t="s">
        <v>691</v>
      </c>
      <c r="J377" s="72" t="s">
        <v>1414</v>
      </c>
      <c r="K377" s="55">
        <f t="shared" si="49"/>
        <v>2017</v>
      </c>
      <c r="L377" s="81"/>
      <c r="M377" s="81"/>
      <c r="N377" s="73" t="s">
        <v>1092</v>
      </c>
      <c r="O377" s="73" t="s">
        <v>1775</v>
      </c>
      <c r="P377" s="74" t="s">
        <v>1796</v>
      </c>
      <c r="Q377" s="75" t="s">
        <v>1797</v>
      </c>
      <c r="R377" s="230">
        <v>1250</v>
      </c>
      <c r="S377" s="230">
        <v>0</v>
      </c>
      <c r="T377" s="230">
        <v>1250</v>
      </c>
      <c r="U377" s="231">
        <v>640</v>
      </c>
      <c r="V377" s="230"/>
      <c r="W377" s="230"/>
      <c r="X377" s="231"/>
      <c r="Y377" s="85">
        <v>0.5</v>
      </c>
      <c r="Z377" s="85"/>
      <c r="AA377" s="76"/>
      <c r="AB377" s="77"/>
      <c r="AC377" s="78"/>
    </row>
    <row r="378" spans="1:29" ht="40" hidden="1" customHeight="1" x14ac:dyDescent="0.2">
      <c r="A378" s="117" t="s">
        <v>1798</v>
      </c>
      <c r="B378" s="118" t="e">
        <f t="shared" si="47"/>
        <v>#VALUE!</v>
      </c>
      <c r="C378" s="118" t="s">
        <v>612</v>
      </c>
      <c r="D378" s="113">
        <v>39156</v>
      </c>
      <c r="E378" s="84">
        <v>39234</v>
      </c>
      <c r="F378" s="84">
        <f t="shared" si="48"/>
        <v>42887</v>
      </c>
      <c r="G378" s="229">
        <v>610</v>
      </c>
      <c r="H378" s="71" t="s">
        <v>1774</v>
      </c>
      <c r="I378" s="71" t="s">
        <v>691</v>
      </c>
      <c r="J378" s="72" t="s">
        <v>1414</v>
      </c>
      <c r="K378" s="55">
        <f t="shared" si="49"/>
        <v>2017</v>
      </c>
      <c r="L378" s="81"/>
      <c r="M378" s="81"/>
      <c r="N378" s="73" t="s">
        <v>1092</v>
      </c>
      <c r="O378" s="73" t="s">
        <v>1775</v>
      </c>
      <c r="P378" s="74" t="s">
        <v>1799</v>
      </c>
      <c r="Q378" s="75" t="s">
        <v>1800</v>
      </c>
      <c r="R378" s="230">
        <v>2265</v>
      </c>
      <c r="S378" s="230">
        <v>0</v>
      </c>
      <c r="T378" s="230">
        <v>2265</v>
      </c>
      <c r="U378" s="231">
        <v>1220</v>
      </c>
      <c r="V378" s="230"/>
      <c r="W378" s="230"/>
      <c r="X378" s="231"/>
      <c r="Y378" s="85">
        <v>0.5</v>
      </c>
      <c r="Z378" s="85"/>
      <c r="AA378" s="76"/>
      <c r="AB378" s="77"/>
      <c r="AC378" s="78"/>
    </row>
    <row r="379" spans="1:29" hidden="1" x14ac:dyDescent="0.2">
      <c r="A379" s="117" t="s">
        <v>1801</v>
      </c>
      <c r="B379" s="118" t="e">
        <f t="shared" si="47"/>
        <v>#VALUE!</v>
      </c>
      <c r="C379" s="118" t="s">
        <v>612</v>
      </c>
      <c r="D379" s="113">
        <v>39156</v>
      </c>
      <c r="E379" s="84">
        <v>39234</v>
      </c>
      <c r="F379" s="84">
        <f t="shared" si="48"/>
        <v>42887</v>
      </c>
      <c r="G379" s="229">
        <v>280.10000000000002</v>
      </c>
      <c r="H379" s="71" t="s">
        <v>1774</v>
      </c>
      <c r="I379" s="71" t="s">
        <v>691</v>
      </c>
      <c r="J379" s="72" t="s">
        <v>1414</v>
      </c>
      <c r="K379" s="55">
        <f t="shared" si="49"/>
        <v>2017</v>
      </c>
      <c r="L379" s="81"/>
      <c r="M379" s="81"/>
      <c r="N379" s="73" t="s">
        <v>1092</v>
      </c>
      <c r="O379" s="73" t="s">
        <v>1775</v>
      </c>
      <c r="P379" s="74" t="s">
        <v>1802</v>
      </c>
      <c r="Q379" s="75" t="s">
        <v>1803</v>
      </c>
      <c r="R379" s="230">
        <v>1113.5</v>
      </c>
      <c r="S379" s="230">
        <v>0</v>
      </c>
      <c r="T379" s="230">
        <v>1113.5</v>
      </c>
      <c r="U379" s="231">
        <v>562</v>
      </c>
      <c r="V379" s="230"/>
      <c r="W379" s="230"/>
      <c r="X379" s="231"/>
      <c r="Y379" s="85">
        <v>0.5</v>
      </c>
      <c r="Z379" s="85"/>
      <c r="AA379" s="76"/>
      <c r="AB379" s="77"/>
      <c r="AC379" s="78"/>
    </row>
    <row r="380" spans="1:29" hidden="1" x14ac:dyDescent="0.2">
      <c r="A380" s="117" t="s">
        <v>1804</v>
      </c>
      <c r="B380" s="118" t="e">
        <f t="shared" si="47"/>
        <v>#VALUE!</v>
      </c>
      <c r="C380" s="118" t="s">
        <v>612</v>
      </c>
      <c r="D380" s="113">
        <v>39156</v>
      </c>
      <c r="E380" s="84">
        <v>39234</v>
      </c>
      <c r="F380" s="84">
        <f t="shared" si="48"/>
        <v>42887</v>
      </c>
      <c r="G380" s="229">
        <v>240.24</v>
      </c>
      <c r="H380" s="71" t="s">
        <v>1005</v>
      </c>
      <c r="I380" s="71" t="s">
        <v>691</v>
      </c>
      <c r="J380" s="72" t="s">
        <v>1414</v>
      </c>
      <c r="K380" s="55">
        <f t="shared" si="49"/>
        <v>2017</v>
      </c>
      <c r="L380" s="81"/>
      <c r="M380" s="81"/>
      <c r="N380" s="73" t="s">
        <v>1092</v>
      </c>
      <c r="O380" s="73" t="s">
        <v>1775</v>
      </c>
      <c r="P380" s="74" t="s">
        <v>1805</v>
      </c>
      <c r="Q380" s="75" t="s">
        <v>1806</v>
      </c>
      <c r="R380" s="230">
        <v>973.5</v>
      </c>
      <c r="S380" s="230">
        <v>0</v>
      </c>
      <c r="T380" s="230">
        <v>973.5</v>
      </c>
      <c r="U380" s="231">
        <v>482</v>
      </c>
      <c r="V380" s="230"/>
      <c r="W380" s="230"/>
      <c r="X380" s="231"/>
      <c r="Y380" s="85">
        <v>0.5</v>
      </c>
      <c r="Z380" s="85"/>
      <c r="AA380" s="76"/>
      <c r="AB380" s="77"/>
      <c r="AC380" s="78"/>
    </row>
    <row r="381" spans="1:29" hidden="1" x14ac:dyDescent="0.2">
      <c r="A381" s="117" t="s">
        <v>1807</v>
      </c>
      <c r="B381" s="118" t="e">
        <f t="shared" si="47"/>
        <v>#VALUE!</v>
      </c>
      <c r="C381" s="118" t="s">
        <v>612</v>
      </c>
      <c r="D381" s="113">
        <v>39156</v>
      </c>
      <c r="E381" s="84">
        <v>39234</v>
      </c>
      <c r="F381" s="84">
        <f t="shared" si="48"/>
        <v>42887</v>
      </c>
      <c r="G381" s="229">
        <v>646.79999999999995</v>
      </c>
      <c r="H381" s="71" t="s">
        <v>1005</v>
      </c>
      <c r="I381" s="71" t="s">
        <v>691</v>
      </c>
      <c r="J381" s="72" t="s">
        <v>1414</v>
      </c>
      <c r="K381" s="55">
        <f t="shared" si="49"/>
        <v>2017</v>
      </c>
      <c r="L381" s="81"/>
      <c r="M381" s="81"/>
      <c r="N381" s="73" t="s">
        <v>1092</v>
      </c>
      <c r="O381" s="73" t="s">
        <v>1775</v>
      </c>
      <c r="P381" s="74" t="s">
        <v>1446</v>
      </c>
      <c r="Q381" s="75" t="s">
        <v>1808</v>
      </c>
      <c r="R381" s="230">
        <v>2394.5</v>
      </c>
      <c r="S381" s="230">
        <v>0</v>
      </c>
      <c r="T381" s="230">
        <v>2394.5</v>
      </c>
      <c r="U381" s="231">
        <v>1294</v>
      </c>
      <c r="V381" s="230"/>
      <c r="W381" s="230"/>
      <c r="X381" s="231"/>
      <c r="Y381" s="85">
        <v>0.5</v>
      </c>
      <c r="Z381" s="85"/>
      <c r="AA381" s="76"/>
      <c r="AB381" s="77"/>
      <c r="AC381" s="78"/>
    </row>
    <row r="382" spans="1:29" hidden="1" x14ac:dyDescent="0.2">
      <c r="A382" s="117" t="s">
        <v>1809</v>
      </c>
      <c r="B382" s="118" t="e">
        <f t="shared" si="47"/>
        <v>#VALUE!</v>
      </c>
      <c r="C382" s="118" t="s">
        <v>612</v>
      </c>
      <c r="D382" s="113">
        <v>39156</v>
      </c>
      <c r="E382" s="84">
        <v>39234</v>
      </c>
      <c r="F382" s="84">
        <f t="shared" si="48"/>
        <v>42887</v>
      </c>
      <c r="G382" s="229">
        <v>606.75</v>
      </c>
      <c r="H382" s="71" t="s">
        <v>1005</v>
      </c>
      <c r="I382" s="71" t="s">
        <v>691</v>
      </c>
      <c r="J382" s="72" t="s">
        <v>1414</v>
      </c>
      <c r="K382" s="55">
        <f t="shared" si="49"/>
        <v>2017</v>
      </c>
      <c r="L382" s="81"/>
      <c r="M382" s="81"/>
      <c r="N382" s="73" t="s">
        <v>1092</v>
      </c>
      <c r="O382" s="73" t="s">
        <v>1775</v>
      </c>
      <c r="P382" s="74" t="s">
        <v>1810</v>
      </c>
      <c r="Q382" s="75" t="s">
        <v>1811</v>
      </c>
      <c r="R382" s="230">
        <v>2254.5</v>
      </c>
      <c r="S382" s="230">
        <v>0</v>
      </c>
      <c r="T382" s="230">
        <v>2254.5</v>
      </c>
      <c r="U382" s="231">
        <v>1214</v>
      </c>
      <c r="V382" s="230"/>
      <c r="W382" s="230"/>
      <c r="X382" s="231"/>
      <c r="Y382" s="85">
        <v>0.5</v>
      </c>
      <c r="Z382" s="85"/>
      <c r="AA382" s="76"/>
      <c r="AB382" s="77"/>
      <c r="AC382" s="78"/>
    </row>
    <row r="383" spans="1:29" ht="27" hidden="1" customHeight="1" x14ac:dyDescent="0.2">
      <c r="A383" s="117" t="s">
        <v>1812</v>
      </c>
      <c r="B383" s="118" t="e">
        <f t="shared" si="47"/>
        <v>#VALUE!</v>
      </c>
      <c r="C383" s="118" t="s">
        <v>612</v>
      </c>
      <c r="D383" s="113">
        <v>39156</v>
      </c>
      <c r="E383" s="84">
        <v>39234</v>
      </c>
      <c r="F383" s="84">
        <f t="shared" si="48"/>
        <v>42887</v>
      </c>
      <c r="G383" s="229">
        <v>521.16999999999996</v>
      </c>
      <c r="H383" s="71" t="s">
        <v>1005</v>
      </c>
      <c r="I383" s="71" t="s">
        <v>691</v>
      </c>
      <c r="J383" s="72" t="s">
        <v>1414</v>
      </c>
      <c r="K383" s="55">
        <f t="shared" si="49"/>
        <v>2017</v>
      </c>
      <c r="L383" s="81"/>
      <c r="M383" s="81"/>
      <c r="N383" s="73" t="s">
        <v>1092</v>
      </c>
      <c r="O383" s="73" t="s">
        <v>1775</v>
      </c>
      <c r="P383" s="74" t="s">
        <v>1813</v>
      </c>
      <c r="Q383" s="75" t="s">
        <v>1814</v>
      </c>
      <c r="R383" s="230">
        <v>1957</v>
      </c>
      <c r="S383" s="230">
        <v>0</v>
      </c>
      <c r="T383" s="230">
        <v>1957</v>
      </c>
      <c r="U383" s="231">
        <v>1044</v>
      </c>
      <c r="V383" s="230"/>
      <c r="W383" s="230"/>
      <c r="X383" s="231"/>
      <c r="Y383" s="85">
        <v>0.5</v>
      </c>
      <c r="Z383" s="85"/>
      <c r="AA383" s="76"/>
      <c r="AB383" s="77"/>
      <c r="AC383" s="78"/>
    </row>
    <row r="384" spans="1:29" hidden="1" x14ac:dyDescent="0.2">
      <c r="A384" s="117" t="s">
        <v>1815</v>
      </c>
      <c r="B384" s="118" t="e">
        <f t="shared" si="47"/>
        <v>#VALUE!</v>
      </c>
      <c r="C384" s="118" t="s">
        <v>612</v>
      </c>
      <c r="D384" s="113">
        <v>39156</v>
      </c>
      <c r="E384" s="84">
        <v>39234</v>
      </c>
      <c r="F384" s="84">
        <f t="shared" si="48"/>
        <v>42887</v>
      </c>
      <c r="G384" s="229">
        <v>240</v>
      </c>
      <c r="H384" s="71" t="s">
        <v>1774</v>
      </c>
      <c r="I384" s="71" t="s">
        <v>691</v>
      </c>
      <c r="J384" s="72" t="s">
        <v>1414</v>
      </c>
      <c r="K384" s="55">
        <f t="shared" si="49"/>
        <v>2017</v>
      </c>
      <c r="L384" s="81"/>
      <c r="M384" s="81"/>
      <c r="N384" s="73" t="s">
        <v>1092</v>
      </c>
      <c r="O384" s="73" t="s">
        <v>1775</v>
      </c>
      <c r="P384" s="74" t="s">
        <v>1816</v>
      </c>
      <c r="Q384" s="75" t="s">
        <v>1817</v>
      </c>
      <c r="R384" s="230">
        <v>970</v>
      </c>
      <c r="S384" s="230">
        <v>0</v>
      </c>
      <c r="T384" s="230">
        <v>970</v>
      </c>
      <c r="U384" s="231">
        <v>480</v>
      </c>
      <c r="V384" s="230"/>
      <c r="W384" s="230"/>
      <c r="X384" s="231"/>
      <c r="Y384" s="85">
        <v>0.5</v>
      </c>
      <c r="Z384" s="85"/>
      <c r="AA384" s="76"/>
      <c r="AB384" s="77"/>
      <c r="AC384" s="78"/>
    </row>
    <row r="385" spans="1:29" hidden="1" x14ac:dyDescent="0.2">
      <c r="A385" s="117" t="s">
        <v>1818</v>
      </c>
      <c r="B385" s="118" t="e">
        <f t="shared" si="47"/>
        <v>#VALUE!</v>
      </c>
      <c r="C385" s="118" t="s">
        <v>612</v>
      </c>
      <c r="D385" s="113">
        <v>39156</v>
      </c>
      <c r="E385" s="84">
        <v>39234</v>
      </c>
      <c r="F385" s="84">
        <f t="shared" si="48"/>
        <v>42887</v>
      </c>
      <c r="G385" s="229">
        <v>399.5</v>
      </c>
      <c r="H385" s="71" t="s">
        <v>1774</v>
      </c>
      <c r="I385" s="71" t="s">
        <v>691</v>
      </c>
      <c r="J385" s="72" t="s">
        <v>1414</v>
      </c>
      <c r="K385" s="55">
        <f t="shared" si="49"/>
        <v>2017</v>
      </c>
      <c r="L385" s="81"/>
      <c r="M385" s="81"/>
      <c r="N385" s="73" t="s">
        <v>1092</v>
      </c>
      <c r="O385" s="73" t="s">
        <v>1775</v>
      </c>
      <c r="P385" s="74" t="s">
        <v>1819</v>
      </c>
      <c r="Q385" s="75" t="s">
        <v>1820</v>
      </c>
      <c r="R385" s="230">
        <v>1530</v>
      </c>
      <c r="S385" s="230">
        <v>0</v>
      </c>
      <c r="T385" s="230">
        <v>1530</v>
      </c>
      <c r="U385" s="231">
        <v>800</v>
      </c>
      <c r="V385" s="230"/>
      <c r="W385" s="230"/>
      <c r="X385" s="231"/>
      <c r="Y385" s="85">
        <v>0.5</v>
      </c>
      <c r="Z385" s="85"/>
      <c r="AA385" s="76"/>
      <c r="AB385" s="77"/>
      <c r="AC385" s="78"/>
    </row>
    <row r="386" spans="1:29" hidden="1" x14ac:dyDescent="0.2">
      <c r="A386" s="117" t="s">
        <v>1821</v>
      </c>
      <c r="B386" s="118" t="e">
        <f t="shared" si="47"/>
        <v>#VALUE!</v>
      </c>
      <c r="C386" s="118" t="s">
        <v>612</v>
      </c>
      <c r="D386" s="113">
        <v>39156</v>
      </c>
      <c r="E386" s="84">
        <v>39234</v>
      </c>
      <c r="F386" s="84">
        <f t="shared" si="48"/>
        <v>42887</v>
      </c>
      <c r="G386" s="229">
        <v>638.4</v>
      </c>
      <c r="H386" s="71" t="s">
        <v>1774</v>
      </c>
      <c r="I386" s="71" t="s">
        <v>691</v>
      </c>
      <c r="J386" s="72" t="s">
        <v>1414</v>
      </c>
      <c r="K386" s="55">
        <f t="shared" si="49"/>
        <v>2017</v>
      </c>
      <c r="L386" s="81"/>
      <c r="M386" s="81"/>
      <c r="N386" s="73" t="s">
        <v>1092</v>
      </c>
      <c r="O386" s="73" t="s">
        <v>1775</v>
      </c>
      <c r="P386" s="74" t="s">
        <v>1822</v>
      </c>
      <c r="Q386" s="75" t="s">
        <v>1823</v>
      </c>
      <c r="R386" s="230">
        <v>2366.5</v>
      </c>
      <c r="S386" s="230">
        <v>0</v>
      </c>
      <c r="T386" s="230">
        <v>2366.5</v>
      </c>
      <c r="U386" s="231">
        <v>1278</v>
      </c>
      <c r="V386" s="230"/>
      <c r="W386" s="230"/>
      <c r="X386" s="231"/>
      <c r="Y386" s="85">
        <v>0.5</v>
      </c>
      <c r="Z386" s="85"/>
      <c r="AA386" s="76"/>
      <c r="AB386" s="77"/>
      <c r="AC386" s="78"/>
    </row>
    <row r="387" spans="1:29" hidden="1" x14ac:dyDescent="0.2">
      <c r="A387" s="117" t="s">
        <v>1824</v>
      </c>
      <c r="B387" s="118" t="e">
        <f t="shared" si="47"/>
        <v>#VALUE!</v>
      </c>
      <c r="C387" s="118" t="s">
        <v>612</v>
      </c>
      <c r="D387" s="113">
        <v>39156</v>
      </c>
      <c r="E387" s="84">
        <v>39234</v>
      </c>
      <c r="F387" s="84">
        <f t="shared" si="48"/>
        <v>42887</v>
      </c>
      <c r="G387" s="229">
        <v>640</v>
      </c>
      <c r="H387" s="71" t="s">
        <v>1774</v>
      </c>
      <c r="I387" s="71" t="s">
        <v>691</v>
      </c>
      <c r="J387" s="72" t="s">
        <v>1414</v>
      </c>
      <c r="K387" s="55">
        <f t="shared" si="49"/>
        <v>2017</v>
      </c>
      <c r="L387" s="81"/>
      <c r="M387" s="81"/>
      <c r="N387" s="73" t="s">
        <v>1092</v>
      </c>
      <c r="O387" s="73" t="s">
        <v>1775</v>
      </c>
      <c r="P387" s="74" t="s">
        <v>1825</v>
      </c>
      <c r="Q387" s="75" t="s">
        <v>1826</v>
      </c>
      <c r="R387" s="230">
        <v>2370</v>
      </c>
      <c r="S387" s="230">
        <v>0</v>
      </c>
      <c r="T387" s="230">
        <v>2370</v>
      </c>
      <c r="U387" s="231">
        <v>1280</v>
      </c>
      <c r="V387" s="230"/>
      <c r="W387" s="230"/>
      <c r="X387" s="231"/>
      <c r="Y387" s="85">
        <v>0.5</v>
      </c>
      <c r="Z387" s="85"/>
      <c r="AA387" s="76"/>
      <c r="AB387" s="77"/>
      <c r="AC387" s="78"/>
    </row>
    <row r="388" spans="1:29" hidden="1" x14ac:dyDescent="0.2">
      <c r="A388" s="117" t="s">
        <v>1827</v>
      </c>
      <c r="B388" s="118" t="e">
        <f t="shared" si="47"/>
        <v>#VALUE!</v>
      </c>
      <c r="C388" s="118" t="s">
        <v>612</v>
      </c>
      <c r="D388" s="113">
        <v>39156</v>
      </c>
      <c r="E388" s="84">
        <v>39234</v>
      </c>
      <c r="F388" s="84">
        <f t="shared" si="48"/>
        <v>42887</v>
      </c>
      <c r="G388" s="229">
        <v>439.77</v>
      </c>
      <c r="H388" s="71" t="s">
        <v>1005</v>
      </c>
      <c r="I388" s="71" t="s">
        <v>691</v>
      </c>
      <c r="J388" s="72" t="s">
        <v>1414</v>
      </c>
      <c r="K388" s="55">
        <f t="shared" si="49"/>
        <v>2017</v>
      </c>
      <c r="L388" s="81"/>
      <c r="M388" s="81"/>
      <c r="N388" s="73" t="s">
        <v>1092</v>
      </c>
      <c r="O388" s="73" t="s">
        <v>1775</v>
      </c>
      <c r="P388" s="74" t="s">
        <v>1828</v>
      </c>
      <c r="Q388" s="75" t="s">
        <v>1829</v>
      </c>
      <c r="R388" s="230">
        <v>1670</v>
      </c>
      <c r="S388" s="230">
        <v>0</v>
      </c>
      <c r="T388" s="230">
        <v>1670</v>
      </c>
      <c r="U388" s="231">
        <v>880</v>
      </c>
      <c r="V388" s="230"/>
      <c r="W388" s="230"/>
      <c r="X388" s="231"/>
      <c r="Y388" s="85">
        <v>0.5</v>
      </c>
      <c r="Z388" s="85"/>
      <c r="AA388" s="76"/>
      <c r="AB388" s="77"/>
      <c r="AC388" s="78"/>
    </row>
    <row r="389" spans="1:29" ht="15.75" hidden="1" customHeight="1" x14ac:dyDescent="0.2">
      <c r="A389" s="117" t="s">
        <v>1830</v>
      </c>
      <c r="B389" s="118" t="e">
        <f t="shared" si="47"/>
        <v>#VALUE!</v>
      </c>
      <c r="C389" s="118" t="s">
        <v>612</v>
      </c>
      <c r="D389" s="113">
        <v>39156</v>
      </c>
      <c r="E389" s="84">
        <v>39234</v>
      </c>
      <c r="F389" s="84">
        <f t="shared" si="48"/>
        <v>42887</v>
      </c>
      <c r="G389" s="229">
        <v>480</v>
      </c>
      <c r="H389" s="71" t="s">
        <v>1005</v>
      </c>
      <c r="I389" s="71" t="s">
        <v>691</v>
      </c>
      <c r="J389" s="72" t="s">
        <v>1831</v>
      </c>
      <c r="K389" s="55">
        <f t="shared" si="49"/>
        <v>2017</v>
      </c>
      <c r="L389" s="72"/>
      <c r="M389" s="72"/>
      <c r="N389" s="73" t="s">
        <v>1092</v>
      </c>
      <c r="O389" s="73" t="s">
        <v>1775</v>
      </c>
      <c r="P389" s="74" t="s">
        <v>1832</v>
      </c>
      <c r="Q389" s="75" t="s">
        <v>1833</v>
      </c>
      <c r="R389" s="230">
        <v>2254.5</v>
      </c>
      <c r="S389" s="230">
        <v>0</v>
      </c>
      <c r="T389" s="230">
        <v>2254.5</v>
      </c>
      <c r="U389" s="231">
        <v>960</v>
      </c>
      <c r="V389" s="230"/>
      <c r="W389" s="230"/>
      <c r="X389" s="231"/>
      <c r="Y389" s="85">
        <v>0.5</v>
      </c>
      <c r="Z389" s="85"/>
      <c r="AA389" s="76"/>
      <c r="AB389" s="77"/>
      <c r="AC389" s="78"/>
    </row>
    <row r="390" spans="1:29" hidden="1" x14ac:dyDescent="0.2">
      <c r="A390" s="117" t="s">
        <v>1834</v>
      </c>
      <c r="B390" s="118" t="e">
        <f t="shared" si="47"/>
        <v>#VALUE!</v>
      </c>
      <c r="C390" s="118" t="s">
        <v>612</v>
      </c>
      <c r="D390" s="113">
        <v>39156</v>
      </c>
      <c r="E390" s="84">
        <v>39234</v>
      </c>
      <c r="F390" s="84">
        <f t="shared" si="48"/>
        <v>42887</v>
      </c>
      <c r="G390" s="229">
        <v>375.84</v>
      </c>
      <c r="H390" s="71" t="s">
        <v>1005</v>
      </c>
      <c r="I390" s="71" t="s">
        <v>691</v>
      </c>
      <c r="J390" s="72" t="s">
        <v>1414</v>
      </c>
      <c r="K390" s="55">
        <f t="shared" si="49"/>
        <v>2017</v>
      </c>
      <c r="L390" s="81"/>
      <c r="M390" s="81"/>
      <c r="N390" s="73" t="s">
        <v>1092</v>
      </c>
      <c r="O390" s="73" t="s">
        <v>1775</v>
      </c>
      <c r="P390" s="74" t="s">
        <v>1835</v>
      </c>
      <c r="Q390" s="75" t="s">
        <v>1836</v>
      </c>
      <c r="R390" s="230">
        <v>2198</v>
      </c>
      <c r="S390" s="230"/>
      <c r="T390" s="230">
        <v>2198</v>
      </c>
      <c r="U390" s="231">
        <v>752</v>
      </c>
      <c r="V390" s="230"/>
      <c r="W390" s="230"/>
      <c r="X390" s="231"/>
      <c r="Y390" s="85">
        <v>0.5</v>
      </c>
      <c r="Z390" s="85"/>
      <c r="AA390" s="76"/>
      <c r="AB390" s="77"/>
      <c r="AC390" s="78"/>
    </row>
    <row r="391" spans="1:29" hidden="1" x14ac:dyDescent="0.2">
      <c r="A391" s="117" t="s">
        <v>1837</v>
      </c>
      <c r="B391" s="118" t="e">
        <f t="shared" si="47"/>
        <v>#VALUE!</v>
      </c>
      <c r="C391" s="118" t="s">
        <v>612</v>
      </c>
      <c r="D391" s="113">
        <v>39156</v>
      </c>
      <c r="E391" s="84">
        <v>39234</v>
      </c>
      <c r="F391" s="84">
        <f t="shared" si="48"/>
        <v>42887</v>
      </c>
      <c r="G391" s="229">
        <v>633.20000000000005</v>
      </c>
      <c r="H391" s="71" t="s">
        <v>1774</v>
      </c>
      <c r="I391" s="71" t="s">
        <v>691</v>
      </c>
      <c r="J391" s="72" t="s">
        <v>1414</v>
      </c>
      <c r="K391" s="55">
        <f t="shared" si="49"/>
        <v>2017</v>
      </c>
      <c r="L391" s="81"/>
      <c r="M391" s="81"/>
      <c r="N391" s="73" t="s">
        <v>1092</v>
      </c>
      <c r="O391" s="73" t="s">
        <v>1775</v>
      </c>
      <c r="P391" s="74" t="s">
        <v>1838</v>
      </c>
      <c r="Q391" s="75" t="s">
        <v>1839</v>
      </c>
      <c r="R391" s="230">
        <v>2349</v>
      </c>
      <c r="S391" s="230">
        <v>1268</v>
      </c>
      <c r="T391" s="230">
        <v>3617</v>
      </c>
      <c r="U391" s="231">
        <v>1268</v>
      </c>
      <c r="V391" s="230"/>
      <c r="W391" s="230"/>
      <c r="X391" s="231"/>
      <c r="Y391" s="85">
        <v>0.5</v>
      </c>
      <c r="Z391" s="85"/>
      <c r="AA391" s="76"/>
      <c r="AB391" s="77"/>
      <c r="AC391" s="78"/>
    </row>
    <row r="392" spans="1:29" hidden="1" x14ac:dyDescent="0.2">
      <c r="A392" s="117" t="s">
        <v>1840</v>
      </c>
      <c r="B392" s="118" t="e">
        <f t="shared" si="47"/>
        <v>#VALUE!</v>
      </c>
      <c r="C392" s="118" t="s">
        <v>612</v>
      </c>
      <c r="D392" s="113">
        <v>39156</v>
      </c>
      <c r="E392" s="84">
        <v>39234</v>
      </c>
      <c r="F392" s="84">
        <f t="shared" si="48"/>
        <v>42887</v>
      </c>
      <c r="G392" s="229">
        <v>634.79999999999995</v>
      </c>
      <c r="H392" s="71" t="s">
        <v>1774</v>
      </c>
      <c r="I392" s="71" t="s">
        <v>691</v>
      </c>
      <c r="J392" s="72" t="s">
        <v>1414</v>
      </c>
      <c r="K392" s="55">
        <f t="shared" si="49"/>
        <v>2017</v>
      </c>
      <c r="L392" s="81"/>
      <c r="M392" s="81"/>
      <c r="N392" s="73" t="s">
        <v>1092</v>
      </c>
      <c r="O392" s="73" t="s">
        <v>1775</v>
      </c>
      <c r="P392" s="74" t="s">
        <v>1477</v>
      </c>
      <c r="Q392" s="75" t="s">
        <v>1841</v>
      </c>
      <c r="R392" s="230">
        <v>2352.5</v>
      </c>
      <c r="S392" s="230">
        <v>0</v>
      </c>
      <c r="T392" s="230">
        <v>2352.5</v>
      </c>
      <c r="U392" s="231">
        <v>1270</v>
      </c>
      <c r="V392" s="230"/>
      <c r="W392" s="230"/>
      <c r="X392" s="231"/>
      <c r="Y392" s="85">
        <v>0.5</v>
      </c>
      <c r="Z392" s="85"/>
      <c r="AA392" s="76"/>
      <c r="AB392" s="77"/>
      <c r="AC392" s="78"/>
    </row>
    <row r="393" spans="1:29" hidden="1" x14ac:dyDescent="0.2">
      <c r="A393" s="117" t="s">
        <v>1842</v>
      </c>
      <c r="B393" s="118" t="e">
        <f t="shared" si="47"/>
        <v>#VALUE!</v>
      </c>
      <c r="C393" s="118" t="s">
        <v>612</v>
      </c>
      <c r="D393" s="113">
        <v>39156</v>
      </c>
      <c r="E393" s="84">
        <v>39234</v>
      </c>
      <c r="F393" s="84">
        <f t="shared" si="48"/>
        <v>42887</v>
      </c>
      <c r="G393" s="229">
        <v>320</v>
      </c>
      <c r="H393" s="71" t="s">
        <v>816</v>
      </c>
      <c r="I393" s="71" t="s">
        <v>691</v>
      </c>
      <c r="J393" s="72" t="s">
        <v>1414</v>
      </c>
      <c r="K393" s="55">
        <f t="shared" si="49"/>
        <v>2017</v>
      </c>
      <c r="L393" s="81"/>
      <c r="M393" s="81"/>
      <c r="N393" s="73" t="s">
        <v>1092</v>
      </c>
      <c r="O393" s="73" t="s">
        <v>1843</v>
      </c>
      <c r="P393" s="74" t="s">
        <v>1844</v>
      </c>
      <c r="Q393" s="75" t="s">
        <v>1845</v>
      </c>
      <c r="R393" s="230">
        <v>1250</v>
      </c>
      <c r="S393" s="230">
        <v>640</v>
      </c>
      <c r="T393" s="230">
        <v>1890</v>
      </c>
      <c r="U393" s="231">
        <v>640</v>
      </c>
      <c r="V393" s="230"/>
      <c r="W393" s="230"/>
      <c r="X393" s="231"/>
      <c r="Y393" s="85">
        <v>0.5</v>
      </c>
      <c r="Z393" s="85"/>
      <c r="AA393" s="76"/>
      <c r="AB393" s="77"/>
      <c r="AC393" s="78"/>
    </row>
    <row r="394" spans="1:29" hidden="1" x14ac:dyDescent="0.2">
      <c r="A394" s="117" t="s">
        <v>1846</v>
      </c>
      <c r="B394" s="118" t="e">
        <f t="shared" si="47"/>
        <v>#VALUE!</v>
      </c>
      <c r="C394" s="118" t="s">
        <v>612</v>
      </c>
      <c r="D394" s="113">
        <v>39156</v>
      </c>
      <c r="E394" s="84">
        <v>39234</v>
      </c>
      <c r="F394" s="84">
        <f t="shared" si="48"/>
        <v>42887</v>
      </c>
      <c r="G394" s="229">
        <v>599.61</v>
      </c>
      <c r="H394" s="71" t="s">
        <v>816</v>
      </c>
      <c r="I394" s="71" t="s">
        <v>691</v>
      </c>
      <c r="J394" s="72" t="s">
        <v>1414</v>
      </c>
      <c r="K394" s="55">
        <f t="shared" si="49"/>
        <v>2017</v>
      </c>
      <c r="L394" s="81"/>
      <c r="M394" s="81"/>
      <c r="N394" s="73" t="s">
        <v>1092</v>
      </c>
      <c r="O394" s="73" t="s">
        <v>1843</v>
      </c>
      <c r="P394" s="74" t="s">
        <v>1847</v>
      </c>
      <c r="Q394" s="75" t="s">
        <v>1848</v>
      </c>
      <c r="R394" s="230">
        <v>2230</v>
      </c>
      <c r="S394" s="230">
        <v>0</v>
      </c>
      <c r="T394" s="230">
        <v>2230</v>
      </c>
      <c r="U394" s="231">
        <v>1200</v>
      </c>
      <c r="V394" s="230"/>
      <c r="W394" s="230"/>
      <c r="X394" s="231"/>
      <c r="Y394" s="85">
        <v>0.5</v>
      </c>
      <c r="Z394" s="85"/>
      <c r="AA394" s="76"/>
      <c r="AB394" s="77"/>
      <c r="AC394" s="78"/>
    </row>
    <row r="395" spans="1:29" hidden="1" x14ac:dyDescent="0.2">
      <c r="A395" s="117" t="s">
        <v>1849</v>
      </c>
      <c r="B395" s="118" t="e">
        <f t="shared" si="47"/>
        <v>#VALUE!</v>
      </c>
      <c r="C395" s="118" t="s">
        <v>612</v>
      </c>
      <c r="D395" s="113">
        <v>39156</v>
      </c>
      <c r="E395" s="84">
        <v>39234</v>
      </c>
      <c r="F395" s="84">
        <f t="shared" si="48"/>
        <v>42887</v>
      </c>
      <c r="G395" s="229">
        <v>641.4</v>
      </c>
      <c r="H395" s="71" t="s">
        <v>816</v>
      </c>
      <c r="I395" s="71" t="s">
        <v>691</v>
      </c>
      <c r="J395" s="72" t="s">
        <v>1414</v>
      </c>
      <c r="K395" s="55">
        <f t="shared" si="49"/>
        <v>2017</v>
      </c>
      <c r="L395" s="81"/>
      <c r="M395" s="81"/>
      <c r="N395" s="73" t="s">
        <v>1092</v>
      </c>
      <c r="O395" s="73" t="s">
        <v>1843</v>
      </c>
      <c r="P395" s="74" t="s">
        <v>1822</v>
      </c>
      <c r="Q395" s="75" t="s">
        <v>1850</v>
      </c>
      <c r="R395" s="230">
        <v>2377</v>
      </c>
      <c r="S395" s="230">
        <v>0</v>
      </c>
      <c r="T395" s="230">
        <v>2377</v>
      </c>
      <c r="U395" s="231">
        <v>1284</v>
      </c>
      <c r="V395" s="230"/>
      <c r="W395" s="230"/>
      <c r="X395" s="231"/>
      <c r="Y395" s="85">
        <v>0.5</v>
      </c>
      <c r="Z395" s="85"/>
      <c r="AA395" s="76"/>
      <c r="AB395" s="77"/>
      <c r="AC395" s="78"/>
    </row>
    <row r="396" spans="1:29" hidden="1" x14ac:dyDescent="0.2">
      <c r="A396" s="117" t="s">
        <v>1851</v>
      </c>
      <c r="B396" s="118" t="e">
        <f t="shared" si="47"/>
        <v>#VALUE!</v>
      </c>
      <c r="C396" s="118" t="s">
        <v>612</v>
      </c>
      <c r="D396" s="113">
        <v>39156</v>
      </c>
      <c r="E396" s="84">
        <v>39234</v>
      </c>
      <c r="F396" s="84">
        <f t="shared" si="48"/>
        <v>42887</v>
      </c>
      <c r="G396" s="229">
        <v>359.33</v>
      </c>
      <c r="H396" s="71" t="s">
        <v>1464</v>
      </c>
      <c r="I396" s="71" t="s">
        <v>691</v>
      </c>
      <c r="J396" s="72" t="s">
        <v>1414</v>
      </c>
      <c r="K396" s="55">
        <f t="shared" si="49"/>
        <v>2017</v>
      </c>
      <c r="L396" s="81"/>
      <c r="M396" s="81"/>
      <c r="N396" s="73" t="s">
        <v>1092</v>
      </c>
      <c r="O396" s="73" t="s">
        <v>1843</v>
      </c>
      <c r="P396" s="74" t="s">
        <v>1852</v>
      </c>
      <c r="Q396" s="75" t="s">
        <v>1853</v>
      </c>
      <c r="R396" s="230">
        <v>1390</v>
      </c>
      <c r="S396" s="230">
        <v>0</v>
      </c>
      <c r="T396" s="230">
        <v>1390</v>
      </c>
      <c r="U396" s="231">
        <v>720</v>
      </c>
      <c r="V396" s="230"/>
      <c r="W396" s="230"/>
      <c r="X396" s="231"/>
      <c r="Y396" s="85">
        <v>0.5</v>
      </c>
      <c r="Z396" s="85"/>
      <c r="AA396" s="76"/>
      <c r="AB396" s="77"/>
      <c r="AC396" s="78"/>
    </row>
    <row r="397" spans="1:29" hidden="1" x14ac:dyDescent="0.2">
      <c r="A397" s="117" t="s">
        <v>1854</v>
      </c>
      <c r="B397" s="118" t="e">
        <f t="shared" si="47"/>
        <v>#VALUE!</v>
      </c>
      <c r="C397" s="118" t="s">
        <v>612</v>
      </c>
      <c r="D397" s="113">
        <v>39156</v>
      </c>
      <c r="E397" s="84">
        <v>39234</v>
      </c>
      <c r="F397" s="84">
        <f t="shared" si="48"/>
        <v>42887</v>
      </c>
      <c r="G397" s="229">
        <v>173.38</v>
      </c>
      <c r="H397" s="71" t="s">
        <v>1464</v>
      </c>
      <c r="I397" s="71" t="s">
        <v>691</v>
      </c>
      <c r="J397" s="72" t="s">
        <v>1414</v>
      </c>
      <c r="K397" s="55">
        <f t="shared" si="49"/>
        <v>2017</v>
      </c>
      <c r="L397" s="81"/>
      <c r="M397" s="81"/>
      <c r="N397" s="73" t="s">
        <v>1092</v>
      </c>
      <c r="O397" s="73" t="s">
        <v>1843</v>
      </c>
      <c r="P397" s="74" t="s">
        <v>1855</v>
      </c>
      <c r="Q397" s="75" t="s">
        <v>1856</v>
      </c>
      <c r="R397" s="230">
        <v>739</v>
      </c>
      <c r="S397" s="230">
        <v>0</v>
      </c>
      <c r="T397" s="230">
        <v>739</v>
      </c>
      <c r="U397" s="231">
        <v>348</v>
      </c>
      <c r="V397" s="230"/>
      <c r="W397" s="230"/>
      <c r="X397" s="231"/>
      <c r="Y397" s="85">
        <v>0.5</v>
      </c>
      <c r="Z397" s="85"/>
      <c r="AA397" s="76"/>
      <c r="AB397" s="77"/>
      <c r="AC397" s="78"/>
    </row>
    <row r="398" spans="1:29" hidden="1" x14ac:dyDescent="0.2">
      <c r="A398" s="117" t="s">
        <v>1857</v>
      </c>
      <c r="B398" s="118" t="e">
        <f t="shared" si="47"/>
        <v>#VALUE!</v>
      </c>
      <c r="C398" s="118" t="s">
        <v>612</v>
      </c>
      <c r="D398" s="113">
        <v>39156</v>
      </c>
      <c r="E398" s="84">
        <v>39234</v>
      </c>
      <c r="F398" s="84">
        <f t="shared" si="48"/>
        <v>42887</v>
      </c>
      <c r="G398" s="229">
        <v>319.66000000000003</v>
      </c>
      <c r="H398" s="71" t="s">
        <v>1464</v>
      </c>
      <c r="I398" s="71" t="s">
        <v>691</v>
      </c>
      <c r="J398" s="72" t="s">
        <v>1414</v>
      </c>
      <c r="K398" s="55">
        <f t="shared" si="49"/>
        <v>2017</v>
      </c>
      <c r="L398" s="81"/>
      <c r="M398" s="81"/>
      <c r="N398" s="73" t="s">
        <v>1092</v>
      </c>
      <c r="O398" s="73" t="s">
        <v>1858</v>
      </c>
      <c r="P398" s="74" t="s">
        <v>1790</v>
      </c>
      <c r="Q398" s="75" t="s">
        <v>1859</v>
      </c>
      <c r="R398" s="230">
        <v>1250</v>
      </c>
      <c r="S398" s="230">
        <v>0</v>
      </c>
      <c r="T398" s="230">
        <v>1250</v>
      </c>
      <c r="U398" s="231">
        <v>640</v>
      </c>
      <c r="V398" s="230"/>
      <c r="W398" s="230"/>
      <c r="X398" s="231"/>
      <c r="Y398" s="85">
        <v>0.5</v>
      </c>
      <c r="Z398" s="85"/>
      <c r="AA398" s="76"/>
      <c r="AB398" s="77"/>
      <c r="AC398" s="78"/>
    </row>
    <row r="399" spans="1:29" hidden="1" x14ac:dyDescent="0.2">
      <c r="A399" s="117" t="s">
        <v>1860</v>
      </c>
      <c r="B399" s="118" t="e">
        <f t="shared" si="47"/>
        <v>#VALUE!</v>
      </c>
      <c r="C399" s="118" t="s">
        <v>612</v>
      </c>
      <c r="D399" s="113">
        <v>39156</v>
      </c>
      <c r="E399" s="84">
        <v>39234</v>
      </c>
      <c r="F399" s="84">
        <f t="shared" si="48"/>
        <v>42887</v>
      </c>
      <c r="G399" s="229">
        <v>400</v>
      </c>
      <c r="H399" s="71" t="s">
        <v>1005</v>
      </c>
      <c r="I399" s="71" t="s">
        <v>691</v>
      </c>
      <c r="J399" s="72" t="s">
        <v>1414</v>
      </c>
      <c r="K399" s="55">
        <f t="shared" si="49"/>
        <v>2017</v>
      </c>
      <c r="L399" s="81"/>
      <c r="M399" s="81"/>
      <c r="N399" s="73" t="s">
        <v>1092</v>
      </c>
      <c r="O399" s="73" t="s">
        <v>1861</v>
      </c>
      <c r="P399" s="74" t="s">
        <v>1862</v>
      </c>
      <c r="Q399" s="75" t="s">
        <v>1863</v>
      </c>
      <c r="R399" s="230">
        <v>1530</v>
      </c>
      <c r="S399" s="230">
        <v>0</v>
      </c>
      <c r="T399" s="230">
        <v>1530</v>
      </c>
      <c r="U399" s="231">
        <v>800</v>
      </c>
      <c r="V399" s="230"/>
      <c r="W399" s="230"/>
      <c r="X399" s="231"/>
      <c r="Y399" s="85">
        <v>0.5</v>
      </c>
      <c r="Z399" s="85"/>
      <c r="AA399" s="76"/>
      <c r="AB399" s="77"/>
      <c r="AC399" s="78"/>
    </row>
    <row r="400" spans="1:29" ht="40" hidden="1" customHeight="1" x14ac:dyDescent="0.2">
      <c r="A400" s="117" t="s">
        <v>1864</v>
      </c>
      <c r="B400" s="118" t="e">
        <f t="shared" si="47"/>
        <v>#VALUE!</v>
      </c>
      <c r="C400" s="118" t="s">
        <v>612</v>
      </c>
      <c r="D400" s="113">
        <v>39156</v>
      </c>
      <c r="E400" s="84">
        <v>39234</v>
      </c>
      <c r="F400" s="84">
        <f t="shared" si="48"/>
        <v>42887</v>
      </c>
      <c r="G400" s="229">
        <v>396.84</v>
      </c>
      <c r="H400" s="71" t="s">
        <v>1005</v>
      </c>
      <c r="I400" s="71" t="s">
        <v>691</v>
      </c>
      <c r="J400" s="72" t="s">
        <v>1414</v>
      </c>
      <c r="K400" s="55">
        <f t="shared" si="49"/>
        <v>2017</v>
      </c>
      <c r="L400" s="81"/>
      <c r="M400" s="81"/>
      <c r="N400" s="73" t="s">
        <v>1092</v>
      </c>
      <c r="O400" s="73" t="s">
        <v>1861</v>
      </c>
      <c r="P400" s="74" t="s">
        <v>1865</v>
      </c>
      <c r="Q400" s="75" t="s">
        <v>1866</v>
      </c>
      <c r="R400" s="230">
        <v>1519.5</v>
      </c>
      <c r="S400" s="230">
        <v>0</v>
      </c>
      <c r="T400" s="230">
        <v>1519.5</v>
      </c>
      <c r="U400" s="231">
        <v>794</v>
      </c>
      <c r="V400" s="230"/>
      <c r="W400" s="230"/>
      <c r="X400" s="231"/>
      <c r="Y400" s="85">
        <v>0.5</v>
      </c>
      <c r="Z400" s="85"/>
      <c r="AA400" s="76"/>
      <c r="AB400" s="77"/>
      <c r="AC400" s="78"/>
    </row>
    <row r="401" spans="1:29" ht="27" hidden="1" customHeight="1" x14ac:dyDescent="0.2">
      <c r="A401" s="117" t="s">
        <v>1867</v>
      </c>
      <c r="B401" s="118" t="e">
        <f t="shared" si="47"/>
        <v>#VALUE!</v>
      </c>
      <c r="C401" s="118" t="s">
        <v>612</v>
      </c>
      <c r="D401" s="113">
        <v>39156</v>
      </c>
      <c r="E401" s="84">
        <v>39234</v>
      </c>
      <c r="F401" s="84">
        <f t="shared" si="48"/>
        <v>42887</v>
      </c>
      <c r="G401" s="229">
        <v>521.95000000000005</v>
      </c>
      <c r="H401" s="71" t="s">
        <v>1005</v>
      </c>
      <c r="I401" s="71" t="s">
        <v>691</v>
      </c>
      <c r="J401" s="72" t="s">
        <v>1414</v>
      </c>
      <c r="K401" s="55">
        <f t="shared" si="49"/>
        <v>2017</v>
      </c>
      <c r="L401" s="81"/>
      <c r="M401" s="81"/>
      <c r="N401" s="73" t="s">
        <v>1092</v>
      </c>
      <c r="O401" s="73" t="s">
        <v>1861</v>
      </c>
      <c r="P401" s="74" t="s">
        <v>1868</v>
      </c>
      <c r="Q401" s="75" t="s">
        <v>1869</v>
      </c>
      <c r="R401" s="230">
        <v>1957</v>
      </c>
      <c r="S401" s="230">
        <v>0</v>
      </c>
      <c r="T401" s="230">
        <v>1957</v>
      </c>
      <c r="U401" s="231">
        <v>1044</v>
      </c>
      <c r="V401" s="230"/>
      <c r="W401" s="230"/>
      <c r="X401" s="231"/>
      <c r="Y401" s="85">
        <v>0.5</v>
      </c>
      <c r="Z401" s="85"/>
      <c r="AA401" s="76"/>
      <c r="AB401" s="77"/>
      <c r="AC401" s="78"/>
    </row>
    <row r="402" spans="1:29" ht="40" hidden="1" customHeight="1" x14ac:dyDescent="0.2">
      <c r="A402" s="117" t="s">
        <v>1870</v>
      </c>
      <c r="B402" s="118" t="e">
        <f t="shared" si="47"/>
        <v>#VALUE!</v>
      </c>
      <c r="C402" s="118" t="s">
        <v>612</v>
      </c>
      <c r="D402" s="113">
        <v>39156</v>
      </c>
      <c r="E402" s="84">
        <v>39234</v>
      </c>
      <c r="F402" s="84">
        <f t="shared" si="48"/>
        <v>42887</v>
      </c>
      <c r="G402" s="229">
        <v>595.80999999999995</v>
      </c>
      <c r="H402" s="71" t="s">
        <v>1005</v>
      </c>
      <c r="I402" s="71" t="s">
        <v>691</v>
      </c>
      <c r="J402" s="72" t="s">
        <v>1414</v>
      </c>
      <c r="K402" s="55">
        <f t="shared" si="49"/>
        <v>2017</v>
      </c>
      <c r="L402" s="81"/>
      <c r="M402" s="81"/>
      <c r="N402" s="73" t="s">
        <v>1092</v>
      </c>
      <c r="O402" s="73" t="s">
        <v>1861</v>
      </c>
      <c r="P402" s="74" t="s">
        <v>1871</v>
      </c>
      <c r="Q402" s="75" t="s">
        <v>1872</v>
      </c>
      <c r="R402" s="230">
        <v>2216</v>
      </c>
      <c r="S402" s="230">
        <v>0</v>
      </c>
      <c r="T402" s="230">
        <v>2216</v>
      </c>
      <c r="U402" s="231">
        <v>1192</v>
      </c>
      <c r="V402" s="230"/>
      <c r="W402" s="230"/>
      <c r="X402" s="231"/>
      <c r="Y402" s="85">
        <v>0.5</v>
      </c>
      <c r="Z402" s="85"/>
      <c r="AA402" s="76"/>
      <c r="AB402" s="77"/>
      <c r="AC402" s="78"/>
    </row>
    <row r="403" spans="1:29" hidden="1" x14ac:dyDescent="0.2">
      <c r="A403" s="117" t="s">
        <v>1873</v>
      </c>
      <c r="B403" s="118" t="e">
        <f t="shared" si="47"/>
        <v>#VALUE!</v>
      </c>
      <c r="C403" s="118" t="s">
        <v>612</v>
      </c>
      <c r="D403" s="113">
        <v>39156</v>
      </c>
      <c r="E403" s="84">
        <v>39234</v>
      </c>
      <c r="F403" s="84">
        <f t="shared" si="48"/>
        <v>42887</v>
      </c>
      <c r="G403" s="229">
        <v>600</v>
      </c>
      <c r="H403" s="71" t="s">
        <v>1874</v>
      </c>
      <c r="I403" s="71" t="s">
        <v>691</v>
      </c>
      <c r="J403" s="72" t="s">
        <v>1414</v>
      </c>
      <c r="K403" s="55">
        <f t="shared" si="49"/>
        <v>2017</v>
      </c>
      <c r="L403" s="81"/>
      <c r="M403" s="81"/>
      <c r="N403" s="73" t="s">
        <v>1092</v>
      </c>
      <c r="O403" s="73" t="s">
        <v>1861</v>
      </c>
      <c r="P403" s="74" t="s">
        <v>1875</v>
      </c>
      <c r="Q403" s="75" t="s">
        <v>1876</v>
      </c>
      <c r="R403" s="230">
        <v>2230</v>
      </c>
      <c r="S403" s="230">
        <v>0</v>
      </c>
      <c r="T403" s="230">
        <v>2230</v>
      </c>
      <c r="U403" s="231">
        <v>1200</v>
      </c>
      <c r="V403" s="230"/>
      <c r="W403" s="230"/>
      <c r="X403" s="231"/>
      <c r="Y403" s="85">
        <v>0.5</v>
      </c>
      <c r="Z403" s="85"/>
      <c r="AA403" s="76"/>
      <c r="AB403" s="77"/>
      <c r="AC403" s="78"/>
    </row>
    <row r="404" spans="1:29" hidden="1" x14ac:dyDescent="0.2">
      <c r="A404" s="117" t="s">
        <v>1877</v>
      </c>
      <c r="B404" s="118" t="e">
        <f t="shared" si="47"/>
        <v>#VALUE!</v>
      </c>
      <c r="C404" s="118" t="s">
        <v>612</v>
      </c>
      <c r="D404" s="113">
        <v>39156</v>
      </c>
      <c r="E404" s="84">
        <v>39234</v>
      </c>
      <c r="F404" s="84">
        <f t="shared" si="48"/>
        <v>42887</v>
      </c>
      <c r="G404" s="229">
        <v>560</v>
      </c>
      <c r="H404" s="71" t="s">
        <v>1005</v>
      </c>
      <c r="I404" s="71" t="s">
        <v>691</v>
      </c>
      <c r="J404" s="72" t="s">
        <v>1414</v>
      </c>
      <c r="K404" s="55">
        <f t="shared" si="49"/>
        <v>2017</v>
      </c>
      <c r="L404" s="81"/>
      <c r="M404" s="81"/>
      <c r="N404" s="73" t="s">
        <v>1092</v>
      </c>
      <c r="O404" s="73" t="s">
        <v>1861</v>
      </c>
      <c r="P404" s="74" t="s">
        <v>1878</v>
      </c>
      <c r="Q404" s="75" t="s">
        <v>1879</v>
      </c>
      <c r="R404" s="230">
        <v>2090</v>
      </c>
      <c r="S404" s="230">
        <v>0</v>
      </c>
      <c r="T404" s="230">
        <v>2090</v>
      </c>
      <c r="U404" s="231">
        <v>1120</v>
      </c>
      <c r="V404" s="230"/>
      <c r="W404" s="230"/>
      <c r="X404" s="231"/>
      <c r="Y404" s="85">
        <v>0.5</v>
      </c>
      <c r="Z404" s="85"/>
      <c r="AA404" s="76"/>
      <c r="AB404" s="77"/>
      <c r="AC404" s="78"/>
    </row>
    <row r="405" spans="1:29" hidden="1" x14ac:dyDescent="0.2">
      <c r="A405" s="117" t="s">
        <v>1880</v>
      </c>
      <c r="B405" s="118" t="e">
        <f t="shared" si="47"/>
        <v>#VALUE!</v>
      </c>
      <c r="C405" s="118" t="s">
        <v>612</v>
      </c>
      <c r="D405" s="113">
        <v>39156</v>
      </c>
      <c r="E405" s="84">
        <v>39234</v>
      </c>
      <c r="F405" s="84">
        <f t="shared" si="48"/>
        <v>42887</v>
      </c>
      <c r="G405" s="229">
        <v>656</v>
      </c>
      <c r="H405" s="71" t="s">
        <v>1005</v>
      </c>
      <c r="I405" s="71" t="s">
        <v>691</v>
      </c>
      <c r="J405" s="238" t="s">
        <v>1881</v>
      </c>
      <c r="K405" s="55">
        <f t="shared" si="49"/>
        <v>2017</v>
      </c>
      <c r="L405" s="239"/>
      <c r="M405" s="239"/>
      <c r="N405" s="73" t="s">
        <v>1092</v>
      </c>
      <c r="O405" s="73" t="s">
        <v>1882</v>
      </c>
      <c r="P405" s="74" t="s">
        <v>778</v>
      </c>
      <c r="Q405" s="75" t="s">
        <v>1883</v>
      </c>
      <c r="R405" s="230">
        <v>2426</v>
      </c>
      <c r="S405" s="230">
        <v>0</v>
      </c>
      <c r="T405" s="230">
        <v>2426</v>
      </c>
      <c r="U405" s="231">
        <v>984</v>
      </c>
      <c r="V405" s="230"/>
      <c r="W405" s="230"/>
      <c r="X405" s="231"/>
      <c r="Y405" s="85">
        <v>0.5</v>
      </c>
      <c r="Z405" s="85"/>
      <c r="AA405" s="76"/>
      <c r="AB405" s="77"/>
      <c r="AC405" s="78"/>
    </row>
    <row r="406" spans="1:29" hidden="1" x14ac:dyDescent="0.2">
      <c r="A406" s="117" t="s">
        <v>1884</v>
      </c>
      <c r="B406" s="118" t="e">
        <f t="shared" si="47"/>
        <v>#VALUE!</v>
      </c>
      <c r="C406" s="118" t="s">
        <v>612</v>
      </c>
      <c r="D406" s="113">
        <v>39156</v>
      </c>
      <c r="E406" s="84">
        <v>39234</v>
      </c>
      <c r="F406" s="84">
        <f t="shared" si="48"/>
        <v>42887</v>
      </c>
      <c r="G406" s="229">
        <v>640</v>
      </c>
      <c r="H406" s="71" t="s">
        <v>1005</v>
      </c>
      <c r="I406" s="71" t="s">
        <v>691</v>
      </c>
      <c r="J406" s="238" t="s">
        <v>1881</v>
      </c>
      <c r="K406" s="55">
        <f t="shared" si="49"/>
        <v>2017</v>
      </c>
      <c r="L406" s="239"/>
      <c r="M406" s="239"/>
      <c r="N406" s="73" t="s">
        <v>1092</v>
      </c>
      <c r="O406" s="73" t="s">
        <v>1882</v>
      </c>
      <c r="P406" s="74" t="s">
        <v>781</v>
      </c>
      <c r="Q406" s="75" t="s">
        <v>1885</v>
      </c>
      <c r="R406" s="230">
        <v>2370</v>
      </c>
      <c r="S406" s="230">
        <v>0</v>
      </c>
      <c r="T406" s="230">
        <v>2370</v>
      </c>
      <c r="U406" s="231">
        <v>960</v>
      </c>
      <c r="V406" s="230"/>
      <c r="W406" s="230"/>
      <c r="X406" s="231"/>
      <c r="Y406" s="85">
        <v>0.5</v>
      </c>
      <c r="Z406" s="85"/>
      <c r="AA406" s="76"/>
      <c r="AB406" s="77"/>
      <c r="AC406" s="78"/>
    </row>
    <row r="407" spans="1:29" hidden="1" x14ac:dyDescent="0.2">
      <c r="A407" s="117" t="s">
        <v>1886</v>
      </c>
      <c r="B407" s="118" t="e">
        <f t="shared" ref="B407:B426" si="50">IF(COUNTIF(GIS,A409),"YES","NO")</f>
        <v>#VALUE!</v>
      </c>
      <c r="C407" s="118" t="s">
        <v>612</v>
      </c>
      <c r="D407" s="113">
        <v>39156</v>
      </c>
      <c r="E407" s="84">
        <v>39234</v>
      </c>
      <c r="F407" s="84">
        <f t="shared" ref="F407:F426" si="51">DATE(YEAR(E407)+10,MONTH(E407),DAY(E407))</f>
        <v>42887</v>
      </c>
      <c r="G407" s="229">
        <v>521.29999999999995</v>
      </c>
      <c r="H407" s="71" t="s">
        <v>1464</v>
      </c>
      <c r="I407" s="71" t="s">
        <v>691</v>
      </c>
      <c r="J407" s="79"/>
      <c r="K407" s="55">
        <f t="shared" ref="K407:K426" si="52">YEAR(F407)</f>
        <v>2017</v>
      </c>
      <c r="L407" s="80"/>
      <c r="M407" s="80"/>
      <c r="N407" s="73" t="s">
        <v>1092</v>
      </c>
      <c r="O407" s="73" t="s">
        <v>1882</v>
      </c>
      <c r="P407" s="74" t="s">
        <v>1887</v>
      </c>
      <c r="Q407" s="75" t="s">
        <v>1888</v>
      </c>
      <c r="R407" s="230">
        <v>1957</v>
      </c>
      <c r="S407" s="230">
        <v>0</v>
      </c>
      <c r="T407" s="230">
        <v>1957</v>
      </c>
      <c r="U407" s="231">
        <v>1044</v>
      </c>
      <c r="V407" s="230"/>
      <c r="W407" s="230"/>
      <c r="X407" s="231"/>
      <c r="Y407" s="85">
        <v>0.5</v>
      </c>
      <c r="Z407" s="85"/>
      <c r="AA407" s="76"/>
      <c r="AB407" s="77"/>
      <c r="AC407" s="78"/>
    </row>
    <row r="408" spans="1:29" hidden="1" x14ac:dyDescent="0.2">
      <c r="A408" s="117" t="s">
        <v>1889</v>
      </c>
      <c r="B408" s="118" t="e">
        <f t="shared" si="50"/>
        <v>#VALUE!</v>
      </c>
      <c r="C408" s="118" t="s">
        <v>612</v>
      </c>
      <c r="D408" s="113">
        <v>39156</v>
      </c>
      <c r="E408" s="84">
        <v>39234</v>
      </c>
      <c r="F408" s="84">
        <f t="shared" si="51"/>
        <v>42887</v>
      </c>
      <c r="G408" s="229">
        <v>341.43</v>
      </c>
      <c r="H408" s="71" t="s">
        <v>1464</v>
      </c>
      <c r="I408" s="71" t="s">
        <v>691</v>
      </c>
      <c r="J408" s="72" t="s">
        <v>1414</v>
      </c>
      <c r="K408" s="55">
        <f t="shared" si="52"/>
        <v>2017</v>
      </c>
      <c r="L408" s="81"/>
      <c r="M408" s="81"/>
      <c r="N408" s="73" t="s">
        <v>1092</v>
      </c>
      <c r="O408" s="73" t="s">
        <v>1882</v>
      </c>
      <c r="P408" s="74" t="s">
        <v>1890</v>
      </c>
      <c r="Q408" s="75" t="s">
        <v>1891</v>
      </c>
      <c r="R408" s="230">
        <v>1327</v>
      </c>
      <c r="S408" s="230">
        <v>0</v>
      </c>
      <c r="T408" s="230">
        <v>1327</v>
      </c>
      <c r="U408" s="231">
        <v>684</v>
      </c>
      <c r="V408" s="230"/>
      <c r="W408" s="230"/>
      <c r="X408" s="231"/>
      <c r="Y408" s="85">
        <v>0.5</v>
      </c>
      <c r="Z408" s="85"/>
      <c r="AA408" s="76"/>
      <c r="AB408" s="77"/>
      <c r="AC408" s="78"/>
    </row>
    <row r="409" spans="1:29" hidden="1" x14ac:dyDescent="0.2">
      <c r="A409" s="117" t="s">
        <v>1892</v>
      </c>
      <c r="B409" s="118" t="e">
        <f t="shared" si="50"/>
        <v>#VALUE!</v>
      </c>
      <c r="C409" s="118" t="s">
        <v>612</v>
      </c>
      <c r="D409" s="113">
        <v>39156</v>
      </c>
      <c r="E409" s="84">
        <v>39234</v>
      </c>
      <c r="F409" s="84">
        <f t="shared" si="51"/>
        <v>42887</v>
      </c>
      <c r="G409" s="229">
        <v>686.39</v>
      </c>
      <c r="H409" s="71" t="s">
        <v>1464</v>
      </c>
      <c r="I409" s="71" t="s">
        <v>691</v>
      </c>
      <c r="J409" s="72" t="s">
        <v>1414</v>
      </c>
      <c r="K409" s="55">
        <f t="shared" si="52"/>
        <v>2017</v>
      </c>
      <c r="L409" s="81"/>
      <c r="M409" s="81"/>
      <c r="N409" s="73" t="s">
        <v>1092</v>
      </c>
      <c r="O409" s="73" t="s">
        <v>1882</v>
      </c>
      <c r="P409" s="74" t="s">
        <v>1477</v>
      </c>
      <c r="Q409" s="75" t="s">
        <v>1893</v>
      </c>
      <c r="R409" s="230">
        <v>2534.5</v>
      </c>
      <c r="S409" s="230">
        <v>0</v>
      </c>
      <c r="T409" s="230">
        <v>2534.5</v>
      </c>
      <c r="U409" s="231">
        <v>1374</v>
      </c>
      <c r="V409" s="230"/>
      <c r="W409" s="230"/>
      <c r="X409" s="231"/>
      <c r="Y409" s="85">
        <v>0.5</v>
      </c>
      <c r="Z409" s="85"/>
      <c r="AA409" s="76"/>
      <c r="AB409" s="77"/>
      <c r="AC409" s="78"/>
    </row>
    <row r="410" spans="1:29" hidden="1" x14ac:dyDescent="0.2">
      <c r="A410" s="117" t="s">
        <v>1894</v>
      </c>
      <c r="B410" s="118" t="e">
        <f t="shared" si="50"/>
        <v>#VALUE!</v>
      </c>
      <c r="C410" s="118" t="s">
        <v>612</v>
      </c>
      <c r="D410" s="113">
        <v>39156</v>
      </c>
      <c r="E410" s="84">
        <v>39234</v>
      </c>
      <c r="F410" s="84">
        <f t="shared" si="51"/>
        <v>42887</v>
      </c>
      <c r="G410" s="229">
        <v>639.6</v>
      </c>
      <c r="H410" s="71" t="s">
        <v>1464</v>
      </c>
      <c r="I410" s="71" t="s">
        <v>691</v>
      </c>
      <c r="J410" s="72" t="s">
        <v>1414</v>
      </c>
      <c r="K410" s="55">
        <f t="shared" si="52"/>
        <v>2017</v>
      </c>
      <c r="L410" s="81"/>
      <c r="M410" s="81"/>
      <c r="N410" s="73" t="s">
        <v>1092</v>
      </c>
      <c r="O410" s="73" t="s">
        <v>1895</v>
      </c>
      <c r="P410" s="74" t="s">
        <v>754</v>
      </c>
      <c r="Q410" s="75" t="s">
        <v>1896</v>
      </c>
      <c r="R410" s="230">
        <v>2370</v>
      </c>
      <c r="S410" s="230">
        <v>0</v>
      </c>
      <c r="T410" s="230">
        <v>2370</v>
      </c>
      <c r="U410" s="231">
        <v>1280</v>
      </c>
      <c r="V410" s="230"/>
      <c r="W410" s="230"/>
      <c r="X410" s="231"/>
      <c r="Y410" s="85">
        <v>0.5</v>
      </c>
      <c r="Z410" s="85"/>
      <c r="AA410" s="76"/>
      <c r="AB410" s="77"/>
      <c r="AC410" s="78"/>
    </row>
    <row r="411" spans="1:29" hidden="1" x14ac:dyDescent="0.2">
      <c r="A411" s="117" t="s">
        <v>1897</v>
      </c>
      <c r="B411" s="118" t="e">
        <f t="shared" si="50"/>
        <v>#VALUE!</v>
      </c>
      <c r="C411" s="118" t="s">
        <v>612</v>
      </c>
      <c r="D411" s="113">
        <v>39156</v>
      </c>
      <c r="E411" s="84">
        <v>39234</v>
      </c>
      <c r="F411" s="84">
        <f t="shared" si="51"/>
        <v>42887</v>
      </c>
      <c r="G411" s="229">
        <v>640.6</v>
      </c>
      <c r="H411" s="71" t="s">
        <v>1464</v>
      </c>
      <c r="I411" s="71" t="s">
        <v>691</v>
      </c>
      <c r="J411" s="72" t="s">
        <v>1414</v>
      </c>
      <c r="K411" s="55">
        <f t="shared" si="52"/>
        <v>2017</v>
      </c>
      <c r="L411" s="81"/>
      <c r="M411" s="81"/>
      <c r="N411" s="73" t="s">
        <v>1092</v>
      </c>
      <c r="O411" s="73" t="s">
        <v>1895</v>
      </c>
      <c r="P411" s="74" t="s">
        <v>1898</v>
      </c>
      <c r="Q411" s="75" t="s">
        <v>1899</v>
      </c>
      <c r="R411" s="230">
        <v>2373.5</v>
      </c>
      <c r="S411" s="230">
        <v>0</v>
      </c>
      <c r="T411" s="230">
        <v>2373.5</v>
      </c>
      <c r="U411" s="231">
        <v>1282</v>
      </c>
      <c r="V411" s="230"/>
      <c r="W411" s="230"/>
      <c r="X411" s="231"/>
      <c r="Y411" s="85">
        <v>0.5</v>
      </c>
      <c r="Z411" s="85"/>
      <c r="AA411" s="76"/>
      <c r="AB411" s="77"/>
      <c r="AC411" s="78"/>
    </row>
    <row r="412" spans="1:29" hidden="1" x14ac:dyDescent="0.2">
      <c r="A412" s="117" t="s">
        <v>1900</v>
      </c>
      <c r="B412" s="118" t="e">
        <f t="shared" si="50"/>
        <v>#VALUE!</v>
      </c>
      <c r="C412" s="118" t="s">
        <v>612</v>
      </c>
      <c r="D412" s="113">
        <v>39156</v>
      </c>
      <c r="E412" s="84">
        <v>39234</v>
      </c>
      <c r="F412" s="84">
        <f t="shared" si="51"/>
        <v>42887</v>
      </c>
      <c r="G412" s="229">
        <v>638.79999999999995</v>
      </c>
      <c r="H412" s="71" t="s">
        <v>1464</v>
      </c>
      <c r="I412" s="71" t="s">
        <v>691</v>
      </c>
      <c r="J412" s="72" t="s">
        <v>1414</v>
      </c>
      <c r="K412" s="55">
        <f t="shared" si="52"/>
        <v>2017</v>
      </c>
      <c r="L412" s="81"/>
      <c r="M412" s="81"/>
      <c r="N412" s="73" t="s">
        <v>1092</v>
      </c>
      <c r="O412" s="73" t="s">
        <v>1895</v>
      </c>
      <c r="P412" s="74" t="s">
        <v>1901</v>
      </c>
      <c r="Q412" s="75" t="s">
        <v>1902</v>
      </c>
      <c r="R412" s="230">
        <v>2366.5</v>
      </c>
      <c r="S412" s="230">
        <v>0</v>
      </c>
      <c r="T412" s="230">
        <v>2366.5</v>
      </c>
      <c r="U412" s="231">
        <v>1278</v>
      </c>
      <c r="V412" s="230"/>
      <c r="W412" s="230"/>
      <c r="X412" s="231"/>
      <c r="Y412" s="85">
        <v>0.5</v>
      </c>
      <c r="Z412" s="85"/>
      <c r="AA412" s="76"/>
      <c r="AB412" s="77"/>
      <c r="AC412" s="78"/>
    </row>
    <row r="413" spans="1:29" hidden="1" x14ac:dyDescent="0.2">
      <c r="A413" s="117" t="s">
        <v>1903</v>
      </c>
      <c r="B413" s="118" t="e">
        <f t="shared" si="50"/>
        <v>#VALUE!</v>
      </c>
      <c r="C413" s="118" t="s">
        <v>612</v>
      </c>
      <c r="D413" s="113">
        <v>39156</v>
      </c>
      <c r="E413" s="84">
        <v>39234</v>
      </c>
      <c r="F413" s="84">
        <f t="shared" si="51"/>
        <v>42887</v>
      </c>
      <c r="G413" s="229">
        <v>640.79999999999995</v>
      </c>
      <c r="H413" s="71" t="s">
        <v>1464</v>
      </c>
      <c r="I413" s="71" t="s">
        <v>691</v>
      </c>
      <c r="J413" s="72" t="s">
        <v>1414</v>
      </c>
      <c r="K413" s="55">
        <f t="shared" si="52"/>
        <v>2017</v>
      </c>
      <c r="L413" s="81"/>
      <c r="M413" s="81"/>
      <c r="N413" s="73" t="s">
        <v>1092</v>
      </c>
      <c r="O413" s="73" t="s">
        <v>1895</v>
      </c>
      <c r="P413" s="74" t="s">
        <v>1406</v>
      </c>
      <c r="Q413" s="75" t="s">
        <v>1904</v>
      </c>
      <c r="R413" s="230">
        <v>2373.5</v>
      </c>
      <c r="S413" s="230">
        <v>0</v>
      </c>
      <c r="T413" s="230">
        <v>2373.5</v>
      </c>
      <c r="U413" s="231">
        <v>1282</v>
      </c>
      <c r="V413" s="230"/>
      <c r="W413" s="230"/>
      <c r="X413" s="231"/>
      <c r="Y413" s="85">
        <v>0.5</v>
      </c>
      <c r="Z413" s="85"/>
      <c r="AA413" s="76"/>
      <c r="AB413" s="77"/>
      <c r="AC413" s="78"/>
    </row>
    <row r="414" spans="1:29" hidden="1" x14ac:dyDescent="0.2">
      <c r="A414" s="117" t="s">
        <v>1905</v>
      </c>
      <c r="B414" s="118" t="e">
        <f t="shared" si="50"/>
        <v>#VALUE!</v>
      </c>
      <c r="C414" s="118" t="s">
        <v>612</v>
      </c>
      <c r="D414" s="113">
        <v>39156</v>
      </c>
      <c r="E414" s="84">
        <v>39234</v>
      </c>
      <c r="F414" s="84">
        <f t="shared" si="51"/>
        <v>42887</v>
      </c>
      <c r="G414" s="229">
        <v>639</v>
      </c>
      <c r="H414" s="71" t="s">
        <v>1464</v>
      </c>
      <c r="I414" s="71" t="s">
        <v>691</v>
      </c>
      <c r="J414" s="72" t="s">
        <v>1414</v>
      </c>
      <c r="K414" s="55">
        <f t="shared" si="52"/>
        <v>2017</v>
      </c>
      <c r="L414" s="81"/>
      <c r="M414" s="81"/>
      <c r="N414" s="73" t="s">
        <v>1092</v>
      </c>
      <c r="O414" s="73" t="s">
        <v>1895</v>
      </c>
      <c r="P414" s="74" t="s">
        <v>1366</v>
      </c>
      <c r="Q414" s="75" t="s">
        <v>1906</v>
      </c>
      <c r="R414" s="230">
        <v>2366.5</v>
      </c>
      <c r="S414" s="230">
        <v>0</v>
      </c>
      <c r="T414" s="230">
        <v>2366.5</v>
      </c>
      <c r="U414" s="231">
        <v>1278</v>
      </c>
      <c r="V414" s="230"/>
      <c r="W414" s="230"/>
      <c r="X414" s="231"/>
      <c r="Y414" s="85">
        <v>0.5</v>
      </c>
      <c r="Z414" s="85"/>
      <c r="AA414" s="76"/>
      <c r="AB414" s="77"/>
      <c r="AC414" s="78"/>
    </row>
    <row r="415" spans="1:29" hidden="1" x14ac:dyDescent="0.2">
      <c r="A415" s="117" t="s">
        <v>1907</v>
      </c>
      <c r="B415" s="118" t="e">
        <f t="shared" si="50"/>
        <v>#VALUE!</v>
      </c>
      <c r="C415" s="118" t="s">
        <v>612</v>
      </c>
      <c r="D415" s="113">
        <v>39156</v>
      </c>
      <c r="E415" s="84">
        <v>39234</v>
      </c>
      <c r="F415" s="84">
        <f t="shared" si="51"/>
        <v>42887</v>
      </c>
      <c r="G415" s="229">
        <v>637.48</v>
      </c>
      <c r="H415" s="71" t="s">
        <v>1464</v>
      </c>
      <c r="I415" s="71" t="s">
        <v>691</v>
      </c>
      <c r="J415" s="72" t="s">
        <v>1414</v>
      </c>
      <c r="K415" s="55">
        <f t="shared" si="52"/>
        <v>2017</v>
      </c>
      <c r="L415" s="81"/>
      <c r="M415" s="81"/>
      <c r="N415" s="73" t="s">
        <v>1092</v>
      </c>
      <c r="O415" s="73" t="s">
        <v>1895</v>
      </c>
      <c r="P415" s="74" t="s">
        <v>1434</v>
      </c>
      <c r="Q415" s="75" t="s">
        <v>1908</v>
      </c>
      <c r="R415" s="230">
        <v>2363</v>
      </c>
      <c r="S415" s="230">
        <v>0</v>
      </c>
      <c r="T415" s="230">
        <v>2363</v>
      </c>
      <c r="U415" s="231">
        <v>1276</v>
      </c>
      <c r="V415" s="230"/>
      <c r="W415" s="230"/>
      <c r="X415" s="231"/>
      <c r="Y415" s="85">
        <v>0.5</v>
      </c>
      <c r="Z415" s="85"/>
      <c r="AA415" s="76"/>
      <c r="AB415" s="77"/>
      <c r="AC415" s="78"/>
    </row>
    <row r="416" spans="1:29" ht="40" hidden="1" customHeight="1" x14ac:dyDescent="0.2">
      <c r="A416" s="117" t="s">
        <v>1909</v>
      </c>
      <c r="B416" s="118" t="e">
        <f t="shared" si="50"/>
        <v>#VALUE!</v>
      </c>
      <c r="C416" s="118" t="s">
        <v>612</v>
      </c>
      <c r="D416" s="113">
        <v>39156</v>
      </c>
      <c r="E416" s="84">
        <v>39234</v>
      </c>
      <c r="F416" s="84">
        <f t="shared" si="51"/>
        <v>42887</v>
      </c>
      <c r="G416" s="229">
        <v>276.64999999999998</v>
      </c>
      <c r="H416" s="71" t="s">
        <v>1464</v>
      </c>
      <c r="I416" s="71" t="s">
        <v>691</v>
      </c>
      <c r="J416" s="72" t="s">
        <v>1414</v>
      </c>
      <c r="K416" s="55">
        <f t="shared" si="52"/>
        <v>2017</v>
      </c>
      <c r="L416" s="81"/>
      <c r="M416" s="81"/>
      <c r="N416" s="73" t="s">
        <v>1092</v>
      </c>
      <c r="O416" s="73" t="s">
        <v>1895</v>
      </c>
      <c r="P416" s="74" t="s">
        <v>1910</v>
      </c>
      <c r="Q416" s="75" t="s">
        <v>1911</v>
      </c>
      <c r="R416" s="230">
        <v>1099.5</v>
      </c>
      <c r="S416" s="230">
        <v>0</v>
      </c>
      <c r="T416" s="230">
        <v>1099.5</v>
      </c>
      <c r="U416" s="231">
        <v>554</v>
      </c>
      <c r="V416" s="230"/>
      <c r="W416" s="230"/>
      <c r="X416" s="231"/>
      <c r="Y416" s="85">
        <v>0.5</v>
      </c>
      <c r="Z416" s="85"/>
      <c r="AA416" s="76"/>
      <c r="AB416" s="77"/>
      <c r="AC416" s="78"/>
    </row>
    <row r="417" spans="1:29" hidden="1" x14ac:dyDescent="0.2">
      <c r="A417" s="117" t="s">
        <v>1912</v>
      </c>
      <c r="B417" s="118" t="e">
        <f t="shared" si="50"/>
        <v>#VALUE!</v>
      </c>
      <c r="C417" s="118" t="s">
        <v>612</v>
      </c>
      <c r="D417" s="113">
        <v>39156</v>
      </c>
      <c r="E417" s="84">
        <v>39234</v>
      </c>
      <c r="F417" s="84">
        <f t="shared" si="51"/>
        <v>42887</v>
      </c>
      <c r="G417" s="229">
        <v>641.4</v>
      </c>
      <c r="H417" s="71" t="s">
        <v>1464</v>
      </c>
      <c r="I417" s="71" t="s">
        <v>691</v>
      </c>
      <c r="J417" s="72" t="s">
        <v>1414</v>
      </c>
      <c r="K417" s="55">
        <f t="shared" si="52"/>
        <v>2017</v>
      </c>
      <c r="L417" s="81"/>
      <c r="M417" s="81"/>
      <c r="N417" s="73" t="s">
        <v>1092</v>
      </c>
      <c r="O417" s="73" t="s">
        <v>1895</v>
      </c>
      <c r="P417" s="74" t="s">
        <v>1913</v>
      </c>
      <c r="Q417" s="75" t="s">
        <v>1914</v>
      </c>
      <c r="R417" s="230">
        <v>2377</v>
      </c>
      <c r="S417" s="230">
        <v>0</v>
      </c>
      <c r="T417" s="230">
        <v>2377</v>
      </c>
      <c r="U417" s="231">
        <v>1284</v>
      </c>
      <c r="V417" s="230"/>
      <c r="W417" s="230"/>
      <c r="X417" s="231"/>
      <c r="Y417" s="85">
        <v>0.5</v>
      </c>
      <c r="Z417" s="85"/>
      <c r="AA417" s="76"/>
      <c r="AB417" s="77"/>
      <c r="AC417" s="78"/>
    </row>
    <row r="418" spans="1:29" hidden="1" x14ac:dyDescent="0.2">
      <c r="A418" s="117" t="s">
        <v>1915</v>
      </c>
      <c r="B418" s="118" t="e">
        <f t="shared" si="50"/>
        <v>#VALUE!</v>
      </c>
      <c r="C418" s="118" t="s">
        <v>612</v>
      </c>
      <c r="D418" s="113">
        <v>39156</v>
      </c>
      <c r="E418" s="84">
        <v>39234</v>
      </c>
      <c r="F418" s="84">
        <f t="shared" si="51"/>
        <v>42887</v>
      </c>
      <c r="G418" s="229">
        <v>639.6</v>
      </c>
      <c r="H418" s="71" t="s">
        <v>1464</v>
      </c>
      <c r="I418" s="71" t="s">
        <v>691</v>
      </c>
      <c r="J418" s="72" t="s">
        <v>1414</v>
      </c>
      <c r="K418" s="55">
        <f t="shared" si="52"/>
        <v>2017</v>
      </c>
      <c r="L418" s="81"/>
      <c r="M418" s="81"/>
      <c r="N418" s="73" t="s">
        <v>1092</v>
      </c>
      <c r="O418" s="73" t="s">
        <v>1895</v>
      </c>
      <c r="P418" s="74" t="s">
        <v>1916</v>
      </c>
      <c r="Q418" s="75" t="s">
        <v>1917</v>
      </c>
      <c r="R418" s="230">
        <v>2370</v>
      </c>
      <c r="S418" s="230">
        <v>0</v>
      </c>
      <c r="T418" s="230">
        <v>2370</v>
      </c>
      <c r="U418" s="231">
        <v>1280</v>
      </c>
      <c r="V418" s="230"/>
      <c r="W418" s="230"/>
      <c r="X418" s="231"/>
      <c r="Y418" s="85">
        <v>0.5</v>
      </c>
      <c r="Z418" s="85"/>
      <c r="AA418" s="76"/>
      <c r="AB418" s="77"/>
      <c r="AC418" s="78"/>
    </row>
    <row r="419" spans="1:29" hidden="1" x14ac:dyDescent="0.2">
      <c r="A419" s="117" t="s">
        <v>1918</v>
      </c>
      <c r="B419" s="118" t="e">
        <f t="shared" si="50"/>
        <v>#VALUE!</v>
      </c>
      <c r="C419" s="118" t="s">
        <v>612</v>
      </c>
      <c r="D419" s="113">
        <v>39156</v>
      </c>
      <c r="E419" s="84">
        <v>39234</v>
      </c>
      <c r="F419" s="84">
        <f t="shared" si="51"/>
        <v>42887</v>
      </c>
      <c r="G419" s="229">
        <v>639.6</v>
      </c>
      <c r="H419" s="71" t="s">
        <v>1464</v>
      </c>
      <c r="I419" s="71" t="s">
        <v>691</v>
      </c>
      <c r="J419" s="72" t="s">
        <v>1414</v>
      </c>
      <c r="K419" s="55">
        <f t="shared" si="52"/>
        <v>2017</v>
      </c>
      <c r="L419" s="81"/>
      <c r="M419" s="81"/>
      <c r="N419" s="73" t="s">
        <v>1092</v>
      </c>
      <c r="O419" s="73" t="s">
        <v>1895</v>
      </c>
      <c r="P419" s="74" t="s">
        <v>775</v>
      </c>
      <c r="Q419" s="75" t="s">
        <v>1919</v>
      </c>
      <c r="R419" s="230">
        <v>2370</v>
      </c>
      <c r="S419" s="230">
        <v>0</v>
      </c>
      <c r="T419" s="230">
        <v>2370</v>
      </c>
      <c r="U419" s="231">
        <v>1280</v>
      </c>
      <c r="V419" s="230"/>
      <c r="W419" s="230"/>
      <c r="X419" s="231"/>
      <c r="Y419" s="85">
        <v>0.5</v>
      </c>
      <c r="Z419" s="85"/>
      <c r="AA419" s="76"/>
      <c r="AB419" s="77"/>
      <c r="AC419" s="78"/>
    </row>
    <row r="420" spans="1:29" hidden="1" x14ac:dyDescent="0.2">
      <c r="A420" s="117" t="s">
        <v>1920</v>
      </c>
      <c r="B420" s="118" t="e">
        <f t="shared" si="50"/>
        <v>#VALUE!</v>
      </c>
      <c r="C420" s="118" t="s">
        <v>612</v>
      </c>
      <c r="D420" s="113">
        <v>39156</v>
      </c>
      <c r="E420" s="84">
        <v>39234</v>
      </c>
      <c r="F420" s="84">
        <f t="shared" si="51"/>
        <v>42887</v>
      </c>
      <c r="G420" s="229">
        <v>641.79999999999995</v>
      </c>
      <c r="H420" s="71" t="s">
        <v>1464</v>
      </c>
      <c r="I420" s="71" t="s">
        <v>691</v>
      </c>
      <c r="J420" s="72" t="s">
        <v>1414</v>
      </c>
      <c r="K420" s="55">
        <f t="shared" si="52"/>
        <v>2017</v>
      </c>
      <c r="L420" s="81"/>
      <c r="M420" s="81"/>
      <c r="N420" s="73" t="s">
        <v>1092</v>
      </c>
      <c r="O420" s="73" t="s">
        <v>1895</v>
      </c>
      <c r="P420" s="74" t="s">
        <v>992</v>
      </c>
      <c r="Q420" s="75" t="s">
        <v>1921</v>
      </c>
      <c r="R420" s="230">
        <v>2377</v>
      </c>
      <c r="S420" s="230">
        <v>0</v>
      </c>
      <c r="T420" s="230">
        <v>2377</v>
      </c>
      <c r="U420" s="231">
        <v>1284</v>
      </c>
      <c r="V420" s="230"/>
      <c r="W420" s="230"/>
      <c r="X420" s="231"/>
      <c r="Y420" s="85">
        <v>0.5</v>
      </c>
      <c r="Z420" s="85"/>
      <c r="AA420" s="76"/>
      <c r="AB420" s="77"/>
      <c r="AC420" s="78"/>
    </row>
    <row r="421" spans="1:29" ht="27" hidden="1" customHeight="1" x14ac:dyDescent="0.2">
      <c r="A421" s="117" t="s">
        <v>1922</v>
      </c>
      <c r="B421" s="118" t="e">
        <f t="shared" si="50"/>
        <v>#VALUE!</v>
      </c>
      <c r="C421" s="118" t="s">
        <v>612</v>
      </c>
      <c r="D421" s="113">
        <v>39156</v>
      </c>
      <c r="E421" s="84">
        <v>39234</v>
      </c>
      <c r="F421" s="84">
        <f t="shared" si="51"/>
        <v>42887</v>
      </c>
      <c r="G421" s="229">
        <v>622.69000000000005</v>
      </c>
      <c r="H421" s="71" t="s">
        <v>1464</v>
      </c>
      <c r="I421" s="71" t="s">
        <v>691</v>
      </c>
      <c r="J421" s="72" t="s">
        <v>1414</v>
      </c>
      <c r="K421" s="55">
        <f t="shared" si="52"/>
        <v>2017</v>
      </c>
      <c r="L421" s="81"/>
      <c r="M421" s="81"/>
      <c r="N421" s="73" t="s">
        <v>1092</v>
      </c>
      <c r="O421" s="73" t="s">
        <v>1895</v>
      </c>
      <c r="P421" s="74" t="s">
        <v>1923</v>
      </c>
      <c r="Q421" s="75" t="s">
        <v>1924</v>
      </c>
      <c r="R421" s="230">
        <v>2310.5</v>
      </c>
      <c r="S421" s="230">
        <v>623</v>
      </c>
      <c r="T421" s="230">
        <v>2933.5</v>
      </c>
      <c r="U421" s="231">
        <v>1246</v>
      </c>
      <c r="V421" s="230"/>
      <c r="W421" s="230"/>
      <c r="X421" s="231"/>
      <c r="Y421" s="85">
        <v>0.5</v>
      </c>
      <c r="Z421" s="85"/>
      <c r="AA421" s="76"/>
      <c r="AB421" s="77"/>
      <c r="AC421" s="78"/>
    </row>
    <row r="422" spans="1:29" hidden="1" x14ac:dyDescent="0.2">
      <c r="A422" s="117" t="s">
        <v>1925</v>
      </c>
      <c r="B422" s="118" t="e">
        <f t="shared" si="50"/>
        <v>#VALUE!</v>
      </c>
      <c r="C422" s="118" t="s">
        <v>612</v>
      </c>
      <c r="D422" s="113">
        <v>39156</v>
      </c>
      <c r="E422" s="84">
        <v>39234</v>
      </c>
      <c r="F422" s="84">
        <f t="shared" si="51"/>
        <v>42887</v>
      </c>
      <c r="G422" s="229">
        <v>638.28</v>
      </c>
      <c r="H422" s="71" t="s">
        <v>1464</v>
      </c>
      <c r="I422" s="71" t="s">
        <v>691</v>
      </c>
      <c r="J422" s="72" t="s">
        <v>1414</v>
      </c>
      <c r="K422" s="55">
        <f t="shared" si="52"/>
        <v>2017</v>
      </c>
      <c r="L422" s="81"/>
      <c r="M422" s="81"/>
      <c r="N422" s="73" t="s">
        <v>1092</v>
      </c>
      <c r="O422" s="73" t="s">
        <v>1895</v>
      </c>
      <c r="P422" s="74" t="s">
        <v>784</v>
      </c>
      <c r="Q422" s="75" t="s">
        <v>1926</v>
      </c>
      <c r="R422" s="230">
        <v>2366.5</v>
      </c>
      <c r="S422" s="230">
        <v>0</v>
      </c>
      <c r="T422" s="230">
        <v>2366.5</v>
      </c>
      <c r="U422" s="231">
        <v>1278</v>
      </c>
      <c r="V422" s="230"/>
      <c r="W422" s="230"/>
      <c r="X422" s="231"/>
      <c r="Y422" s="85">
        <v>0.5</v>
      </c>
      <c r="Z422" s="85"/>
      <c r="AA422" s="76"/>
      <c r="AB422" s="77"/>
      <c r="AC422" s="78"/>
    </row>
    <row r="423" spans="1:29" hidden="1" x14ac:dyDescent="0.2">
      <c r="A423" s="117" t="s">
        <v>1927</v>
      </c>
      <c r="B423" s="118" t="e">
        <f t="shared" si="50"/>
        <v>#VALUE!</v>
      </c>
      <c r="C423" s="118" t="s">
        <v>612</v>
      </c>
      <c r="D423" s="113">
        <v>39156</v>
      </c>
      <c r="E423" s="84">
        <v>39234</v>
      </c>
      <c r="F423" s="84">
        <f t="shared" si="51"/>
        <v>42887</v>
      </c>
      <c r="G423" s="229">
        <v>642.6</v>
      </c>
      <c r="H423" s="71" t="s">
        <v>1464</v>
      </c>
      <c r="I423" s="71" t="s">
        <v>691</v>
      </c>
      <c r="J423" s="72" t="s">
        <v>1414</v>
      </c>
      <c r="K423" s="55">
        <f t="shared" si="52"/>
        <v>2017</v>
      </c>
      <c r="L423" s="81"/>
      <c r="M423" s="81"/>
      <c r="N423" s="73" t="s">
        <v>1092</v>
      </c>
      <c r="O423" s="73" t="s">
        <v>1895</v>
      </c>
      <c r="P423" s="74" t="s">
        <v>1928</v>
      </c>
      <c r="Q423" s="75" t="s">
        <v>1929</v>
      </c>
      <c r="R423" s="230">
        <v>2380.5</v>
      </c>
      <c r="S423" s="230">
        <v>0</v>
      </c>
      <c r="T423" s="230">
        <v>2380.5</v>
      </c>
      <c r="U423" s="231">
        <v>1286</v>
      </c>
      <c r="V423" s="230"/>
      <c r="W423" s="230"/>
      <c r="X423" s="231"/>
      <c r="Y423" s="85">
        <v>0.5</v>
      </c>
      <c r="Z423" s="85"/>
      <c r="AA423" s="76"/>
      <c r="AB423" s="77"/>
      <c r="AC423" s="78"/>
    </row>
    <row r="424" spans="1:29" hidden="1" x14ac:dyDescent="0.2">
      <c r="A424" s="117" t="s">
        <v>1930</v>
      </c>
      <c r="B424" s="118" t="e">
        <f t="shared" si="50"/>
        <v>#VALUE!</v>
      </c>
      <c r="C424" s="118" t="s">
        <v>612</v>
      </c>
      <c r="D424" s="113">
        <v>39156</v>
      </c>
      <c r="E424" s="84">
        <v>39234</v>
      </c>
      <c r="F424" s="84">
        <f t="shared" si="51"/>
        <v>42887</v>
      </c>
      <c r="G424" s="229">
        <v>639.20000000000005</v>
      </c>
      <c r="H424" s="71" t="s">
        <v>1464</v>
      </c>
      <c r="I424" s="71" t="s">
        <v>691</v>
      </c>
      <c r="J424" s="72" t="s">
        <v>1414</v>
      </c>
      <c r="K424" s="55">
        <f t="shared" si="52"/>
        <v>2017</v>
      </c>
      <c r="L424" s="81"/>
      <c r="M424" s="81"/>
      <c r="N424" s="73" t="s">
        <v>1092</v>
      </c>
      <c r="O424" s="73" t="s">
        <v>1895</v>
      </c>
      <c r="P424" s="74" t="s">
        <v>790</v>
      </c>
      <c r="Q424" s="75" t="s">
        <v>1931</v>
      </c>
      <c r="R424" s="230">
        <v>2370</v>
      </c>
      <c r="S424" s="230">
        <v>0</v>
      </c>
      <c r="T424" s="230">
        <v>2370</v>
      </c>
      <c r="U424" s="231">
        <v>1280</v>
      </c>
      <c r="V424" s="230"/>
      <c r="W424" s="230"/>
      <c r="X424" s="231"/>
      <c r="Y424" s="85">
        <v>0.5</v>
      </c>
      <c r="Z424" s="85"/>
      <c r="AA424" s="76"/>
      <c r="AB424" s="77"/>
      <c r="AC424" s="78"/>
    </row>
    <row r="425" spans="1:29" hidden="1" x14ac:dyDescent="0.2">
      <c r="A425" s="117" t="s">
        <v>1932</v>
      </c>
      <c r="B425" s="118" t="e">
        <f t="shared" si="50"/>
        <v>#VALUE!</v>
      </c>
      <c r="C425" s="118" t="s">
        <v>612</v>
      </c>
      <c r="D425" s="113">
        <v>39156</v>
      </c>
      <c r="E425" s="84">
        <v>39234</v>
      </c>
      <c r="F425" s="84">
        <f t="shared" si="51"/>
        <v>42887</v>
      </c>
      <c r="G425" s="229">
        <v>99.61</v>
      </c>
      <c r="H425" s="71" t="s">
        <v>690</v>
      </c>
      <c r="I425" s="71" t="s">
        <v>691</v>
      </c>
      <c r="J425" s="72" t="s">
        <v>1414</v>
      </c>
      <c r="K425" s="55">
        <f t="shared" si="52"/>
        <v>2017</v>
      </c>
      <c r="L425" s="81"/>
      <c r="M425" s="81"/>
      <c r="N425" s="73" t="s">
        <v>1092</v>
      </c>
      <c r="O425" s="73" t="s">
        <v>1933</v>
      </c>
      <c r="P425" s="74" t="s">
        <v>1934</v>
      </c>
      <c r="Q425" s="75" t="s">
        <v>1935</v>
      </c>
      <c r="R425" s="230">
        <v>480</v>
      </c>
      <c r="S425" s="230">
        <v>1800</v>
      </c>
      <c r="T425" s="230">
        <v>2280</v>
      </c>
      <c r="U425" s="231">
        <v>200</v>
      </c>
      <c r="V425" s="230"/>
      <c r="W425" s="230"/>
      <c r="X425" s="231"/>
      <c r="Y425" s="85">
        <v>0.5</v>
      </c>
      <c r="Z425" s="85"/>
      <c r="AA425" s="76"/>
      <c r="AB425" s="77"/>
      <c r="AC425" s="78"/>
    </row>
    <row r="426" spans="1:29" hidden="1" x14ac:dyDescent="0.2">
      <c r="A426" s="117" t="s">
        <v>1936</v>
      </c>
      <c r="B426" s="118" t="e">
        <f t="shared" si="50"/>
        <v>#VALUE!</v>
      </c>
      <c r="C426" s="118" t="s">
        <v>612</v>
      </c>
      <c r="D426" s="113">
        <v>39156</v>
      </c>
      <c r="E426" s="84">
        <v>39234</v>
      </c>
      <c r="F426" s="84">
        <f t="shared" si="51"/>
        <v>42887</v>
      </c>
      <c r="G426" s="229">
        <v>320.48</v>
      </c>
      <c r="H426" s="71" t="s">
        <v>690</v>
      </c>
      <c r="I426" s="71" t="s">
        <v>691</v>
      </c>
      <c r="J426" s="72" t="s">
        <v>1414</v>
      </c>
      <c r="K426" s="55">
        <f t="shared" si="52"/>
        <v>2017</v>
      </c>
      <c r="L426" s="81"/>
      <c r="M426" s="81"/>
      <c r="N426" s="73" t="s">
        <v>1092</v>
      </c>
      <c r="O426" s="73" t="s">
        <v>1933</v>
      </c>
      <c r="P426" s="74" t="s">
        <v>1937</v>
      </c>
      <c r="Q426" s="75" t="s">
        <v>1938</v>
      </c>
      <c r="R426" s="230">
        <v>1253.5</v>
      </c>
      <c r="S426" s="230">
        <v>4494</v>
      </c>
      <c r="T426" s="230">
        <v>5747.5</v>
      </c>
      <c r="U426" s="231">
        <v>642</v>
      </c>
      <c r="V426" s="230"/>
      <c r="W426" s="230"/>
      <c r="X426" s="231"/>
      <c r="Y426" s="85">
        <v>0.5</v>
      </c>
      <c r="Z426" s="85"/>
      <c r="AA426" s="76"/>
      <c r="AB426" s="77"/>
      <c r="AC426" s="78"/>
    </row>
    <row r="427" spans="1:29" ht="15" hidden="1" customHeight="1" thickBot="1" x14ac:dyDescent="0.25">
      <c r="A427" s="117"/>
      <c r="D427" s="113"/>
      <c r="E427" s="84"/>
      <c r="F427" s="84"/>
      <c r="G427" s="229"/>
      <c r="H427" s="71"/>
      <c r="I427" s="71"/>
      <c r="J427" s="79"/>
      <c r="K427" s="79"/>
      <c r="L427" s="80"/>
      <c r="M427" s="80"/>
      <c r="N427" s="73"/>
      <c r="O427" s="73"/>
      <c r="P427" s="74"/>
      <c r="Q427" s="75" t="s">
        <v>1144</v>
      </c>
      <c r="R427" s="241">
        <v>144101.5</v>
      </c>
      <c r="S427" s="241">
        <v>1100491</v>
      </c>
      <c r="T427" s="241">
        <v>1244592.5</v>
      </c>
      <c r="U427" s="231"/>
      <c r="V427" s="230"/>
      <c r="W427" s="230"/>
      <c r="X427" s="231"/>
      <c r="Y427" s="85"/>
      <c r="Z427" s="85"/>
      <c r="AA427" s="76"/>
      <c r="AB427" s="77"/>
      <c r="AC427" s="78"/>
    </row>
    <row r="428" spans="1:29" hidden="1" x14ac:dyDescent="0.2">
      <c r="A428" s="117"/>
      <c r="D428" s="113"/>
      <c r="E428" s="84"/>
      <c r="F428" s="84"/>
      <c r="G428" s="229"/>
      <c r="H428" s="71"/>
      <c r="I428" s="71"/>
      <c r="J428" s="79"/>
      <c r="K428" s="79"/>
      <c r="L428" s="80"/>
      <c r="M428" s="80"/>
      <c r="N428" s="73"/>
      <c r="O428" s="73"/>
      <c r="P428" s="74"/>
      <c r="Q428" s="75"/>
      <c r="R428" s="230"/>
      <c r="S428" s="230"/>
      <c r="T428" s="230"/>
      <c r="U428" s="231"/>
      <c r="V428" s="230"/>
      <c r="W428" s="230"/>
      <c r="X428" s="231"/>
      <c r="Y428" s="85"/>
      <c r="Z428" s="85"/>
      <c r="AA428" s="76"/>
      <c r="AB428" s="77"/>
      <c r="AC428" s="78"/>
    </row>
    <row r="429" spans="1:29" hidden="1" x14ac:dyDescent="0.2">
      <c r="A429" s="117" t="s">
        <v>1939</v>
      </c>
      <c r="B429" s="118" t="e">
        <f t="shared" ref="B429:B461" si="53">IF(COUNTIF(GIS,A431),"YES","NO")</f>
        <v>#VALUE!</v>
      </c>
      <c r="C429" s="118" t="s">
        <v>612</v>
      </c>
      <c r="D429" s="113">
        <v>39281</v>
      </c>
      <c r="E429" s="84">
        <v>39326</v>
      </c>
      <c r="F429" s="84">
        <f t="shared" ref="F429:F461" si="54">DATE(YEAR(E429)+10,MONTH(E429),DAY(E429))</f>
        <v>42979</v>
      </c>
      <c r="G429" s="229">
        <v>2560</v>
      </c>
      <c r="H429" s="71" t="s">
        <v>1940</v>
      </c>
      <c r="I429" s="71" t="s">
        <v>1147</v>
      </c>
      <c r="J429" s="79"/>
      <c r="K429" s="55">
        <f t="shared" ref="K429:K461" si="55">YEAR(F429)</f>
        <v>2017</v>
      </c>
      <c r="L429" s="80"/>
      <c r="M429" s="80"/>
      <c r="N429" s="73"/>
      <c r="O429" s="73" t="s">
        <v>1941</v>
      </c>
      <c r="P429" s="74" t="s">
        <v>1942</v>
      </c>
      <c r="Q429" s="75" t="s">
        <v>1943</v>
      </c>
      <c r="R429" s="230">
        <v>9090</v>
      </c>
      <c r="S429" s="230">
        <v>20480</v>
      </c>
      <c r="T429" s="230">
        <v>29570</v>
      </c>
      <c r="U429" s="231">
        <v>5120</v>
      </c>
      <c r="V429" s="230"/>
      <c r="W429" s="230"/>
      <c r="X429" s="231"/>
      <c r="Y429" s="85">
        <v>0.5</v>
      </c>
      <c r="Z429" s="85"/>
      <c r="AA429" s="76"/>
      <c r="AB429" s="77"/>
      <c r="AC429" s="78"/>
    </row>
    <row r="430" spans="1:29" hidden="1" x14ac:dyDescent="0.2">
      <c r="A430" s="117" t="s">
        <v>1944</v>
      </c>
      <c r="B430" s="118" t="e">
        <f t="shared" si="53"/>
        <v>#VALUE!</v>
      </c>
      <c r="C430" s="118" t="s">
        <v>612</v>
      </c>
      <c r="D430" s="113">
        <v>39281</v>
      </c>
      <c r="E430" s="84">
        <v>39326</v>
      </c>
      <c r="F430" s="84">
        <f t="shared" si="54"/>
        <v>42979</v>
      </c>
      <c r="G430" s="229">
        <v>2240</v>
      </c>
      <c r="H430" s="71" t="s">
        <v>1940</v>
      </c>
      <c r="I430" s="71" t="s">
        <v>1147</v>
      </c>
      <c r="J430" s="79"/>
      <c r="K430" s="55">
        <f t="shared" si="55"/>
        <v>2017</v>
      </c>
      <c r="L430" s="80"/>
      <c r="M430" s="80"/>
      <c r="N430" s="73"/>
      <c r="O430" s="73" t="s">
        <v>1941</v>
      </c>
      <c r="P430" s="74" t="s">
        <v>1945</v>
      </c>
      <c r="Q430" s="75" t="s">
        <v>1946</v>
      </c>
      <c r="R430" s="230">
        <v>7970</v>
      </c>
      <c r="S430" s="230">
        <v>17920</v>
      </c>
      <c r="T430" s="230">
        <v>25890</v>
      </c>
      <c r="U430" s="231">
        <v>4480</v>
      </c>
      <c r="V430" s="230"/>
      <c r="W430" s="230"/>
      <c r="X430" s="231"/>
      <c r="Y430" s="85">
        <v>0.5</v>
      </c>
      <c r="Z430" s="85"/>
      <c r="AA430" s="76"/>
      <c r="AB430" s="77"/>
      <c r="AC430" s="78"/>
    </row>
    <row r="431" spans="1:29" hidden="1" x14ac:dyDescent="0.2">
      <c r="A431" s="117" t="s">
        <v>1947</v>
      </c>
      <c r="B431" s="118" t="e">
        <f t="shared" si="53"/>
        <v>#VALUE!</v>
      </c>
      <c r="C431" s="118" t="s">
        <v>612</v>
      </c>
      <c r="D431" s="113">
        <v>39281</v>
      </c>
      <c r="E431" s="84">
        <v>39326</v>
      </c>
      <c r="F431" s="84">
        <f t="shared" si="54"/>
        <v>42979</v>
      </c>
      <c r="G431" s="229">
        <v>640.72</v>
      </c>
      <c r="H431" s="71" t="s">
        <v>1940</v>
      </c>
      <c r="I431" s="71" t="s">
        <v>1147</v>
      </c>
      <c r="J431" s="79"/>
      <c r="K431" s="55">
        <f t="shared" si="55"/>
        <v>2017</v>
      </c>
      <c r="L431" s="80"/>
      <c r="M431" s="80"/>
      <c r="N431" s="73"/>
      <c r="O431" s="73" t="s">
        <v>1948</v>
      </c>
      <c r="P431" s="74" t="s">
        <v>1949</v>
      </c>
      <c r="Q431" s="75" t="s">
        <v>1950</v>
      </c>
      <c r="R431" s="230">
        <v>2373.5</v>
      </c>
      <c r="S431" s="230">
        <v>5128</v>
      </c>
      <c r="T431" s="230">
        <v>7501.5</v>
      </c>
      <c r="U431" s="231">
        <v>1282</v>
      </c>
      <c r="V431" s="230"/>
      <c r="W431" s="230"/>
      <c r="X431" s="231"/>
      <c r="Y431" s="85">
        <v>0.5</v>
      </c>
      <c r="Z431" s="85"/>
      <c r="AA431" s="76"/>
      <c r="AB431" s="77"/>
      <c r="AC431" s="78"/>
    </row>
    <row r="432" spans="1:29" hidden="1" x14ac:dyDescent="0.2">
      <c r="A432" s="117" t="s">
        <v>1951</v>
      </c>
      <c r="B432" s="118" t="e">
        <f t="shared" si="53"/>
        <v>#VALUE!</v>
      </c>
      <c r="C432" s="118" t="s">
        <v>612</v>
      </c>
      <c r="D432" s="113">
        <v>39281</v>
      </c>
      <c r="E432" s="84">
        <v>39326</v>
      </c>
      <c r="F432" s="84">
        <f t="shared" si="54"/>
        <v>42979</v>
      </c>
      <c r="G432" s="229">
        <v>880</v>
      </c>
      <c r="H432" s="71" t="s">
        <v>1940</v>
      </c>
      <c r="I432" s="71" t="s">
        <v>1147</v>
      </c>
      <c r="J432" s="79"/>
      <c r="K432" s="55">
        <f t="shared" si="55"/>
        <v>2017</v>
      </c>
      <c r="L432" s="80"/>
      <c r="M432" s="80"/>
      <c r="N432" s="73"/>
      <c r="O432" s="73" t="s">
        <v>1948</v>
      </c>
      <c r="P432" s="74" t="s">
        <v>1952</v>
      </c>
      <c r="Q432" s="75" t="s">
        <v>1953</v>
      </c>
      <c r="R432" s="230">
        <v>3210</v>
      </c>
      <c r="S432" s="230">
        <v>7040</v>
      </c>
      <c r="T432" s="230">
        <v>10250</v>
      </c>
      <c r="U432" s="231">
        <v>1760</v>
      </c>
      <c r="V432" s="230"/>
      <c r="W432" s="230"/>
      <c r="X432" s="231"/>
      <c r="Y432" s="85">
        <v>0.5</v>
      </c>
      <c r="Z432" s="85"/>
      <c r="AA432" s="76"/>
      <c r="AB432" s="77"/>
      <c r="AC432" s="78"/>
    </row>
    <row r="433" spans="1:29" ht="27" hidden="1" customHeight="1" x14ac:dyDescent="0.2">
      <c r="A433" s="117" t="s">
        <v>1954</v>
      </c>
      <c r="B433" s="118" t="e">
        <f t="shared" si="53"/>
        <v>#VALUE!</v>
      </c>
      <c r="C433" s="118" t="s">
        <v>612</v>
      </c>
      <c r="D433" s="113">
        <v>39281</v>
      </c>
      <c r="E433" s="84">
        <v>39326</v>
      </c>
      <c r="F433" s="84">
        <f t="shared" si="54"/>
        <v>42979</v>
      </c>
      <c r="G433" s="229">
        <v>2547.08</v>
      </c>
      <c r="H433" s="71" t="s">
        <v>1940</v>
      </c>
      <c r="I433" s="71" t="s">
        <v>1147</v>
      </c>
      <c r="J433" s="79"/>
      <c r="K433" s="55">
        <f t="shared" si="55"/>
        <v>2017</v>
      </c>
      <c r="L433" s="80"/>
      <c r="M433" s="80"/>
      <c r="N433" s="73"/>
      <c r="O433" s="73" t="s">
        <v>1955</v>
      </c>
      <c r="P433" s="74" t="s">
        <v>1956</v>
      </c>
      <c r="Q433" s="75" t="s">
        <v>1957</v>
      </c>
      <c r="R433" s="230">
        <v>9048</v>
      </c>
      <c r="S433" s="230">
        <v>20384</v>
      </c>
      <c r="T433" s="230">
        <v>29432</v>
      </c>
      <c r="U433" s="231">
        <v>5096</v>
      </c>
      <c r="V433" s="230"/>
      <c r="W433" s="230"/>
      <c r="X433" s="231"/>
      <c r="Y433" s="85">
        <v>0.5</v>
      </c>
      <c r="Z433" s="85"/>
      <c r="AA433" s="76"/>
      <c r="AB433" s="77"/>
      <c r="AC433" s="78"/>
    </row>
    <row r="434" spans="1:29" hidden="1" x14ac:dyDescent="0.2">
      <c r="A434" s="117" t="s">
        <v>1958</v>
      </c>
      <c r="B434" s="118" t="e">
        <f t="shared" si="53"/>
        <v>#VALUE!</v>
      </c>
      <c r="C434" s="118" t="s">
        <v>612</v>
      </c>
      <c r="D434" s="113">
        <v>39281</v>
      </c>
      <c r="E434" s="84">
        <v>39326</v>
      </c>
      <c r="F434" s="84">
        <f t="shared" si="54"/>
        <v>42979</v>
      </c>
      <c r="G434" s="229">
        <v>1400</v>
      </c>
      <c r="H434" s="71" t="s">
        <v>1940</v>
      </c>
      <c r="I434" s="71" t="s">
        <v>1147</v>
      </c>
      <c r="J434" s="79"/>
      <c r="K434" s="55">
        <f t="shared" si="55"/>
        <v>2017</v>
      </c>
      <c r="L434" s="80"/>
      <c r="M434" s="80"/>
      <c r="N434" s="73"/>
      <c r="O434" s="73" t="s">
        <v>1955</v>
      </c>
      <c r="P434" s="74" t="s">
        <v>1959</v>
      </c>
      <c r="Q434" s="75" t="s">
        <v>1960</v>
      </c>
      <c r="R434" s="230">
        <v>5030</v>
      </c>
      <c r="S434" s="230">
        <v>19600</v>
      </c>
      <c r="T434" s="230">
        <v>24630</v>
      </c>
      <c r="U434" s="231">
        <v>2800</v>
      </c>
      <c r="V434" s="230"/>
      <c r="W434" s="230"/>
      <c r="X434" s="231"/>
      <c r="Y434" s="85">
        <v>0.5</v>
      </c>
      <c r="Z434" s="85"/>
      <c r="AA434" s="76"/>
      <c r="AB434" s="77"/>
      <c r="AC434" s="78"/>
    </row>
    <row r="435" spans="1:29" hidden="1" x14ac:dyDescent="0.2">
      <c r="A435" s="117" t="s">
        <v>1961</v>
      </c>
      <c r="B435" s="118" t="e">
        <f t="shared" si="53"/>
        <v>#VALUE!</v>
      </c>
      <c r="C435" s="118" t="s">
        <v>612</v>
      </c>
      <c r="D435" s="113">
        <v>39281</v>
      </c>
      <c r="E435" s="84">
        <v>39326</v>
      </c>
      <c r="F435" s="84">
        <f t="shared" si="54"/>
        <v>42979</v>
      </c>
      <c r="G435" s="229">
        <v>1920</v>
      </c>
      <c r="H435" s="71" t="s">
        <v>1940</v>
      </c>
      <c r="I435" s="71" t="s">
        <v>1147</v>
      </c>
      <c r="J435" s="79"/>
      <c r="K435" s="55">
        <f t="shared" si="55"/>
        <v>2017</v>
      </c>
      <c r="L435" s="80"/>
      <c r="M435" s="80"/>
      <c r="N435" s="73"/>
      <c r="O435" s="73" t="s">
        <v>1955</v>
      </c>
      <c r="P435" s="74" t="s">
        <v>1962</v>
      </c>
      <c r="Q435" s="75" t="s">
        <v>1963</v>
      </c>
      <c r="R435" s="230">
        <v>6850</v>
      </c>
      <c r="S435" s="230">
        <v>26880</v>
      </c>
      <c r="T435" s="230">
        <v>33730</v>
      </c>
      <c r="U435" s="231">
        <v>3840</v>
      </c>
      <c r="V435" s="230"/>
      <c r="W435" s="230"/>
      <c r="X435" s="231"/>
      <c r="Y435" s="85">
        <v>0.5</v>
      </c>
      <c r="Z435" s="85"/>
      <c r="AA435" s="76"/>
      <c r="AB435" s="77"/>
      <c r="AC435" s="78"/>
    </row>
    <row r="436" spans="1:29" hidden="1" x14ac:dyDescent="0.2">
      <c r="A436" s="117" t="s">
        <v>1964</v>
      </c>
      <c r="B436" s="118" t="e">
        <f t="shared" si="53"/>
        <v>#VALUE!</v>
      </c>
      <c r="C436" s="118" t="s">
        <v>612</v>
      </c>
      <c r="D436" s="113">
        <v>39281</v>
      </c>
      <c r="E436" s="84">
        <v>39326</v>
      </c>
      <c r="F436" s="84">
        <f t="shared" si="54"/>
        <v>42979</v>
      </c>
      <c r="G436" s="229">
        <v>1600</v>
      </c>
      <c r="H436" s="71" t="s">
        <v>1940</v>
      </c>
      <c r="I436" s="71" t="s">
        <v>1147</v>
      </c>
      <c r="J436" s="79"/>
      <c r="K436" s="55">
        <f t="shared" si="55"/>
        <v>2017</v>
      </c>
      <c r="L436" s="80"/>
      <c r="M436" s="80"/>
      <c r="N436" s="73"/>
      <c r="O436" s="73" t="s">
        <v>1955</v>
      </c>
      <c r="P436" s="74" t="s">
        <v>1965</v>
      </c>
      <c r="Q436" s="75" t="s">
        <v>1966</v>
      </c>
      <c r="R436" s="230">
        <v>5730</v>
      </c>
      <c r="S436" s="230">
        <v>28800</v>
      </c>
      <c r="T436" s="230">
        <v>34530</v>
      </c>
      <c r="U436" s="231">
        <v>3200</v>
      </c>
      <c r="V436" s="230"/>
      <c r="W436" s="230"/>
      <c r="X436" s="231"/>
      <c r="Y436" s="85">
        <v>0.5</v>
      </c>
      <c r="Z436" s="85"/>
      <c r="AA436" s="76"/>
      <c r="AB436" s="77"/>
      <c r="AC436" s="78"/>
    </row>
    <row r="437" spans="1:29" hidden="1" x14ac:dyDescent="0.2">
      <c r="A437" s="117" t="s">
        <v>1967</v>
      </c>
      <c r="B437" s="118" t="e">
        <f t="shared" si="53"/>
        <v>#VALUE!</v>
      </c>
      <c r="C437" s="118" t="s">
        <v>612</v>
      </c>
      <c r="D437" s="113">
        <v>39281</v>
      </c>
      <c r="E437" s="84">
        <v>39326</v>
      </c>
      <c r="F437" s="84">
        <f t="shared" si="54"/>
        <v>42979</v>
      </c>
      <c r="G437" s="229">
        <v>960.12</v>
      </c>
      <c r="H437" s="71" t="s">
        <v>1940</v>
      </c>
      <c r="I437" s="71" t="s">
        <v>1147</v>
      </c>
      <c r="J437" s="79"/>
      <c r="K437" s="55">
        <f t="shared" si="55"/>
        <v>2017</v>
      </c>
      <c r="L437" s="80"/>
      <c r="M437" s="80"/>
      <c r="N437" s="73"/>
      <c r="O437" s="73" t="s">
        <v>1968</v>
      </c>
      <c r="P437" s="74" t="s">
        <v>1969</v>
      </c>
      <c r="Q437" s="75" t="s">
        <v>1970</v>
      </c>
      <c r="R437" s="230">
        <v>3493.5</v>
      </c>
      <c r="S437" s="230">
        <v>18259</v>
      </c>
      <c r="T437" s="230">
        <v>21752.5</v>
      </c>
      <c r="U437" s="231">
        <v>1922</v>
      </c>
      <c r="V437" s="230"/>
      <c r="W437" s="230"/>
      <c r="X437" s="231"/>
      <c r="Y437" s="85">
        <v>0.5</v>
      </c>
      <c r="Z437" s="85"/>
      <c r="AA437" s="76"/>
      <c r="AB437" s="77"/>
      <c r="AC437" s="78"/>
    </row>
    <row r="438" spans="1:29" ht="40" hidden="1" customHeight="1" x14ac:dyDescent="0.2">
      <c r="A438" s="117" t="s">
        <v>1971</v>
      </c>
      <c r="B438" s="118" t="e">
        <f t="shared" si="53"/>
        <v>#VALUE!</v>
      </c>
      <c r="C438" s="118" t="s">
        <v>612</v>
      </c>
      <c r="D438" s="113">
        <v>39281</v>
      </c>
      <c r="E438" s="84">
        <v>39326</v>
      </c>
      <c r="F438" s="84">
        <f t="shared" si="54"/>
        <v>42979</v>
      </c>
      <c r="G438" s="229">
        <v>1469.12</v>
      </c>
      <c r="H438" s="71" t="s">
        <v>1534</v>
      </c>
      <c r="I438" s="71" t="s">
        <v>1147</v>
      </c>
      <c r="J438" s="79"/>
      <c r="K438" s="55">
        <f t="shared" si="55"/>
        <v>2017</v>
      </c>
      <c r="L438" s="80"/>
      <c r="M438" s="80"/>
      <c r="N438" s="73"/>
      <c r="O438" s="73" t="s">
        <v>1972</v>
      </c>
      <c r="P438" s="74" t="s">
        <v>1973</v>
      </c>
      <c r="Q438" s="75" t="s">
        <v>1974</v>
      </c>
      <c r="R438" s="230">
        <v>5275</v>
      </c>
      <c r="S438" s="230">
        <v>0</v>
      </c>
      <c r="T438" s="230">
        <v>5275</v>
      </c>
      <c r="U438" s="231">
        <v>2940</v>
      </c>
      <c r="V438" s="230"/>
      <c r="W438" s="230"/>
      <c r="X438" s="231"/>
      <c r="Y438" s="85">
        <v>0.5</v>
      </c>
      <c r="Z438" s="85"/>
      <c r="AA438" s="76"/>
      <c r="AB438" s="77"/>
      <c r="AC438" s="78"/>
    </row>
    <row r="439" spans="1:29" hidden="1" x14ac:dyDescent="0.2">
      <c r="A439" s="117" t="s">
        <v>1975</v>
      </c>
      <c r="B439" s="118" t="e">
        <f t="shared" si="53"/>
        <v>#VALUE!</v>
      </c>
      <c r="C439" s="118" t="s">
        <v>612</v>
      </c>
      <c r="D439" s="113">
        <v>39281</v>
      </c>
      <c r="E439" s="84">
        <v>39326</v>
      </c>
      <c r="F439" s="84">
        <f t="shared" si="54"/>
        <v>42979</v>
      </c>
      <c r="G439" s="229">
        <v>960</v>
      </c>
      <c r="H439" s="71" t="s">
        <v>1534</v>
      </c>
      <c r="I439" s="71" t="s">
        <v>1147</v>
      </c>
      <c r="J439" s="79"/>
      <c r="K439" s="55">
        <f t="shared" si="55"/>
        <v>2017</v>
      </c>
      <c r="L439" s="80"/>
      <c r="M439" s="80"/>
      <c r="N439" s="73"/>
      <c r="O439" s="73" t="s">
        <v>1976</v>
      </c>
      <c r="P439" s="74" t="s">
        <v>1977</v>
      </c>
      <c r="Q439" s="75" t="s">
        <v>1978</v>
      </c>
      <c r="R439" s="230">
        <v>3490</v>
      </c>
      <c r="S439" s="230">
        <v>0</v>
      </c>
      <c r="T439" s="230">
        <v>3490</v>
      </c>
      <c r="U439" s="231">
        <v>1920</v>
      </c>
      <c r="V439" s="230"/>
      <c r="W439" s="230"/>
      <c r="X439" s="231"/>
      <c r="Y439" s="85">
        <v>0.5</v>
      </c>
      <c r="Z439" s="85"/>
      <c r="AA439" s="76"/>
      <c r="AB439" s="77"/>
      <c r="AC439" s="78"/>
    </row>
    <row r="440" spans="1:29" ht="27" hidden="1" customHeight="1" x14ac:dyDescent="0.2">
      <c r="A440" s="117" t="s">
        <v>1979</v>
      </c>
      <c r="B440" s="118" t="e">
        <f t="shared" si="53"/>
        <v>#VALUE!</v>
      </c>
      <c r="C440" s="118" t="s">
        <v>612</v>
      </c>
      <c r="D440" s="113">
        <v>39281</v>
      </c>
      <c r="E440" s="84">
        <v>39326</v>
      </c>
      <c r="F440" s="84">
        <f t="shared" si="54"/>
        <v>42979</v>
      </c>
      <c r="G440" s="229">
        <v>1280</v>
      </c>
      <c r="H440" s="71" t="s">
        <v>1534</v>
      </c>
      <c r="I440" s="71" t="s">
        <v>1147</v>
      </c>
      <c r="J440" s="79"/>
      <c r="K440" s="55">
        <f t="shared" si="55"/>
        <v>2017</v>
      </c>
      <c r="L440" s="80"/>
      <c r="M440" s="80"/>
      <c r="N440" s="73"/>
      <c r="O440" s="73" t="s">
        <v>1976</v>
      </c>
      <c r="P440" s="74" t="s">
        <v>1980</v>
      </c>
      <c r="Q440" s="75" t="s">
        <v>1981</v>
      </c>
      <c r="R440" s="230">
        <v>4610</v>
      </c>
      <c r="S440" s="230">
        <v>35840</v>
      </c>
      <c r="T440" s="230">
        <v>40450</v>
      </c>
      <c r="U440" s="231">
        <v>2560</v>
      </c>
      <c r="V440" s="230"/>
      <c r="W440" s="230"/>
      <c r="X440" s="231"/>
      <c r="Y440" s="85">
        <v>0.5</v>
      </c>
      <c r="Z440" s="85"/>
      <c r="AA440" s="76"/>
      <c r="AB440" s="77"/>
      <c r="AC440" s="78"/>
    </row>
    <row r="441" spans="1:29" ht="27" hidden="1" customHeight="1" x14ac:dyDescent="0.2">
      <c r="A441" s="117" t="s">
        <v>1982</v>
      </c>
      <c r="B441" s="118" t="e">
        <f t="shared" si="53"/>
        <v>#VALUE!</v>
      </c>
      <c r="C441" s="118" t="s">
        <v>612</v>
      </c>
      <c r="D441" s="113">
        <v>39281</v>
      </c>
      <c r="E441" s="84">
        <v>39326</v>
      </c>
      <c r="F441" s="84">
        <f t="shared" si="54"/>
        <v>42979</v>
      </c>
      <c r="G441" s="229">
        <v>520</v>
      </c>
      <c r="H441" s="71" t="s">
        <v>1983</v>
      </c>
      <c r="I441" s="71" t="s">
        <v>1147</v>
      </c>
      <c r="J441" s="79"/>
      <c r="K441" s="55">
        <f t="shared" si="55"/>
        <v>2017</v>
      </c>
      <c r="L441" s="80"/>
      <c r="M441" s="80"/>
      <c r="N441" s="73"/>
      <c r="O441" s="73" t="s">
        <v>1984</v>
      </c>
      <c r="P441" s="74" t="s">
        <v>1985</v>
      </c>
      <c r="Q441" s="75" t="s">
        <v>1986</v>
      </c>
      <c r="R441" s="230">
        <v>1950</v>
      </c>
      <c r="S441" s="230">
        <v>4160</v>
      </c>
      <c r="T441" s="230">
        <v>6110</v>
      </c>
      <c r="U441" s="231">
        <v>1040</v>
      </c>
      <c r="V441" s="230"/>
      <c r="W441" s="230"/>
      <c r="X441" s="231"/>
      <c r="Y441" s="85">
        <v>0.5</v>
      </c>
      <c r="Z441" s="85"/>
      <c r="AA441" s="76"/>
      <c r="AB441" s="77"/>
      <c r="AC441" s="78"/>
    </row>
    <row r="442" spans="1:29" hidden="1" x14ac:dyDescent="0.2">
      <c r="A442" s="117" t="s">
        <v>1987</v>
      </c>
      <c r="B442" s="118" t="e">
        <f t="shared" si="53"/>
        <v>#VALUE!</v>
      </c>
      <c r="C442" s="118" t="s">
        <v>612</v>
      </c>
      <c r="D442" s="113">
        <v>39281</v>
      </c>
      <c r="E442" s="84">
        <v>39326</v>
      </c>
      <c r="F442" s="84">
        <f t="shared" si="54"/>
        <v>42979</v>
      </c>
      <c r="G442" s="229">
        <v>320</v>
      </c>
      <c r="H442" s="71" t="s">
        <v>1534</v>
      </c>
      <c r="I442" s="71" t="s">
        <v>1147</v>
      </c>
      <c r="J442" s="79"/>
      <c r="K442" s="55">
        <f t="shared" si="55"/>
        <v>2017</v>
      </c>
      <c r="L442" s="80"/>
      <c r="M442" s="80"/>
      <c r="N442" s="73"/>
      <c r="O442" s="73" t="s">
        <v>1988</v>
      </c>
      <c r="P442" s="74" t="s">
        <v>1989</v>
      </c>
      <c r="Q442" s="75" t="s">
        <v>1990</v>
      </c>
      <c r="R442" s="230">
        <v>1250</v>
      </c>
      <c r="S442" s="230">
        <v>12160</v>
      </c>
      <c r="T442" s="230">
        <v>13410</v>
      </c>
      <c r="U442" s="231">
        <v>640</v>
      </c>
      <c r="V442" s="230"/>
      <c r="W442" s="230"/>
      <c r="X442" s="231"/>
      <c r="Y442" s="85">
        <v>0.5</v>
      </c>
      <c r="Z442" s="85"/>
      <c r="AA442" s="76"/>
      <c r="AB442" s="77"/>
      <c r="AC442" s="78"/>
    </row>
    <row r="443" spans="1:29" ht="27" hidden="1" customHeight="1" x14ac:dyDescent="0.2">
      <c r="A443" s="117" t="s">
        <v>1991</v>
      </c>
      <c r="B443" s="118" t="e">
        <f t="shared" si="53"/>
        <v>#VALUE!</v>
      </c>
      <c r="C443" s="118" t="s">
        <v>612</v>
      </c>
      <c r="D443" s="113">
        <v>39281</v>
      </c>
      <c r="E443" s="84">
        <v>39326</v>
      </c>
      <c r="F443" s="84">
        <f t="shared" si="54"/>
        <v>42979</v>
      </c>
      <c r="G443" s="229">
        <v>160.55000000000001</v>
      </c>
      <c r="H443" s="71" t="s">
        <v>1146</v>
      </c>
      <c r="I443" s="71" t="s">
        <v>1147</v>
      </c>
      <c r="J443" s="72" t="s">
        <v>1992</v>
      </c>
      <c r="K443" s="55">
        <f t="shared" si="55"/>
        <v>2017</v>
      </c>
      <c r="L443" s="81"/>
      <c r="M443" s="81"/>
      <c r="N443" s="73"/>
      <c r="O443" s="73" t="s">
        <v>1993</v>
      </c>
      <c r="P443" s="74" t="s">
        <v>1994</v>
      </c>
      <c r="Q443" s="75" t="s">
        <v>1995</v>
      </c>
      <c r="R443" s="230">
        <v>693.5</v>
      </c>
      <c r="S443" s="230">
        <v>108353</v>
      </c>
      <c r="T443" s="230">
        <v>109046.5</v>
      </c>
      <c r="U443" s="231">
        <v>322</v>
      </c>
      <c r="V443" s="230"/>
      <c r="W443" s="230"/>
      <c r="X443" s="231"/>
      <c r="Y443" s="85">
        <v>0.5</v>
      </c>
      <c r="Z443" s="85"/>
      <c r="AA443" s="76"/>
      <c r="AC443" s="78" t="s">
        <v>1996</v>
      </c>
    </row>
    <row r="444" spans="1:29" hidden="1" x14ac:dyDescent="0.2">
      <c r="A444" s="117" t="s">
        <v>1997</v>
      </c>
      <c r="B444" s="118" t="e">
        <f t="shared" si="53"/>
        <v>#VALUE!</v>
      </c>
      <c r="C444" s="118" t="s">
        <v>612</v>
      </c>
      <c r="D444" s="113">
        <v>39281</v>
      </c>
      <c r="E444" s="84">
        <v>39326</v>
      </c>
      <c r="F444" s="84">
        <f t="shared" si="54"/>
        <v>42979</v>
      </c>
      <c r="G444" s="229">
        <v>40</v>
      </c>
      <c r="H444" s="71" t="s">
        <v>1540</v>
      </c>
      <c r="I444" s="71" t="s">
        <v>1147</v>
      </c>
      <c r="J444" s="79"/>
      <c r="K444" s="55">
        <f t="shared" si="55"/>
        <v>2017</v>
      </c>
      <c r="L444" s="80"/>
      <c r="M444" s="80"/>
      <c r="N444" s="73"/>
      <c r="O444" s="73" t="s">
        <v>1998</v>
      </c>
      <c r="P444" s="74" t="s">
        <v>1999</v>
      </c>
      <c r="Q444" s="75" t="s">
        <v>2000</v>
      </c>
      <c r="R444" s="230">
        <v>270</v>
      </c>
      <c r="S444" s="230">
        <v>19920</v>
      </c>
      <c r="T444" s="230">
        <v>20190</v>
      </c>
      <c r="U444" s="231">
        <v>80</v>
      </c>
      <c r="V444" s="230"/>
      <c r="W444" s="230"/>
      <c r="X444" s="231"/>
      <c r="Y444" s="85">
        <v>0.5</v>
      </c>
      <c r="Z444" s="85"/>
      <c r="AA444" s="76"/>
      <c r="AC444" s="78" t="s">
        <v>2001</v>
      </c>
    </row>
    <row r="445" spans="1:29" ht="27" hidden="1" customHeight="1" x14ac:dyDescent="0.2">
      <c r="A445" s="117" t="s">
        <v>2002</v>
      </c>
      <c r="B445" s="118" t="e">
        <f t="shared" si="53"/>
        <v>#VALUE!</v>
      </c>
      <c r="C445" s="118" t="s">
        <v>612</v>
      </c>
      <c r="D445" s="113">
        <v>39281</v>
      </c>
      <c r="E445" s="84">
        <v>39326</v>
      </c>
      <c r="F445" s="84">
        <f t="shared" si="54"/>
        <v>42979</v>
      </c>
      <c r="G445" s="229">
        <v>1319.75</v>
      </c>
      <c r="H445" s="71" t="s">
        <v>1540</v>
      </c>
      <c r="I445" s="71" t="s">
        <v>1147</v>
      </c>
      <c r="J445" s="238" t="s">
        <v>2003</v>
      </c>
      <c r="K445" s="55">
        <f t="shared" si="55"/>
        <v>2017</v>
      </c>
      <c r="L445" s="239"/>
      <c r="M445" s="239"/>
      <c r="N445" s="73"/>
      <c r="O445" s="73" t="s">
        <v>2004</v>
      </c>
      <c r="P445" s="74" t="s">
        <v>2005</v>
      </c>
      <c r="Q445" s="75" t="s">
        <v>2006</v>
      </c>
      <c r="R445" s="230">
        <v>4750</v>
      </c>
      <c r="S445" s="230">
        <v>327360</v>
      </c>
      <c r="T445" s="230">
        <v>332110</v>
      </c>
      <c r="U445" s="231">
        <v>2640</v>
      </c>
      <c r="V445" s="230"/>
      <c r="W445" s="230"/>
      <c r="X445" s="231"/>
      <c r="Y445" s="85">
        <v>0.5</v>
      </c>
      <c r="Z445" s="85"/>
      <c r="AA445" s="76"/>
      <c r="AB445" s="77" t="s">
        <v>1545</v>
      </c>
      <c r="AC445" s="78" t="s">
        <v>2007</v>
      </c>
    </row>
    <row r="446" spans="1:29" ht="27" hidden="1" customHeight="1" x14ac:dyDescent="0.2">
      <c r="A446" s="117" t="s">
        <v>2008</v>
      </c>
      <c r="B446" s="118" t="e">
        <f t="shared" si="53"/>
        <v>#VALUE!</v>
      </c>
      <c r="C446" s="118" t="s">
        <v>612</v>
      </c>
      <c r="D446" s="113">
        <v>39281</v>
      </c>
      <c r="E446" s="84">
        <v>39326</v>
      </c>
      <c r="F446" s="84">
        <f t="shared" si="54"/>
        <v>42979</v>
      </c>
      <c r="G446" s="229">
        <v>640</v>
      </c>
      <c r="H446" s="71" t="s">
        <v>1540</v>
      </c>
      <c r="I446" s="71" t="s">
        <v>1147</v>
      </c>
      <c r="J446" s="238" t="s">
        <v>2003</v>
      </c>
      <c r="K446" s="55">
        <f t="shared" si="55"/>
        <v>2017</v>
      </c>
      <c r="L446" s="239"/>
      <c r="M446" s="239"/>
      <c r="N446" s="73"/>
      <c r="O446" s="73" t="s">
        <v>2009</v>
      </c>
      <c r="P446" s="74" t="s">
        <v>2010</v>
      </c>
      <c r="Q446" s="75" t="s">
        <v>2011</v>
      </c>
      <c r="R446" s="230">
        <v>2370</v>
      </c>
      <c r="S446" s="230">
        <v>94720</v>
      </c>
      <c r="T446" s="230">
        <v>97090</v>
      </c>
      <c r="U446" s="231">
        <v>1280</v>
      </c>
      <c r="V446" s="230"/>
      <c r="W446" s="230"/>
      <c r="X446" s="231"/>
      <c r="Y446" s="85">
        <v>0.5</v>
      </c>
      <c r="Z446" s="85"/>
      <c r="AA446" s="76"/>
      <c r="AB446" s="77" t="s">
        <v>1545</v>
      </c>
      <c r="AC446" s="78" t="s">
        <v>2012</v>
      </c>
    </row>
    <row r="447" spans="1:29" ht="27" hidden="1" customHeight="1" x14ac:dyDescent="0.2">
      <c r="A447" s="117" t="s">
        <v>2013</v>
      </c>
      <c r="B447" s="118" t="e">
        <f t="shared" si="53"/>
        <v>#VALUE!</v>
      </c>
      <c r="C447" s="118" t="s">
        <v>612</v>
      </c>
      <c r="D447" s="113">
        <v>39281</v>
      </c>
      <c r="E447" s="84">
        <v>39326</v>
      </c>
      <c r="F447" s="84">
        <f t="shared" si="54"/>
        <v>42979</v>
      </c>
      <c r="G447" s="229">
        <v>519.1</v>
      </c>
      <c r="H447" s="71" t="s">
        <v>2014</v>
      </c>
      <c r="I447" s="71" t="s">
        <v>812</v>
      </c>
      <c r="J447" s="248"/>
      <c r="K447" s="55">
        <f t="shared" si="55"/>
        <v>2017</v>
      </c>
      <c r="L447" s="249"/>
      <c r="M447" s="249"/>
      <c r="N447" s="73"/>
      <c r="O447" s="73" t="s">
        <v>2015</v>
      </c>
      <c r="P447" s="74" t="s">
        <v>2016</v>
      </c>
      <c r="Q447" s="75" t="s">
        <v>2017</v>
      </c>
      <c r="R447" s="230">
        <v>1950</v>
      </c>
      <c r="S447" s="230">
        <v>0</v>
      </c>
      <c r="T447" s="230">
        <v>1950</v>
      </c>
      <c r="U447" s="231">
        <v>1040</v>
      </c>
      <c r="V447" s="230"/>
      <c r="W447" s="230"/>
      <c r="X447" s="231"/>
      <c r="Y447" s="85">
        <v>0.5</v>
      </c>
      <c r="Z447" s="85"/>
      <c r="AA447" s="76"/>
      <c r="AB447" s="77"/>
      <c r="AC447" s="78"/>
    </row>
    <row r="448" spans="1:29" hidden="1" x14ac:dyDescent="0.2">
      <c r="A448" s="117" t="s">
        <v>2018</v>
      </c>
      <c r="B448" s="118" t="e">
        <f t="shared" si="53"/>
        <v>#VALUE!</v>
      </c>
      <c r="C448" s="118" t="s">
        <v>612</v>
      </c>
      <c r="D448" s="113">
        <v>39281</v>
      </c>
      <c r="E448" s="84">
        <v>39326</v>
      </c>
      <c r="F448" s="84">
        <f t="shared" si="54"/>
        <v>42979</v>
      </c>
      <c r="G448" s="229">
        <v>278</v>
      </c>
      <c r="H448" s="71" t="s">
        <v>2019</v>
      </c>
      <c r="I448" s="71" t="s">
        <v>614</v>
      </c>
      <c r="J448" s="248"/>
      <c r="K448" s="55">
        <f t="shared" si="55"/>
        <v>2017</v>
      </c>
      <c r="L448" s="249"/>
      <c r="M448" s="249"/>
      <c r="N448" s="73"/>
      <c r="O448" s="73" t="s">
        <v>2020</v>
      </c>
      <c r="P448" s="74" t="s">
        <v>2021</v>
      </c>
      <c r="Q448" s="75" t="s">
        <v>2022</v>
      </c>
      <c r="R448" s="230">
        <v>1103</v>
      </c>
      <c r="S448" s="230">
        <v>35584</v>
      </c>
      <c r="T448" s="230">
        <v>36687</v>
      </c>
      <c r="U448" s="231">
        <v>556</v>
      </c>
      <c r="V448" s="230"/>
      <c r="W448" s="230"/>
      <c r="X448" s="231"/>
      <c r="Y448" s="85">
        <v>0.5</v>
      </c>
      <c r="Z448" s="85"/>
      <c r="AA448" s="76"/>
      <c r="AB448" s="77" t="s">
        <v>1069</v>
      </c>
      <c r="AC448" s="78"/>
    </row>
    <row r="449" spans="1:29" hidden="1" x14ac:dyDescent="0.2">
      <c r="A449" s="117" t="s">
        <v>2023</v>
      </c>
      <c r="B449" s="118" t="e">
        <f t="shared" si="53"/>
        <v>#VALUE!</v>
      </c>
      <c r="C449" s="118" t="s">
        <v>612</v>
      </c>
      <c r="D449" s="113">
        <v>39281</v>
      </c>
      <c r="E449" s="84">
        <v>39326</v>
      </c>
      <c r="F449" s="84">
        <f t="shared" si="54"/>
        <v>42979</v>
      </c>
      <c r="G449" s="229">
        <v>368.86</v>
      </c>
      <c r="H449" s="71" t="s">
        <v>2019</v>
      </c>
      <c r="I449" s="71" t="s">
        <v>614</v>
      </c>
      <c r="J449" s="248"/>
      <c r="K449" s="55">
        <f t="shared" si="55"/>
        <v>2017</v>
      </c>
      <c r="L449" s="249"/>
      <c r="M449" s="249"/>
      <c r="N449" s="73"/>
      <c r="O449" s="73" t="s">
        <v>2020</v>
      </c>
      <c r="P449" s="74" t="s">
        <v>2024</v>
      </c>
      <c r="Q449" s="75" t="s">
        <v>2025</v>
      </c>
      <c r="R449" s="230">
        <v>1421.5</v>
      </c>
      <c r="S449" s="230">
        <v>36162</v>
      </c>
      <c r="T449" s="230">
        <v>37583.5</v>
      </c>
      <c r="U449" s="231">
        <v>738</v>
      </c>
      <c r="V449" s="230"/>
      <c r="W449" s="230"/>
      <c r="X449" s="231"/>
      <c r="Y449" s="85">
        <v>0.5</v>
      </c>
      <c r="Z449" s="85"/>
      <c r="AA449" s="76"/>
      <c r="AB449" s="77" t="s">
        <v>1069</v>
      </c>
      <c r="AC449" s="78"/>
    </row>
    <row r="450" spans="1:29" hidden="1" x14ac:dyDescent="0.2">
      <c r="A450" s="117" t="s">
        <v>2026</v>
      </c>
      <c r="B450" s="118" t="e">
        <f t="shared" si="53"/>
        <v>#VALUE!</v>
      </c>
      <c r="C450" s="118" t="s">
        <v>612</v>
      </c>
      <c r="D450" s="113">
        <v>39281</v>
      </c>
      <c r="E450" s="84">
        <v>39326</v>
      </c>
      <c r="F450" s="84">
        <f t="shared" si="54"/>
        <v>42979</v>
      </c>
      <c r="G450" s="229">
        <v>41.8</v>
      </c>
      <c r="H450" s="71" t="s">
        <v>2027</v>
      </c>
      <c r="I450" s="71" t="s">
        <v>614</v>
      </c>
      <c r="J450" s="248"/>
      <c r="K450" s="55">
        <f t="shared" si="55"/>
        <v>2017</v>
      </c>
      <c r="L450" s="249"/>
      <c r="M450" s="249"/>
      <c r="N450" s="73"/>
      <c r="O450" s="73" t="s">
        <v>2028</v>
      </c>
      <c r="P450" s="74" t="s">
        <v>2029</v>
      </c>
      <c r="Q450" s="75" t="s">
        <v>2030</v>
      </c>
      <c r="R450" s="230">
        <v>277</v>
      </c>
      <c r="S450" s="230">
        <v>25116</v>
      </c>
      <c r="T450" s="230">
        <v>25393</v>
      </c>
      <c r="U450" s="231">
        <v>84</v>
      </c>
      <c r="V450" s="230"/>
      <c r="W450" s="230"/>
      <c r="X450" s="231"/>
      <c r="Y450" s="85">
        <v>0.5</v>
      </c>
      <c r="Z450" s="85"/>
      <c r="AA450" s="76"/>
      <c r="AB450" s="77"/>
      <c r="AC450" s="78"/>
    </row>
    <row r="451" spans="1:29" hidden="1" x14ac:dyDescent="0.2">
      <c r="A451" s="117" t="s">
        <v>2031</v>
      </c>
      <c r="B451" s="118" t="e">
        <f t="shared" si="53"/>
        <v>#VALUE!</v>
      </c>
      <c r="C451" s="118" t="s">
        <v>612</v>
      </c>
      <c r="D451" s="113">
        <v>39281</v>
      </c>
      <c r="E451" s="84">
        <v>39326</v>
      </c>
      <c r="F451" s="84">
        <f t="shared" si="54"/>
        <v>42979</v>
      </c>
      <c r="G451" s="229">
        <v>43</v>
      </c>
      <c r="H451" s="71" t="s">
        <v>2019</v>
      </c>
      <c r="I451" s="71" t="s">
        <v>614</v>
      </c>
      <c r="J451" s="248"/>
      <c r="K451" s="55">
        <f t="shared" si="55"/>
        <v>2017</v>
      </c>
      <c r="L451" s="249"/>
      <c r="M451" s="249"/>
      <c r="N451" s="73"/>
      <c r="O451" s="73" t="s">
        <v>2020</v>
      </c>
      <c r="P451" s="74" t="s">
        <v>2032</v>
      </c>
      <c r="Q451" s="75" t="s">
        <v>2033</v>
      </c>
      <c r="R451" s="230">
        <v>280.5</v>
      </c>
      <c r="S451" s="230">
        <v>42914</v>
      </c>
      <c r="T451" s="230">
        <v>43194.5</v>
      </c>
      <c r="U451" s="231">
        <v>86</v>
      </c>
      <c r="V451" s="230"/>
      <c r="W451" s="230"/>
      <c r="X451" s="231"/>
      <c r="Y451" s="85">
        <v>0.5</v>
      </c>
      <c r="Z451" s="85"/>
      <c r="AA451" s="76"/>
      <c r="AB451" s="77" t="s">
        <v>1069</v>
      </c>
      <c r="AC451" s="78"/>
    </row>
    <row r="452" spans="1:29" ht="27" hidden="1" customHeight="1" x14ac:dyDescent="0.2">
      <c r="A452" s="117" t="s">
        <v>2034</v>
      </c>
      <c r="B452" s="118" t="e">
        <f t="shared" si="53"/>
        <v>#VALUE!</v>
      </c>
      <c r="C452" s="118" t="s">
        <v>612</v>
      </c>
      <c r="D452" s="113">
        <v>39281</v>
      </c>
      <c r="E452" s="84">
        <v>39326</v>
      </c>
      <c r="F452" s="84">
        <f t="shared" si="54"/>
        <v>42979</v>
      </c>
      <c r="G452" s="229">
        <v>63.395000000000003</v>
      </c>
      <c r="H452" s="71" t="s">
        <v>1245</v>
      </c>
      <c r="I452" s="71" t="s">
        <v>614</v>
      </c>
      <c r="J452" s="238" t="s">
        <v>2035</v>
      </c>
      <c r="K452" s="55">
        <f t="shared" si="55"/>
        <v>2017</v>
      </c>
      <c r="L452" s="239"/>
      <c r="M452" s="239"/>
      <c r="N452" s="73"/>
      <c r="O452" s="73" t="s">
        <v>1246</v>
      </c>
      <c r="P452" s="74" t="s">
        <v>2036</v>
      </c>
      <c r="Q452" s="75" t="s">
        <v>2037</v>
      </c>
      <c r="R452" s="230">
        <v>354</v>
      </c>
      <c r="S452" s="230">
        <v>7872</v>
      </c>
      <c r="T452" s="230">
        <v>8226</v>
      </c>
      <c r="U452" s="231">
        <v>128</v>
      </c>
      <c r="V452" s="230"/>
      <c r="W452" s="230"/>
      <c r="X452" s="231"/>
      <c r="Y452" s="85">
        <v>0.5</v>
      </c>
      <c r="Z452" s="85"/>
      <c r="AA452" s="76"/>
      <c r="AB452" s="77" t="s">
        <v>1069</v>
      </c>
      <c r="AC452" s="78"/>
    </row>
    <row r="453" spans="1:29" hidden="1" x14ac:dyDescent="0.2">
      <c r="A453" s="117" t="s">
        <v>2038</v>
      </c>
      <c r="B453" s="118" t="e">
        <f t="shared" si="53"/>
        <v>#VALUE!</v>
      </c>
      <c r="C453" s="118" t="s">
        <v>612</v>
      </c>
      <c r="D453" s="113">
        <v>39281</v>
      </c>
      <c r="E453" s="84">
        <v>39326</v>
      </c>
      <c r="F453" s="84">
        <f t="shared" si="54"/>
        <v>42979</v>
      </c>
      <c r="G453" s="229">
        <v>67.400000000000006</v>
      </c>
      <c r="H453" s="71" t="s">
        <v>1245</v>
      </c>
      <c r="I453" s="71" t="s">
        <v>614</v>
      </c>
      <c r="J453" s="248"/>
      <c r="K453" s="55">
        <f t="shared" si="55"/>
        <v>2017</v>
      </c>
      <c r="L453" s="249"/>
      <c r="M453" s="249"/>
      <c r="N453" s="73"/>
      <c r="O453" s="73" t="s">
        <v>1246</v>
      </c>
      <c r="P453" s="74" t="s">
        <v>2039</v>
      </c>
      <c r="Q453" s="75" t="s">
        <v>2040</v>
      </c>
      <c r="R453" s="230">
        <v>368</v>
      </c>
      <c r="S453" s="230">
        <v>6664</v>
      </c>
      <c r="T453" s="230">
        <v>7032</v>
      </c>
      <c r="U453" s="231">
        <v>136</v>
      </c>
      <c r="V453" s="230"/>
      <c r="W453" s="230"/>
      <c r="X453" s="231"/>
      <c r="Y453" s="85">
        <v>0.5</v>
      </c>
      <c r="Z453" s="85"/>
      <c r="AA453" s="76"/>
      <c r="AB453" s="77" t="s">
        <v>1069</v>
      </c>
      <c r="AC453" s="78"/>
    </row>
    <row r="454" spans="1:29" hidden="1" x14ac:dyDescent="0.2">
      <c r="A454" s="117" t="s">
        <v>2041</v>
      </c>
      <c r="B454" s="118" t="e">
        <f t="shared" si="53"/>
        <v>#VALUE!</v>
      </c>
      <c r="C454" s="118" t="s">
        <v>612</v>
      </c>
      <c r="D454" s="113">
        <v>39281</v>
      </c>
      <c r="E454" s="84">
        <v>39326</v>
      </c>
      <c r="F454" s="84">
        <f t="shared" si="54"/>
        <v>42979</v>
      </c>
      <c r="G454" s="229">
        <v>17.016999999999999</v>
      </c>
      <c r="H454" s="71" t="s">
        <v>1245</v>
      </c>
      <c r="I454" s="71" t="s">
        <v>614</v>
      </c>
      <c r="J454" s="248"/>
      <c r="K454" s="55">
        <f t="shared" si="55"/>
        <v>2017</v>
      </c>
      <c r="L454" s="249"/>
      <c r="M454" s="249"/>
      <c r="N454" s="73"/>
      <c r="O454" s="73" t="s">
        <v>1246</v>
      </c>
      <c r="P454" s="74" t="s">
        <v>2042</v>
      </c>
      <c r="Q454" s="75" t="s">
        <v>2043</v>
      </c>
      <c r="R454" s="230">
        <v>193</v>
      </c>
      <c r="S454" s="230">
        <v>1764</v>
      </c>
      <c r="T454" s="230">
        <v>1957</v>
      </c>
      <c r="U454" s="231">
        <v>36</v>
      </c>
      <c r="V454" s="230"/>
      <c r="W454" s="230"/>
      <c r="X454" s="231"/>
      <c r="Y454" s="85">
        <v>0.5</v>
      </c>
      <c r="Z454" s="85"/>
      <c r="AA454" s="76"/>
      <c r="AB454" s="77" t="s">
        <v>1069</v>
      </c>
      <c r="AC454" s="78"/>
    </row>
    <row r="455" spans="1:29" hidden="1" x14ac:dyDescent="0.2">
      <c r="A455" s="117" t="s">
        <v>2044</v>
      </c>
      <c r="B455" s="118" t="e">
        <f t="shared" si="53"/>
        <v>#VALUE!</v>
      </c>
      <c r="C455" s="118" t="s">
        <v>612</v>
      </c>
      <c r="D455" s="113">
        <v>39281</v>
      </c>
      <c r="E455" s="84">
        <v>39326</v>
      </c>
      <c r="F455" s="84">
        <f t="shared" si="54"/>
        <v>42979</v>
      </c>
      <c r="G455" s="229">
        <v>85</v>
      </c>
      <c r="H455" s="71" t="s">
        <v>1245</v>
      </c>
      <c r="I455" s="71" t="s">
        <v>614</v>
      </c>
      <c r="J455" s="248"/>
      <c r="K455" s="55">
        <f t="shared" si="55"/>
        <v>2017</v>
      </c>
      <c r="L455" s="249"/>
      <c r="M455" s="249"/>
      <c r="N455" s="73"/>
      <c r="O455" s="73" t="s">
        <v>1246</v>
      </c>
      <c r="P455" s="74" t="s">
        <v>2045</v>
      </c>
      <c r="Q455" s="75" t="s">
        <v>2046</v>
      </c>
      <c r="R455" s="230">
        <v>427.5</v>
      </c>
      <c r="S455" s="230">
        <v>59330</v>
      </c>
      <c r="T455" s="230">
        <v>59757.5</v>
      </c>
      <c r="U455" s="231">
        <v>170</v>
      </c>
      <c r="V455" s="230"/>
      <c r="W455" s="230"/>
      <c r="X455" s="231"/>
      <c r="Y455" s="85">
        <v>0.5</v>
      </c>
      <c r="Z455" s="85"/>
      <c r="AA455" s="76"/>
      <c r="AB455" s="77" t="s">
        <v>1069</v>
      </c>
      <c r="AC455" s="78"/>
    </row>
    <row r="456" spans="1:29" ht="27" hidden="1" customHeight="1" x14ac:dyDescent="0.2">
      <c r="A456" s="117" t="s">
        <v>2047</v>
      </c>
      <c r="B456" s="118" t="e">
        <f t="shared" si="53"/>
        <v>#VALUE!</v>
      </c>
      <c r="C456" s="118" t="s">
        <v>612</v>
      </c>
      <c r="D456" s="113">
        <v>39281</v>
      </c>
      <c r="E456" s="84">
        <v>39326</v>
      </c>
      <c r="F456" s="84">
        <f t="shared" si="54"/>
        <v>42979</v>
      </c>
      <c r="G456" s="229">
        <v>134.23500000000001</v>
      </c>
      <c r="H456" s="71" t="s">
        <v>1245</v>
      </c>
      <c r="I456" s="71" t="s">
        <v>614</v>
      </c>
      <c r="J456" s="248"/>
      <c r="K456" s="55">
        <f t="shared" si="55"/>
        <v>2017</v>
      </c>
      <c r="L456" s="249"/>
      <c r="M456" s="249"/>
      <c r="N456" s="73"/>
      <c r="O456" s="73" t="s">
        <v>1246</v>
      </c>
      <c r="P456" s="74" t="s">
        <v>2048</v>
      </c>
      <c r="Q456" s="75" t="s">
        <v>2049</v>
      </c>
      <c r="R456" s="230">
        <v>602.5</v>
      </c>
      <c r="S456" s="230">
        <v>94230</v>
      </c>
      <c r="T456" s="230">
        <v>94832.5</v>
      </c>
      <c r="U456" s="231">
        <v>270</v>
      </c>
      <c r="V456" s="230"/>
      <c r="W456" s="230"/>
      <c r="X456" s="231"/>
      <c r="Y456" s="85">
        <v>0.5</v>
      </c>
      <c r="Z456" s="85"/>
      <c r="AA456" s="76"/>
      <c r="AB456" s="77" t="s">
        <v>1069</v>
      </c>
      <c r="AC456" s="78"/>
    </row>
    <row r="457" spans="1:29" hidden="1" x14ac:dyDescent="0.2">
      <c r="A457" s="117" t="s">
        <v>2050</v>
      </c>
      <c r="B457" s="118" t="e">
        <f t="shared" si="53"/>
        <v>#VALUE!</v>
      </c>
      <c r="C457" s="118" t="s">
        <v>612</v>
      </c>
      <c r="D457" s="113">
        <v>39281</v>
      </c>
      <c r="E457" s="84">
        <v>39326</v>
      </c>
      <c r="F457" s="84">
        <f t="shared" si="54"/>
        <v>42979</v>
      </c>
      <c r="G457" s="229">
        <v>110</v>
      </c>
      <c r="H457" s="71" t="s">
        <v>1245</v>
      </c>
      <c r="I457" s="71" t="s">
        <v>614</v>
      </c>
      <c r="J457" s="248"/>
      <c r="K457" s="55">
        <f t="shared" si="55"/>
        <v>2017</v>
      </c>
      <c r="L457" s="249"/>
      <c r="M457" s="249"/>
      <c r="N457" s="73"/>
      <c r="O457" s="73" t="s">
        <v>1246</v>
      </c>
      <c r="P457" s="74" t="s">
        <v>2051</v>
      </c>
      <c r="Q457" s="75" t="s">
        <v>2052</v>
      </c>
      <c r="R457" s="230">
        <v>515</v>
      </c>
      <c r="S457" s="230">
        <v>76780</v>
      </c>
      <c r="T457" s="230">
        <v>77295</v>
      </c>
      <c r="U457" s="231">
        <v>220</v>
      </c>
      <c r="V457" s="230"/>
      <c r="W457" s="230"/>
      <c r="X457" s="231"/>
      <c r="Y457" s="85">
        <v>0.5</v>
      </c>
      <c r="Z457" s="85"/>
      <c r="AA457" s="76"/>
      <c r="AB457" s="77" t="s">
        <v>1069</v>
      </c>
      <c r="AC457" s="78"/>
    </row>
    <row r="458" spans="1:29" ht="27" hidden="1" customHeight="1" x14ac:dyDescent="0.2">
      <c r="A458" s="117" t="s">
        <v>2053</v>
      </c>
      <c r="B458" s="118" t="e">
        <f t="shared" si="53"/>
        <v>#VALUE!</v>
      </c>
      <c r="C458" s="118" t="s">
        <v>612</v>
      </c>
      <c r="D458" s="113">
        <v>39281</v>
      </c>
      <c r="E458" s="84">
        <v>39326</v>
      </c>
      <c r="F458" s="84">
        <f t="shared" si="54"/>
        <v>42979</v>
      </c>
      <c r="G458" s="229">
        <v>200</v>
      </c>
      <c r="H458" s="71" t="s">
        <v>2054</v>
      </c>
      <c r="I458" s="71" t="s">
        <v>614</v>
      </c>
      <c r="J458" s="72" t="s">
        <v>1529</v>
      </c>
      <c r="K458" s="55">
        <f t="shared" si="55"/>
        <v>2017</v>
      </c>
      <c r="L458" s="81"/>
      <c r="M458" s="81"/>
      <c r="N458" s="73"/>
      <c r="O458" s="73" t="s">
        <v>2055</v>
      </c>
      <c r="P458" s="74" t="s">
        <v>2056</v>
      </c>
      <c r="Q458" s="75" t="s">
        <v>2057</v>
      </c>
      <c r="R458" s="230">
        <v>830</v>
      </c>
      <c r="S458" s="230">
        <v>5600</v>
      </c>
      <c r="T458" s="230">
        <v>6430</v>
      </c>
      <c r="U458" s="231">
        <v>400</v>
      </c>
      <c r="V458" s="230"/>
      <c r="W458" s="230"/>
      <c r="X458" s="231"/>
      <c r="Y458" s="85">
        <v>0.5</v>
      </c>
      <c r="Z458" s="85"/>
      <c r="AA458" s="76"/>
      <c r="AB458" s="77"/>
      <c r="AC458" s="78"/>
    </row>
    <row r="459" spans="1:29" ht="27" hidden="1" customHeight="1" x14ac:dyDescent="0.2">
      <c r="A459" s="117" t="s">
        <v>2058</v>
      </c>
      <c r="B459" s="118" t="e">
        <f t="shared" si="53"/>
        <v>#VALUE!</v>
      </c>
      <c r="C459" s="118" t="s">
        <v>612</v>
      </c>
      <c r="D459" s="113">
        <v>39281</v>
      </c>
      <c r="E459" s="84">
        <v>39326</v>
      </c>
      <c r="F459" s="84">
        <f t="shared" si="54"/>
        <v>42979</v>
      </c>
      <c r="G459" s="229">
        <v>488.58</v>
      </c>
      <c r="H459" s="71" t="s">
        <v>2059</v>
      </c>
      <c r="I459" s="71" t="s">
        <v>614</v>
      </c>
      <c r="J459" s="72" t="s">
        <v>1529</v>
      </c>
      <c r="K459" s="55">
        <f t="shared" si="55"/>
        <v>2017</v>
      </c>
      <c r="L459" s="81"/>
      <c r="M459" s="81"/>
      <c r="N459" s="73"/>
      <c r="O459" s="73" t="s">
        <v>2055</v>
      </c>
      <c r="P459" s="74" t="s">
        <v>2060</v>
      </c>
      <c r="Q459" s="75" t="s">
        <v>2061</v>
      </c>
      <c r="R459" s="230">
        <v>1841.5</v>
      </c>
      <c r="S459" s="230">
        <v>23472</v>
      </c>
      <c r="T459" s="230">
        <v>25313.5</v>
      </c>
      <c r="U459" s="231">
        <v>978</v>
      </c>
      <c r="V459" s="230"/>
      <c r="W459" s="230"/>
      <c r="X459" s="231"/>
      <c r="Y459" s="85">
        <v>0.5</v>
      </c>
      <c r="Z459" s="85"/>
      <c r="AA459" s="76"/>
      <c r="AB459" s="77"/>
      <c r="AC459" s="78"/>
    </row>
    <row r="460" spans="1:29" ht="27" hidden="1" customHeight="1" x14ac:dyDescent="0.2">
      <c r="A460" s="117" t="s">
        <v>2062</v>
      </c>
      <c r="B460" s="118" t="e">
        <f t="shared" si="53"/>
        <v>#VALUE!</v>
      </c>
      <c r="C460" s="118" t="s">
        <v>612</v>
      </c>
      <c r="D460" s="113">
        <v>39281</v>
      </c>
      <c r="E460" s="84">
        <v>39326</v>
      </c>
      <c r="F460" s="84">
        <f t="shared" si="54"/>
        <v>42979</v>
      </c>
      <c r="G460" s="229">
        <v>341</v>
      </c>
      <c r="H460" s="71" t="s">
        <v>2059</v>
      </c>
      <c r="I460" s="71" t="s">
        <v>614</v>
      </c>
      <c r="J460" s="72" t="s">
        <v>1529</v>
      </c>
      <c r="K460" s="55">
        <f t="shared" si="55"/>
        <v>2017</v>
      </c>
      <c r="L460" s="81"/>
      <c r="M460" s="81"/>
      <c r="N460" s="73"/>
      <c r="O460" s="73" t="s">
        <v>2055</v>
      </c>
      <c r="P460" s="74" t="s">
        <v>2063</v>
      </c>
      <c r="Q460" s="75" t="s">
        <v>2064</v>
      </c>
      <c r="R460" s="230">
        <v>1323.5</v>
      </c>
      <c r="S460" s="230">
        <v>16368</v>
      </c>
      <c r="T460" s="230">
        <v>17691.5</v>
      </c>
      <c r="U460" s="231">
        <v>682</v>
      </c>
      <c r="V460" s="230"/>
      <c r="W460" s="230"/>
      <c r="X460" s="231"/>
      <c r="Y460" s="85">
        <v>0.5</v>
      </c>
      <c r="Z460" s="85"/>
      <c r="AA460" s="76"/>
      <c r="AB460" s="77"/>
      <c r="AC460" s="78"/>
    </row>
    <row r="461" spans="1:29" hidden="1" x14ac:dyDescent="0.2">
      <c r="A461" s="117" t="s">
        <v>2065</v>
      </c>
      <c r="B461" s="118" t="e">
        <f t="shared" si="53"/>
        <v>#VALUE!</v>
      </c>
      <c r="C461" s="118" t="s">
        <v>612</v>
      </c>
      <c r="D461" s="113">
        <v>39281</v>
      </c>
      <c r="E461" s="84">
        <v>39326</v>
      </c>
      <c r="F461" s="84">
        <f t="shared" si="54"/>
        <v>42979</v>
      </c>
      <c r="G461" s="229">
        <v>17.399999999999999</v>
      </c>
      <c r="H461" s="71" t="s">
        <v>2019</v>
      </c>
      <c r="I461" s="71" t="s">
        <v>614</v>
      </c>
      <c r="J461" s="79"/>
      <c r="K461" s="55">
        <f t="shared" si="55"/>
        <v>2017</v>
      </c>
      <c r="L461" s="80"/>
      <c r="M461" s="80"/>
      <c r="N461" s="73"/>
      <c r="O461" s="73" t="s">
        <v>2028</v>
      </c>
      <c r="P461" s="74" t="s">
        <v>2066</v>
      </c>
      <c r="Q461" s="75" t="s">
        <v>2067</v>
      </c>
      <c r="R461" s="230">
        <v>193</v>
      </c>
      <c r="S461" s="230">
        <v>0</v>
      </c>
      <c r="T461" s="230">
        <v>193</v>
      </c>
      <c r="U461" s="231">
        <v>36</v>
      </c>
      <c r="V461" s="230"/>
      <c r="W461" s="230"/>
      <c r="X461" s="231"/>
      <c r="Y461" s="85">
        <v>0.5</v>
      </c>
      <c r="Z461" s="85"/>
      <c r="AA461" s="76"/>
      <c r="AB461" s="77" t="s">
        <v>1069</v>
      </c>
      <c r="AC461" s="78"/>
    </row>
    <row r="462" spans="1:29" ht="15" hidden="1" customHeight="1" thickBot="1" x14ac:dyDescent="0.25">
      <c r="A462" s="117"/>
      <c r="D462" s="113"/>
      <c r="E462" s="84"/>
      <c r="F462" s="84"/>
      <c r="G462" s="229"/>
      <c r="H462" s="71"/>
      <c r="I462" s="71"/>
      <c r="J462" s="79"/>
      <c r="K462" s="79"/>
      <c r="L462" s="80"/>
      <c r="M462" s="80"/>
      <c r="N462" s="73"/>
      <c r="O462" s="73"/>
      <c r="P462" s="74"/>
      <c r="Q462" s="75" t="s">
        <v>1144</v>
      </c>
      <c r="R462" s="241">
        <v>89133.5</v>
      </c>
      <c r="S462" s="241">
        <v>1198860</v>
      </c>
      <c r="T462" s="241">
        <v>1287993.5</v>
      </c>
      <c r="U462" s="231"/>
      <c r="V462" s="230"/>
      <c r="W462" s="230"/>
      <c r="X462" s="231"/>
      <c r="Y462" s="85"/>
      <c r="Z462" s="85"/>
      <c r="AA462" s="76"/>
      <c r="AB462" s="77"/>
      <c r="AC462" s="78"/>
    </row>
    <row r="463" spans="1:29" hidden="1" x14ac:dyDescent="0.2">
      <c r="A463" s="117"/>
      <c r="D463" s="113"/>
      <c r="E463" s="84"/>
      <c r="F463" s="84"/>
      <c r="G463" s="229"/>
      <c r="H463" s="71"/>
      <c r="I463" s="71"/>
      <c r="J463" s="79"/>
      <c r="K463" s="79"/>
      <c r="L463" s="80"/>
      <c r="M463" s="80"/>
      <c r="N463" s="73"/>
      <c r="O463" s="73"/>
      <c r="P463" s="74"/>
      <c r="Q463" s="75"/>
      <c r="R463" s="230"/>
      <c r="S463" s="230"/>
      <c r="T463" s="230"/>
      <c r="U463" s="231"/>
      <c r="V463" s="230"/>
      <c r="W463" s="230"/>
      <c r="X463" s="231"/>
      <c r="Y463" s="85"/>
      <c r="Z463" s="85"/>
      <c r="AA463" s="76"/>
      <c r="AB463" s="77"/>
      <c r="AC463" s="78"/>
    </row>
    <row r="464" spans="1:29" hidden="1" x14ac:dyDescent="0.2">
      <c r="A464" s="117" t="s">
        <v>2068</v>
      </c>
      <c r="B464" s="118" t="e">
        <f t="shared" ref="B464:B495" si="56">IF(COUNTIF(GIS,A466),"YES","NO")</f>
        <v>#VALUE!</v>
      </c>
      <c r="C464" s="118" t="s">
        <v>612</v>
      </c>
      <c r="D464" s="113">
        <v>39338</v>
      </c>
      <c r="E464" s="84">
        <v>39417</v>
      </c>
      <c r="F464" s="84">
        <f t="shared" ref="F464:F495" si="57">DATE(YEAR(E464)+10,MONTH(E464),DAY(E464))</f>
        <v>43070</v>
      </c>
      <c r="G464" s="229">
        <v>280</v>
      </c>
      <c r="H464" s="71" t="s">
        <v>2069</v>
      </c>
      <c r="I464" s="71" t="s">
        <v>676</v>
      </c>
      <c r="J464" s="79"/>
      <c r="K464" s="55">
        <f t="shared" ref="K464:K495" si="58">YEAR(F464)</f>
        <v>2017</v>
      </c>
      <c r="L464" s="80"/>
      <c r="M464" s="80"/>
      <c r="N464" s="73" t="s">
        <v>1255</v>
      </c>
      <c r="O464" s="73" t="s">
        <v>2070</v>
      </c>
      <c r="P464" s="74" t="s">
        <v>2071</v>
      </c>
      <c r="Q464" s="75" t="s">
        <v>2072</v>
      </c>
      <c r="R464" s="230">
        <v>1110</v>
      </c>
      <c r="S464" s="230">
        <v>0</v>
      </c>
      <c r="T464" s="230">
        <v>1110</v>
      </c>
      <c r="U464" s="231">
        <v>560</v>
      </c>
      <c r="V464" s="230"/>
      <c r="W464" s="230"/>
      <c r="X464" s="231"/>
      <c r="Y464" s="85">
        <v>0.5</v>
      </c>
      <c r="Z464" s="85"/>
      <c r="AA464" s="76"/>
      <c r="AB464" s="77"/>
      <c r="AC464" s="78"/>
    </row>
    <row r="465" spans="1:29" hidden="1" x14ac:dyDescent="0.2">
      <c r="A465" s="117" t="s">
        <v>2073</v>
      </c>
      <c r="B465" s="118" t="e">
        <f t="shared" si="56"/>
        <v>#VALUE!</v>
      </c>
      <c r="C465" s="118" t="s">
        <v>612</v>
      </c>
      <c r="D465" s="113">
        <v>39338</v>
      </c>
      <c r="E465" s="84">
        <v>39417</v>
      </c>
      <c r="F465" s="84">
        <f t="shared" si="57"/>
        <v>43070</v>
      </c>
      <c r="G465" s="229">
        <v>640</v>
      </c>
      <c r="H465" s="71" t="s">
        <v>884</v>
      </c>
      <c r="I465" s="71" t="s">
        <v>676</v>
      </c>
      <c r="J465" s="79"/>
      <c r="K465" s="55">
        <f t="shared" si="58"/>
        <v>2017</v>
      </c>
      <c r="L465" s="80"/>
      <c r="M465" s="80"/>
      <c r="N465" s="73" t="s">
        <v>1255</v>
      </c>
      <c r="O465" s="73" t="s">
        <v>2074</v>
      </c>
      <c r="P465" s="74" t="s">
        <v>2075</v>
      </c>
      <c r="Q465" s="75" t="s">
        <v>2076</v>
      </c>
      <c r="R465" s="230">
        <v>2370</v>
      </c>
      <c r="S465" s="230">
        <v>37120</v>
      </c>
      <c r="T465" s="230">
        <v>39490</v>
      </c>
      <c r="U465" s="231">
        <v>1280</v>
      </c>
      <c r="V465" s="230"/>
      <c r="W465" s="230"/>
      <c r="X465" s="231"/>
      <c r="Y465" s="85">
        <v>0.5</v>
      </c>
      <c r="Z465" s="85"/>
      <c r="AA465" s="76"/>
      <c r="AB465" s="77"/>
      <c r="AC465" s="78"/>
    </row>
    <row r="466" spans="1:29" hidden="1" x14ac:dyDescent="0.2">
      <c r="A466" s="117" t="s">
        <v>2077</v>
      </c>
      <c r="B466" s="118" t="e">
        <f t="shared" si="56"/>
        <v>#VALUE!</v>
      </c>
      <c r="C466" s="118" t="s">
        <v>612</v>
      </c>
      <c r="D466" s="113">
        <v>39338</v>
      </c>
      <c r="E466" s="84">
        <v>39417</v>
      </c>
      <c r="F466" s="84">
        <f t="shared" si="57"/>
        <v>43070</v>
      </c>
      <c r="G466" s="229">
        <v>640</v>
      </c>
      <c r="H466" s="71" t="s">
        <v>884</v>
      </c>
      <c r="I466" s="71" t="s">
        <v>676</v>
      </c>
      <c r="J466" s="79"/>
      <c r="K466" s="55">
        <f t="shared" si="58"/>
        <v>2017</v>
      </c>
      <c r="L466" s="80"/>
      <c r="M466" s="80"/>
      <c r="N466" s="73" t="s">
        <v>1255</v>
      </c>
      <c r="O466" s="73" t="s">
        <v>2074</v>
      </c>
      <c r="P466" s="74" t="s">
        <v>2078</v>
      </c>
      <c r="Q466" s="75" t="s">
        <v>2079</v>
      </c>
      <c r="R466" s="230">
        <v>2370</v>
      </c>
      <c r="S466" s="230">
        <v>33920</v>
      </c>
      <c r="T466" s="230">
        <v>36290</v>
      </c>
      <c r="U466" s="231">
        <v>1280</v>
      </c>
      <c r="V466" s="230"/>
      <c r="W466" s="230"/>
      <c r="X466" s="231"/>
      <c r="Y466" s="85">
        <v>0.5</v>
      </c>
      <c r="Z466" s="85"/>
      <c r="AA466" s="76"/>
      <c r="AB466" s="77"/>
      <c r="AC466" s="78"/>
    </row>
    <row r="467" spans="1:29" hidden="1" x14ac:dyDescent="0.2">
      <c r="A467" s="117" t="s">
        <v>2080</v>
      </c>
      <c r="B467" s="118" t="e">
        <f t="shared" si="56"/>
        <v>#VALUE!</v>
      </c>
      <c r="C467" s="118" t="s">
        <v>612</v>
      </c>
      <c r="D467" s="113">
        <v>39338</v>
      </c>
      <c r="E467" s="84">
        <v>39417</v>
      </c>
      <c r="F467" s="84">
        <f t="shared" si="57"/>
        <v>43070</v>
      </c>
      <c r="G467" s="229">
        <v>40</v>
      </c>
      <c r="H467" s="71" t="s">
        <v>1269</v>
      </c>
      <c r="I467" s="71" t="s">
        <v>676</v>
      </c>
      <c r="J467" s="79"/>
      <c r="K467" s="55">
        <f t="shared" si="58"/>
        <v>2017</v>
      </c>
      <c r="L467" s="80"/>
      <c r="M467" s="80"/>
      <c r="N467" s="73" t="s">
        <v>1270</v>
      </c>
      <c r="O467" s="73" t="s">
        <v>2081</v>
      </c>
      <c r="P467" s="74" t="s">
        <v>2082</v>
      </c>
      <c r="Q467" s="75" t="s">
        <v>2083</v>
      </c>
      <c r="R467" s="230">
        <v>270</v>
      </c>
      <c r="S467" s="230">
        <v>720</v>
      </c>
      <c r="T467" s="230">
        <v>990</v>
      </c>
      <c r="U467" s="231">
        <v>80</v>
      </c>
      <c r="V467" s="230"/>
      <c r="W467" s="230"/>
      <c r="X467" s="231"/>
      <c r="Y467" s="85">
        <v>0.5</v>
      </c>
      <c r="Z467" s="85"/>
      <c r="AA467" s="76"/>
      <c r="AB467" s="77"/>
      <c r="AC467" s="78"/>
    </row>
    <row r="468" spans="1:29" hidden="1" x14ac:dyDescent="0.2">
      <c r="A468" s="117" t="s">
        <v>2084</v>
      </c>
      <c r="B468" s="118" t="e">
        <f t="shared" si="56"/>
        <v>#VALUE!</v>
      </c>
      <c r="C468" s="118" t="s">
        <v>612</v>
      </c>
      <c r="D468" s="113">
        <v>39338</v>
      </c>
      <c r="E468" s="84">
        <v>39417</v>
      </c>
      <c r="F468" s="84">
        <f t="shared" si="57"/>
        <v>43070</v>
      </c>
      <c r="G468" s="229">
        <v>40</v>
      </c>
      <c r="H468" s="71" t="s">
        <v>1269</v>
      </c>
      <c r="I468" s="71" t="s">
        <v>676</v>
      </c>
      <c r="J468" s="79"/>
      <c r="K468" s="55">
        <f t="shared" si="58"/>
        <v>2017</v>
      </c>
      <c r="L468" s="80"/>
      <c r="M468" s="80"/>
      <c r="N468" s="73" t="s">
        <v>1270</v>
      </c>
      <c r="O468" s="73" t="s">
        <v>2081</v>
      </c>
      <c r="P468" s="74" t="s">
        <v>2085</v>
      </c>
      <c r="Q468" s="75" t="s">
        <v>2086</v>
      </c>
      <c r="R468" s="230">
        <v>270</v>
      </c>
      <c r="S468" s="230">
        <v>720</v>
      </c>
      <c r="T468" s="230">
        <v>990</v>
      </c>
      <c r="U468" s="231">
        <v>80</v>
      </c>
      <c r="V468" s="230"/>
      <c r="W468" s="230"/>
      <c r="X468" s="231"/>
      <c r="Y468" s="85">
        <v>0.5</v>
      </c>
      <c r="Z468" s="85"/>
      <c r="AA468" s="76"/>
      <c r="AB468" s="77"/>
      <c r="AC468" s="78"/>
    </row>
    <row r="469" spans="1:29" ht="27" hidden="1" customHeight="1" x14ac:dyDescent="0.2">
      <c r="A469" s="117" t="s">
        <v>2087</v>
      </c>
      <c r="B469" s="118" t="e">
        <f t="shared" si="56"/>
        <v>#VALUE!</v>
      </c>
      <c r="C469" s="118" t="s">
        <v>612</v>
      </c>
      <c r="D469" s="113">
        <v>39338</v>
      </c>
      <c r="E469" s="84">
        <v>39417</v>
      </c>
      <c r="F469" s="84">
        <f t="shared" si="57"/>
        <v>43070</v>
      </c>
      <c r="G469" s="229">
        <v>79.849999999999994</v>
      </c>
      <c r="H469" s="71" t="s">
        <v>1269</v>
      </c>
      <c r="I469" s="71" t="s">
        <v>676</v>
      </c>
      <c r="J469" s="79"/>
      <c r="K469" s="55">
        <f t="shared" si="58"/>
        <v>2017</v>
      </c>
      <c r="L469" s="80"/>
      <c r="M469" s="80"/>
      <c r="N469" s="73" t="s">
        <v>1270</v>
      </c>
      <c r="O469" s="73" t="s">
        <v>2088</v>
      </c>
      <c r="P469" s="74" t="s">
        <v>2089</v>
      </c>
      <c r="Q469" s="75" t="s">
        <v>2090</v>
      </c>
      <c r="R469" s="230">
        <v>410</v>
      </c>
      <c r="S469" s="230">
        <v>2240</v>
      </c>
      <c r="T469" s="230">
        <v>2650</v>
      </c>
      <c r="U469" s="231">
        <v>160</v>
      </c>
      <c r="V469" s="230"/>
      <c r="W469" s="230"/>
      <c r="X469" s="231"/>
      <c r="Y469" s="85">
        <v>0.5</v>
      </c>
      <c r="Z469" s="85"/>
      <c r="AA469" s="76"/>
      <c r="AB469" s="77"/>
      <c r="AC469" s="78"/>
    </row>
    <row r="470" spans="1:29" hidden="1" x14ac:dyDescent="0.2">
      <c r="A470" s="117" t="s">
        <v>2091</v>
      </c>
      <c r="B470" s="118" t="e">
        <f t="shared" si="56"/>
        <v>#VALUE!</v>
      </c>
      <c r="C470" s="118" t="s">
        <v>612</v>
      </c>
      <c r="D470" s="113">
        <v>39338</v>
      </c>
      <c r="E470" s="84">
        <v>39417</v>
      </c>
      <c r="F470" s="84">
        <f t="shared" si="57"/>
        <v>43070</v>
      </c>
      <c r="G470" s="229">
        <v>39.85</v>
      </c>
      <c r="H470" s="71" t="s">
        <v>2092</v>
      </c>
      <c r="I470" s="71" t="s">
        <v>684</v>
      </c>
      <c r="J470" s="238" t="s">
        <v>2093</v>
      </c>
      <c r="K470" s="55">
        <f t="shared" si="58"/>
        <v>2017</v>
      </c>
      <c r="L470" s="239"/>
      <c r="M470" s="239"/>
      <c r="N470" s="73"/>
      <c r="O470" s="73" t="s">
        <v>2094</v>
      </c>
      <c r="P470" s="74" t="s">
        <v>2095</v>
      </c>
      <c r="Q470" s="75" t="s">
        <v>2096</v>
      </c>
      <c r="R470" s="230">
        <v>270</v>
      </c>
      <c r="S470" s="230">
        <v>10120</v>
      </c>
      <c r="T470" s="230">
        <v>10390</v>
      </c>
      <c r="U470" s="231">
        <v>60</v>
      </c>
      <c r="V470" s="230"/>
      <c r="W470" s="230"/>
      <c r="X470" s="231"/>
      <c r="Y470" s="85">
        <v>0.5</v>
      </c>
      <c r="Z470" s="85"/>
      <c r="AA470" s="76"/>
      <c r="AB470" s="77"/>
      <c r="AC470" s="78"/>
    </row>
    <row r="471" spans="1:29" ht="27" hidden="1" customHeight="1" x14ac:dyDescent="0.2">
      <c r="A471" s="117" t="s">
        <v>2097</v>
      </c>
      <c r="B471" s="118" t="e">
        <f t="shared" si="56"/>
        <v>#VALUE!</v>
      </c>
      <c r="C471" s="118" t="s">
        <v>612</v>
      </c>
      <c r="D471" s="113">
        <v>39338</v>
      </c>
      <c r="E471" s="84">
        <v>39417</v>
      </c>
      <c r="F471" s="84">
        <f t="shared" si="57"/>
        <v>43070</v>
      </c>
      <c r="G471" s="229">
        <v>41</v>
      </c>
      <c r="H471" s="71" t="s">
        <v>1577</v>
      </c>
      <c r="I471" s="71" t="s">
        <v>684</v>
      </c>
      <c r="J471" s="238" t="s">
        <v>2098</v>
      </c>
      <c r="K471" s="55">
        <f t="shared" si="58"/>
        <v>2017</v>
      </c>
      <c r="L471" s="239"/>
      <c r="M471" s="239"/>
      <c r="N471" s="73"/>
      <c r="O471" s="73" t="s">
        <v>2099</v>
      </c>
      <c r="P471" s="74" t="s">
        <v>2100</v>
      </c>
      <c r="Q471" s="75" t="s">
        <v>2101</v>
      </c>
      <c r="R471" s="230">
        <v>273.5</v>
      </c>
      <c r="S471" s="230">
        <v>65518</v>
      </c>
      <c r="T471" s="230">
        <v>65791.5</v>
      </c>
      <c r="U471" s="231">
        <v>61.5</v>
      </c>
      <c r="V471" s="230"/>
      <c r="W471" s="230"/>
      <c r="X471" s="231"/>
      <c r="Y471" s="85">
        <v>0.5</v>
      </c>
      <c r="Z471" s="85"/>
      <c r="AA471" s="76"/>
      <c r="AB471" s="77"/>
      <c r="AC471" s="78"/>
    </row>
    <row r="472" spans="1:29" hidden="1" x14ac:dyDescent="0.2">
      <c r="A472" s="117" t="s">
        <v>2102</v>
      </c>
      <c r="B472" s="118" t="e">
        <f t="shared" si="56"/>
        <v>#VALUE!</v>
      </c>
      <c r="C472" s="118" t="s">
        <v>612</v>
      </c>
      <c r="D472" s="113">
        <v>39338</v>
      </c>
      <c r="E472" s="84">
        <v>39417</v>
      </c>
      <c r="F472" s="84">
        <f t="shared" si="57"/>
        <v>43070</v>
      </c>
      <c r="G472" s="229">
        <v>40</v>
      </c>
      <c r="H472" s="71" t="s">
        <v>2103</v>
      </c>
      <c r="I472" s="71" t="s">
        <v>684</v>
      </c>
      <c r="J472" s="248"/>
      <c r="K472" s="55">
        <f t="shared" si="58"/>
        <v>2017</v>
      </c>
      <c r="L472" s="249"/>
      <c r="M472" s="249"/>
      <c r="N472" s="73"/>
      <c r="O472" s="73" t="s">
        <v>2104</v>
      </c>
      <c r="P472" s="74" t="s">
        <v>2105</v>
      </c>
      <c r="Q472" s="75" t="s">
        <v>2106</v>
      </c>
      <c r="R472" s="230">
        <v>270</v>
      </c>
      <c r="S472" s="230">
        <v>1920</v>
      </c>
      <c r="T472" s="230">
        <v>2190</v>
      </c>
      <c r="U472" s="231">
        <v>80</v>
      </c>
      <c r="V472" s="230"/>
      <c r="W472" s="230"/>
      <c r="X472" s="231"/>
      <c r="Y472" s="85">
        <v>0.5</v>
      </c>
      <c r="Z472" s="85"/>
      <c r="AA472" s="76"/>
      <c r="AB472" s="77"/>
      <c r="AC472" s="78"/>
    </row>
    <row r="473" spans="1:29" hidden="1" x14ac:dyDescent="0.2">
      <c r="A473" s="117" t="s">
        <v>2107</v>
      </c>
      <c r="B473" s="118" t="e">
        <f t="shared" si="56"/>
        <v>#VALUE!</v>
      </c>
      <c r="C473" s="118" t="s">
        <v>612</v>
      </c>
      <c r="D473" s="113">
        <v>39338</v>
      </c>
      <c r="E473" s="84">
        <v>39417</v>
      </c>
      <c r="F473" s="84">
        <f t="shared" si="57"/>
        <v>43070</v>
      </c>
      <c r="G473" s="229">
        <v>39.880000000000003</v>
      </c>
      <c r="H473" s="71" t="s">
        <v>2108</v>
      </c>
      <c r="I473" s="71" t="s">
        <v>684</v>
      </c>
      <c r="J473" s="248"/>
      <c r="K473" s="55">
        <f t="shared" si="58"/>
        <v>2017</v>
      </c>
      <c r="L473" s="249"/>
      <c r="M473" s="249"/>
      <c r="N473" s="73"/>
      <c r="O473" s="73" t="s">
        <v>2109</v>
      </c>
      <c r="P473" s="74" t="s">
        <v>2110</v>
      </c>
      <c r="Q473" s="75" t="s">
        <v>2111</v>
      </c>
      <c r="R473" s="230">
        <v>270</v>
      </c>
      <c r="S473" s="230">
        <v>0</v>
      </c>
      <c r="T473" s="230">
        <v>270</v>
      </c>
      <c r="U473" s="231">
        <v>80</v>
      </c>
      <c r="V473" s="230"/>
      <c r="W473" s="230"/>
      <c r="X473" s="231"/>
      <c r="Y473" s="85">
        <v>0.5</v>
      </c>
      <c r="Z473" s="85"/>
      <c r="AA473" s="76"/>
      <c r="AB473" s="77"/>
      <c r="AC473" s="78"/>
    </row>
    <row r="474" spans="1:29" ht="27" hidden="1" customHeight="1" x14ac:dyDescent="0.2">
      <c r="A474" s="117" t="s">
        <v>2112</v>
      </c>
      <c r="B474" s="118" t="e">
        <f t="shared" si="56"/>
        <v>#VALUE!</v>
      </c>
      <c r="C474" s="118" t="s">
        <v>612</v>
      </c>
      <c r="D474" s="113">
        <v>39338</v>
      </c>
      <c r="E474" s="84">
        <v>39417</v>
      </c>
      <c r="F474" s="84">
        <f t="shared" si="57"/>
        <v>43070</v>
      </c>
      <c r="G474" s="229">
        <v>40</v>
      </c>
      <c r="H474" s="71" t="s">
        <v>2103</v>
      </c>
      <c r="I474" s="71" t="s">
        <v>684</v>
      </c>
      <c r="J474" s="238" t="s">
        <v>2113</v>
      </c>
      <c r="K474" s="55">
        <f t="shared" si="58"/>
        <v>2017</v>
      </c>
      <c r="L474" s="239"/>
      <c r="M474" s="239"/>
      <c r="N474" s="73"/>
      <c r="O474" s="73" t="s">
        <v>2114</v>
      </c>
      <c r="P474" s="74" t="s">
        <v>2115</v>
      </c>
      <c r="Q474" s="75" t="s">
        <v>2116</v>
      </c>
      <c r="R474" s="230">
        <v>270</v>
      </c>
      <c r="S474" s="230">
        <v>1520</v>
      </c>
      <c r="T474" s="230">
        <v>1790</v>
      </c>
      <c r="U474" s="231">
        <v>80</v>
      </c>
      <c r="V474" s="230"/>
      <c r="W474" s="230"/>
      <c r="X474" s="231"/>
      <c r="Y474" s="85">
        <v>0.5</v>
      </c>
      <c r="Z474" s="82"/>
      <c r="AA474" s="83"/>
      <c r="AB474" s="77"/>
      <c r="AC474" s="78"/>
    </row>
    <row r="475" spans="1:29" hidden="1" x14ac:dyDescent="0.2">
      <c r="A475" s="117" t="s">
        <v>2117</v>
      </c>
      <c r="B475" s="118" t="e">
        <f t="shared" si="56"/>
        <v>#VALUE!</v>
      </c>
      <c r="C475" s="118" t="s">
        <v>612</v>
      </c>
      <c r="D475" s="113">
        <v>39338</v>
      </c>
      <c r="E475" s="84">
        <v>39417</v>
      </c>
      <c r="F475" s="84">
        <f t="shared" si="57"/>
        <v>43070</v>
      </c>
      <c r="G475" s="229">
        <v>40</v>
      </c>
      <c r="H475" s="71" t="s">
        <v>2103</v>
      </c>
      <c r="I475" s="71" t="s">
        <v>684</v>
      </c>
      <c r="J475" s="248"/>
      <c r="K475" s="55">
        <f t="shared" si="58"/>
        <v>2017</v>
      </c>
      <c r="L475" s="249"/>
      <c r="M475" s="249"/>
      <c r="N475" s="73"/>
      <c r="O475" s="73" t="s">
        <v>2118</v>
      </c>
      <c r="P475" s="74" t="s">
        <v>2119</v>
      </c>
      <c r="Q475" s="75" t="s">
        <v>2120</v>
      </c>
      <c r="R475" s="230">
        <v>270</v>
      </c>
      <c r="S475" s="230">
        <v>8120</v>
      </c>
      <c r="T475" s="230">
        <v>8390</v>
      </c>
      <c r="U475" s="231">
        <v>80</v>
      </c>
      <c r="V475" s="230"/>
      <c r="W475" s="230"/>
      <c r="X475" s="231"/>
      <c r="Y475" s="85">
        <v>0.5</v>
      </c>
      <c r="Z475" s="85"/>
      <c r="AA475" s="76"/>
      <c r="AB475" s="77"/>
      <c r="AC475" s="78"/>
    </row>
    <row r="476" spans="1:29" hidden="1" x14ac:dyDescent="0.2">
      <c r="A476" s="117" t="s">
        <v>2121</v>
      </c>
      <c r="B476" s="118" t="e">
        <f t="shared" si="56"/>
        <v>#VALUE!</v>
      </c>
      <c r="C476" s="118" t="s">
        <v>612</v>
      </c>
      <c r="D476" s="113">
        <v>39338</v>
      </c>
      <c r="E476" s="84">
        <v>39417</v>
      </c>
      <c r="F476" s="84">
        <f t="shared" si="57"/>
        <v>43070</v>
      </c>
      <c r="G476" s="229">
        <v>40.130000000000003</v>
      </c>
      <c r="H476" s="71" t="s">
        <v>2122</v>
      </c>
      <c r="I476" s="71" t="s">
        <v>684</v>
      </c>
      <c r="J476" s="248"/>
      <c r="K476" s="55">
        <f t="shared" si="58"/>
        <v>2017</v>
      </c>
      <c r="L476" s="249"/>
      <c r="M476" s="249"/>
      <c r="N476" s="73"/>
      <c r="O476" s="73" t="s">
        <v>2123</v>
      </c>
      <c r="P476" s="74" t="s">
        <v>2082</v>
      </c>
      <c r="Q476" s="75" t="s">
        <v>2124</v>
      </c>
      <c r="R476" s="230">
        <v>273.5</v>
      </c>
      <c r="S476" s="230">
        <v>0</v>
      </c>
      <c r="T476" s="230">
        <v>273.5</v>
      </c>
      <c r="U476" s="231">
        <v>82</v>
      </c>
      <c r="V476" s="230"/>
      <c r="W476" s="230"/>
      <c r="X476" s="231"/>
      <c r="Y476" s="85">
        <v>0.5</v>
      </c>
      <c r="Z476" s="85"/>
      <c r="AA476" s="76"/>
      <c r="AB476" s="77"/>
      <c r="AC476" s="78"/>
    </row>
    <row r="477" spans="1:29" ht="27" hidden="1" customHeight="1" x14ac:dyDescent="0.2">
      <c r="A477" s="117" t="s">
        <v>2125</v>
      </c>
      <c r="B477" s="118" t="e">
        <f t="shared" si="56"/>
        <v>#VALUE!</v>
      </c>
      <c r="C477" s="118" t="s">
        <v>612</v>
      </c>
      <c r="D477" s="113">
        <v>39338</v>
      </c>
      <c r="E477" s="84">
        <v>39417</v>
      </c>
      <c r="F477" s="84">
        <f t="shared" si="57"/>
        <v>43070</v>
      </c>
      <c r="G477" s="229">
        <v>406.36</v>
      </c>
      <c r="H477" s="71" t="s">
        <v>1577</v>
      </c>
      <c r="I477" s="71" t="s">
        <v>684</v>
      </c>
      <c r="J477" s="238" t="s">
        <v>2126</v>
      </c>
      <c r="K477" s="55">
        <f t="shared" si="58"/>
        <v>2017</v>
      </c>
      <c r="L477" s="239"/>
      <c r="M477" s="239"/>
      <c r="N477" s="73"/>
      <c r="O477" s="73" t="s">
        <v>2127</v>
      </c>
      <c r="P477" s="74" t="s">
        <v>2128</v>
      </c>
      <c r="Q477" s="75" t="s">
        <v>2129</v>
      </c>
      <c r="R477" s="230">
        <v>1554.5</v>
      </c>
      <c r="S477" s="230">
        <v>223036</v>
      </c>
      <c r="T477" s="230">
        <v>224590.5</v>
      </c>
      <c r="U477" s="231">
        <v>814</v>
      </c>
      <c r="V477" s="230"/>
      <c r="W477" s="230"/>
      <c r="X477" s="231"/>
      <c r="Y477" s="85">
        <v>0.5</v>
      </c>
      <c r="Z477" s="85"/>
      <c r="AA477" s="76"/>
      <c r="AB477" s="77"/>
      <c r="AC477" s="78"/>
    </row>
    <row r="478" spans="1:29" hidden="1" x14ac:dyDescent="0.2">
      <c r="A478" s="117" t="s">
        <v>2130</v>
      </c>
      <c r="B478" s="118" t="e">
        <f t="shared" si="56"/>
        <v>#VALUE!</v>
      </c>
      <c r="C478" s="118" t="s">
        <v>612</v>
      </c>
      <c r="D478" s="113">
        <v>39338</v>
      </c>
      <c r="E478" s="84">
        <v>39417</v>
      </c>
      <c r="F478" s="84">
        <f t="shared" si="57"/>
        <v>43070</v>
      </c>
      <c r="G478" s="229">
        <v>79.900000000000006</v>
      </c>
      <c r="H478" s="71" t="s">
        <v>2131</v>
      </c>
      <c r="I478" s="71" t="s">
        <v>684</v>
      </c>
      <c r="J478" s="248"/>
      <c r="K478" s="55">
        <f t="shared" si="58"/>
        <v>2017</v>
      </c>
      <c r="L478" s="249"/>
      <c r="M478" s="249"/>
      <c r="N478" s="73"/>
      <c r="O478" s="73" t="s">
        <v>2132</v>
      </c>
      <c r="P478" s="74" t="s">
        <v>2133</v>
      </c>
      <c r="Q478" s="75" t="s">
        <v>2134</v>
      </c>
      <c r="R478" s="230">
        <v>410</v>
      </c>
      <c r="S478" s="230">
        <v>25840</v>
      </c>
      <c r="T478" s="230">
        <v>26250</v>
      </c>
      <c r="U478" s="231">
        <v>160</v>
      </c>
      <c r="V478" s="230"/>
      <c r="W478" s="230"/>
      <c r="X478" s="231"/>
      <c r="Y478" s="85">
        <v>0.5</v>
      </c>
      <c r="Z478" s="85"/>
      <c r="AA478" s="76"/>
      <c r="AB478" s="77"/>
      <c r="AC478" s="78"/>
    </row>
    <row r="479" spans="1:29" hidden="1" x14ac:dyDescent="0.2">
      <c r="A479" s="117" t="s">
        <v>2135</v>
      </c>
      <c r="B479" s="118" t="e">
        <f t="shared" si="56"/>
        <v>#VALUE!</v>
      </c>
      <c r="C479" s="118" t="s">
        <v>612</v>
      </c>
      <c r="D479" s="113">
        <v>39338</v>
      </c>
      <c r="E479" s="84">
        <v>39417</v>
      </c>
      <c r="F479" s="84">
        <f t="shared" si="57"/>
        <v>43070</v>
      </c>
      <c r="G479" s="229">
        <v>80.44</v>
      </c>
      <c r="H479" s="71" t="s">
        <v>2136</v>
      </c>
      <c r="I479" s="71" t="s">
        <v>684</v>
      </c>
      <c r="J479" s="79"/>
      <c r="K479" s="55">
        <f t="shared" si="58"/>
        <v>2017</v>
      </c>
      <c r="L479" s="80"/>
      <c r="M479" s="80"/>
      <c r="N479" s="73"/>
      <c r="O479" s="73" t="s">
        <v>2137</v>
      </c>
      <c r="P479" s="74" t="s">
        <v>2138</v>
      </c>
      <c r="Q479" s="75" t="s">
        <v>2139</v>
      </c>
      <c r="R479" s="230">
        <v>413.5</v>
      </c>
      <c r="S479" s="230">
        <v>3483</v>
      </c>
      <c r="T479" s="230">
        <v>3896.5</v>
      </c>
      <c r="U479" s="231">
        <v>162</v>
      </c>
      <c r="V479" s="230"/>
      <c r="W479" s="230"/>
      <c r="X479" s="231"/>
      <c r="Y479" s="85">
        <v>0.5</v>
      </c>
      <c r="Z479" s="85"/>
      <c r="AA479" s="76"/>
      <c r="AB479" s="77"/>
      <c r="AC479" s="78"/>
    </row>
    <row r="480" spans="1:29" hidden="1" x14ac:dyDescent="0.2">
      <c r="A480" s="117" t="s">
        <v>2140</v>
      </c>
      <c r="B480" s="118" t="e">
        <f t="shared" si="56"/>
        <v>#VALUE!</v>
      </c>
      <c r="C480" s="118" t="s">
        <v>612</v>
      </c>
      <c r="D480" s="113">
        <v>39338</v>
      </c>
      <c r="E480" s="84">
        <v>39417</v>
      </c>
      <c r="F480" s="84">
        <f t="shared" si="57"/>
        <v>43070</v>
      </c>
      <c r="G480" s="229">
        <v>40.119999999999997</v>
      </c>
      <c r="H480" s="71" t="s">
        <v>2136</v>
      </c>
      <c r="I480" s="71" t="s">
        <v>684</v>
      </c>
      <c r="J480" s="79"/>
      <c r="K480" s="55">
        <f t="shared" si="58"/>
        <v>2017</v>
      </c>
      <c r="L480" s="80"/>
      <c r="M480" s="80"/>
      <c r="N480" s="73"/>
      <c r="O480" s="73" t="s">
        <v>2137</v>
      </c>
      <c r="P480" s="74" t="s">
        <v>2141</v>
      </c>
      <c r="Q480" s="75" t="s">
        <v>2142</v>
      </c>
      <c r="R480" s="230">
        <v>273.5</v>
      </c>
      <c r="S480" s="230">
        <v>1763</v>
      </c>
      <c r="T480" s="230">
        <v>2036.5</v>
      </c>
      <c r="U480" s="231">
        <v>82</v>
      </c>
      <c r="V480" s="230"/>
      <c r="W480" s="230"/>
      <c r="X480" s="231"/>
      <c r="Y480" s="85">
        <v>0.5</v>
      </c>
      <c r="Z480" s="85"/>
      <c r="AA480" s="76"/>
      <c r="AB480" s="77"/>
      <c r="AC480" s="78"/>
    </row>
    <row r="481" spans="1:29" hidden="1" x14ac:dyDescent="0.2">
      <c r="A481" s="117" t="s">
        <v>2143</v>
      </c>
      <c r="B481" s="118" t="e">
        <f t="shared" si="56"/>
        <v>#VALUE!</v>
      </c>
      <c r="C481" s="118" t="s">
        <v>612</v>
      </c>
      <c r="D481" s="113">
        <v>39338</v>
      </c>
      <c r="E481" s="84">
        <v>39417</v>
      </c>
      <c r="F481" s="84">
        <f t="shared" si="57"/>
        <v>43070</v>
      </c>
      <c r="G481" s="229">
        <v>39.909999999999997</v>
      </c>
      <c r="H481" s="71" t="s">
        <v>2136</v>
      </c>
      <c r="I481" s="71" t="s">
        <v>684</v>
      </c>
      <c r="J481" s="79"/>
      <c r="K481" s="55">
        <f t="shared" si="58"/>
        <v>2017</v>
      </c>
      <c r="L481" s="80"/>
      <c r="M481" s="80"/>
      <c r="N481" s="73"/>
      <c r="O481" s="73" t="s">
        <v>2137</v>
      </c>
      <c r="P481" s="74" t="s">
        <v>2144</v>
      </c>
      <c r="Q481" s="75" t="s">
        <v>2145</v>
      </c>
      <c r="R481" s="230">
        <v>270</v>
      </c>
      <c r="S481" s="230">
        <v>1640</v>
      </c>
      <c r="T481" s="230">
        <v>1910</v>
      </c>
      <c r="U481" s="231">
        <v>80</v>
      </c>
      <c r="V481" s="230"/>
      <c r="W481" s="230"/>
      <c r="X481" s="231"/>
      <c r="Y481" s="85">
        <v>0.5</v>
      </c>
      <c r="Z481" s="85"/>
      <c r="AA481" s="76"/>
      <c r="AB481" s="77"/>
      <c r="AC481" s="78"/>
    </row>
    <row r="482" spans="1:29" hidden="1" x14ac:dyDescent="0.2">
      <c r="A482" s="117" t="s">
        <v>2146</v>
      </c>
      <c r="B482" s="118" t="e">
        <f t="shared" si="56"/>
        <v>#VALUE!</v>
      </c>
      <c r="C482" s="118" t="s">
        <v>612</v>
      </c>
      <c r="D482" s="113">
        <v>39338</v>
      </c>
      <c r="E482" s="84">
        <v>39417</v>
      </c>
      <c r="F482" s="84">
        <f t="shared" si="57"/>
        <v>43070</v>
      </c>
      <c r="G482" s="229">
        <v>80.290000000000006</v>
      </c>
      <c r="H482" s="71" t="s">
        <v>2147</v>
      </c>
      <c r="I482" s="71" t="s">
        <v>684</v>
      </c>
      <c r="J482" s="79"/>
      <c r="K482" s="55">
        <f t="shared" si="58"/>
        <v>2017</v>
      </c>
      <c r="L482" s="80"/>
      <c r="M482" s="80"/>
      <c r="N482" s="73"/>
      <c r="O482" s="73" t="s">
        <v>2148</v>
      </c>
      <c r="P482" s="74" t="s">
        <v>2149</v>
      </c>
      <c r="Q482" s="75" t="s">
        <v>2150</v>
      </c>
      <c r="R482" s="230">
        <v>413.5</v>
      </c>
      <c r="S482" s="230">
        <v>0</v>
      </c>
      <c r="T482" s="230">
        <v>413.5</v>
      </c>
      <c r="U482" s="231">
        <v>162</v>
      </c>
      <c r="V482" s="230"/>
      <c r="W482" s="230"/>
      <c r="X482" s="231"/>
      <c r="Y482" s="85">
        <v>0.5</v>
      </c>
      <c r="Z482" s="85"/>
      <c r="AA482" s="76"/>
      <c r="AB482" s="77"/>
      <c r="AC482" s="78"/>
    </row>
    <row r="483" spans="1:29" hidden="1" x14ac:dyDescent="0.2">
      <c r="A483" s="117" t="s">
        <v>2151</v>
      </c>
      <c r="B483" s="118" t="e">
        <f t="shared" si="56"/>
        <v>#VALUE!</v>
      </c>
      <c r="C483" s="118" t="s">
        <v>612</v>
      </c>
      <c r="D483" s="113">
        <v>39338</v>
      </c>
      <c r="E483" s="84">
        <v>39417</v>
      </c>
      <c r="F483" s="84">
        <f t="shared" si="57"/>
        <v>43070</v>
      </c>
      <c r="G483" s="229">
        <v>40.409999999999997</v>
      </c>
      <c r="H483" s="71" t="s">
        <v>2147</v>
      </c>
      <c r="I483" s="71" t="s">
        <v>684</v>
      </c>
      <c r="J483" s="79"/>
      <c r="K483" s="55">
        <f t="shared" si="58"/>
        <v>2017</v>
      </c>
      <c r="L483" s="80"/>
      <c r="M483" s="80"/>
      <c r="N483" s="73"/>
      <c r="O483" s="73" t="s">
        <v>2152</v>
      </c>
      <c r="P483" s="74" t="s">
        <v>2153</v>
      </c>
      <c r="Q483" s="75" t="s">
        <v>2154</v>
      </c>
      <c r="R483" s="230">
        <v>273.5</v>
      </c>
      <c r="S483" s="230">
        <v>0</v>
      </c>
      <c r="T483" s="230">
        <v>273.5</v>
      </c>
      <c r="U483" s="231">
        <v>82</v>
      </c>
      <c r="V483" s="230"/>
      <c r="W483" s="230"/>
      <c r="X483" s="231"/>
      <c r="Y483" s="85">
        <v>0.5</v>
      </c>
      <c r="Z483" s="85"/>
      <c r="AA483" s="76"/>
      <c r="AB483" s="77"/>
      <c r="AC483" s="78"/>
    </row>
    <row r="484" spans="1:29" hidden="1" x14ac:dyDescent="0.2">
      <c r="A484" s="117" t="s">
        <v>2155</v>
      </c>
      <c r="B484" s="118" t="e">
        <f t="shared" si="56"/>
        <v>#VALUE!</v>
      </c>
      <c r="C484" s="118" t="s">
        <v>612</v>
      </c>
      <c r="D484" s="113">
        <v>39338</v>
      </c>
      <c r="E484" s="84">
        <v>39417</v>
      </c>
      <c r="F484" s="84">
        <f t="shared" si="57"/>
        <v>43070</v>
      </c>
      <c r="G484" s="229">
        <v>17.3</v>
      </c>
      <c r="H484" s="71" t="s">
        <v>2147</v>
      </c>
      <c r="I484" s="71" t="s">
        <v>684</v>
      </c>
      <c r="J484" s="79"/>
      <c r="K484" s="55">
        <f t="shared" si="58"/>
        <v>2017</v>
      </c>
      <c r="L484" s="80"/>
      <c r="M484" s="80"/>
      <c r="N484" s="73"/>
      <c r="O484" s="73" t="s">
        <v>2156</v>
      </c>
      <c r="P484" s="74" t="s">
        <v>2157</v>
      </c>
      <c r="Q484" s="75" t="s">
        <v>2158</v>
      </c>
      <c r="R484" s="230">
        <v>193</v>
      </c>
      <c r="S484" s="230">
        <v>0</v>
      </c>
      <c r="T484" s="230">
        <v>193</v>
      </c>
      <c r="U484" s="231">
        <v>36</v>
      </c>
      <c r="V484" s="230"/>
      <c r="W484" s="230"/>
      <c r="X484" s="231"/>
      <c r="Y484" s="85">
        <v>0.5</v>
      </c>
      <c r="Z484" s="85"/>
      <c r="AA484" s="76"/>
      <c r="AB484" s="77"/>
      <c r="AC484" s="78"/>
    </row>
    <row r="485" spans="1:29" ht="27" hidden="1" customHeight="1" x14ac:dyDescent="0.2">
      <c r="A485" s="117" t="s">
        <v>2159</v>
      </c>
      <c r="B485" s="118" t="e">
        <f t="shared" si="56"/>
        <v>#VALUE!</v>
      </c>
      <c r="C485" s="118" t="s">
        <v>612</v>
      </c>
      <c r="D485" s="113">
        <v>39338</v>
      </c>
      <c r="E485" s="84">
        <v>39417</v>
      </c>
      <c r="F485" s="84">
        <f t="shared" si="57"/>
        <v>43070</v>
      </c>
      <c r="G485" s="229">
        <v>240</v>
      </c>
      <c r="H485" s="71" t="s">
        <v>2160</v>
      </c>
      <c r="I485" s="71" t="s">
        <v>684</v>
      </c>
      <c r="J485" s="79"/>
      <c r="K485" s="55">
        <f t="shared" si="58"/>
        <v>2017</v>
      </c>
      <c r="L485" s="80"/>
      <c r="M485" s="80"/>
      <c r="N485" s="73"/>
      <c r="O485" s="73" t="s">
        <v>2161</v>
      </c>
      <c r="P485" s="74" t="s">
        <v>2162</v>
      </c>
      <c r="Q485" s="75" t="s">
        <v>2163</v>
      </c>
      <c r="R485" s="230">
        <v>970</v>
      </c>
      <c r="S485" s="230">
        <v>121920</v>
      </c>
      <c r="T485" s="230">
        <v>122890</v>
      </c>
      <c r="U485" s="231">
        <v>480</v>
      </c>
      <c r="V485" s="230"/>
      <c r="W485" s="230"/>
      <c r="X485" s="231"/>
      <c r="Y485" s="85">
        <v>0.5</v>
      </c>
      <c r="Z485" s="85"/>
      <c r="AA485" s="76"/>
      <c r="AB485" s="77"/>
      <c r="AC485" s="78"/>
    </row>
    <row r="486" spans="1:29" hidden="1" x14ac:dyDescent="0.2">
      <c r="A486" s="117" t="s">
        <v>2164</v>
      </c>
      <c r="B486" s="118" t="e">
        <f t="shared" si="56"/>
        <v>#VALUE!</v>
      </c>
      <c r="C486" s="118" t="s">
        <v>612</v>
      </c>
      <c r="D486" s="113">
        <v>39338</v>
      </c>
      <c r="E486" s="84">
        <v>39417</v>
      </c>
      <c r="F486" s="84">
        <f t="shared" si="57"/>
        <v>43070</v>
      </c>
      <c r="G486" s="229">
        <v>29.96</v>
      </c>
      <c r="H486" s="71" t="s">
        <v>2165</v>
      </c>
      <c r="I486" s="71" t="s">
        <v>684</v>
      </c>
      <c r="J486" s="79"/>
      <c r="K486" s="55">
        <f t="shared" si="58"/>
        <v>2017</v>
      </c>
      <c r="L486" s="80"/>
      <c r="M486" s="80"/>
      <c r="N486" s="73"/>
      <c r="O486" s="73" t="s">
        <v>2166</v>
      </c>
      <c r="P486" s="74" t="s">
        <v>2167</v>
      </c>
      <c r="Q486" s="75" t="s">
        <v>2168</v>
      </c>
      <c r="R486" s="230">
        <v>235</v>
      </c>
      <c r="S486" s="230">
        <v>3090</v>
      </c>
      <c r="T486" s="230">
        <v>3325</v>
      </c>
      <c r="U486" s="231">
        <v>60</v>
      </c>
      <c r="V486" s="230"/>
      <c r="W486" s="230"/>
      <c r="X486" s="231"/>
      <c r="Y486" s="85">
        <v>0.5</v>
      </c>
      <c r="Z486" s="85"/>
      <c r="AA486" s="76"/>
      <c r="AB486" s="77"/>
      <c r="AC486" s="78"/>
    </row>
    <row r="487" spans="1:29" hidden="1" x14ac:dyDescent="0.2">
      <c r="A487" s="117" t="s">
        <v>2169</v>
      </c>
      <c r="B487" s="118" t="e">
        <f t="shared" si="56"/>
        <v>#VALUE!</v>
      </c>
      <c r="C487" s="118" t="s">
        <v>612</v>
      </c>
      <c r="D487" s="113">
        <v>39338</v>
      </c>
      <c r="E487" s="84">
        <v>39417</v>
      </c>
      <c r="F487" s="84">
        <f t="shared" si="57"/>
        <v>43070</v>
      </c>
      <c r="G487" s="229">
        <v>160.16</v>
      </c>
      <c r="H487" s="71" t="s">
        <v>2165</v>
      </c>
      <c r="I487" s="71" t="s">
        <v>684</v>
      </c>
      <c r="J487" s="79"/>
      <c r="K487" s="55">
        <f t="shared" si="58"/>
        <v>2017</v>
      </c>
      <c r="L487" s="80"/>
      <c r="M487" s="80"/>
      <c r="N487" s="73"/>
      <c r="O487" s="73" t="s">
        <v>2170</v>
      </c>
      <c r="P487" s="74" t="s">
        <v>2171</v>
      </c>
      <c r="Q487" s="75" t="s">
        <v>2172</v>
      </c>
      <c r="R487" s="230">
        <v>693.5</v>
      </c>
      <c r="S487" s="230">
        <v>72128</v>
      </c>
      <c r="T487" s="230">
        <v>72821.5</v>
      </c>
      <c r="U487" s="231">
        <v>322</v>
      </c>
      <c r="V487" s="230"/>
      <c r="W487" s="230"/>
      <c r="X487" s="231"/>
      <c r="Y487" s="85">
        <v>0.5</v>
      </c>
      <c r="Z487" s="85"/>
      <c r="AA487" s="76"/>
      <c r="AB487" s="77"/>
      <c r="AC487" s="78"/>
    </row>
    <row r="488" spans="1:29" hidden="1" x14ac:dyDescent="0.2">
      <c r="A488" s="117" t="s">
        <v>2173</v>
      </c>
      <c r="B488" s="118" t="e">
        <f t="shared" si="56"/>
        <v>#VALUE!</v>
      </c>
      <c r="C488" s="118" t="s">
        <v>612</v>
      </c>
      <c r="D488" s="113">
        <v>39338</v>
      </c>
      <c r="E488" s="84">
        <v>39417</v>
      </c>
      <c r="F488" s="84">
        <f t="shared" si="57"/>
        <v>43070</v>
      </c>
      <c r="G488" s="229">
        <v>40</v>
      </c>
      <c r="H488" s="71" t="s">
        <v>2174</v>
      </c>
      <c r="I488" s="71" t="s">
        <v>684</v>
      </c>
      <c r="J488" s="79"/>
      <c r="K488" s="55">
        <f t="shared" si="58"/>
        <v>2017</v>
      </c>
      <c r="L488" s="80"/>
      <c r="M488" s="80"/>
      <c r="N488" s="73"/>
      <c r="O488" s="73" t="s">
        <v>2175</v>
      </c>
      <c r="P488" s="74" t="s">
        <v>2176</v>
      </c>
      <c r="Q488" s="75" t="s">
        <v>2177</v>
      </c>
      <c r="R488" s="230">
        <v>270</v>
      </c>
      <c r="S488" s="230">
        <v>0</v>
      </c>
      <c r="T488" s="230">
        <v>270</v>
      </c>
      <c r="U488" s="231">
        <v>80</v>
      </c>
      <c r="V488" s="230"/>
      <c r="W488" s="230"/>
      <c r="X488" s="231"/>
      <c r="Y488" s="85">
        <v>0.5</v>
      </c>
      <c r="Z488" s="85"/>
      <c r="AA488" s="76"/>
      <c r="AB488" s="77"/>
      <c r="AC488" s="78"/>
    </row>
    <row r="489" spans="1:29" ht="40" hidden="1" customHeight="1" x14ac:dyDescent="0.2">
      <c r="A489" s="117" t="s">
        <v>2178</v>
      </c>
      <c r="B489" s="118" t="e">
        <f t="shared" si="56"/>
        <v>#VALUE!</v>
      </c>
      <c r="C489" s="118" t="s">
        <v>612</v>
      </c>
      <c r="D489" s="113">
        <v>39338</v>
      </c>
      <c r="E489" s="84">
        <v>39417</v>
      </c>
      <c r="F489" s="84">
        <f t="shared" si="57"/>
        <v>43070</v>
      </c>
      <c r="G489" s="229">
        <v>1220.03</v>
      </c>
      <c r="H489" s="71" t="s">
        <v>2179</v>
      </c>
      <c r="I489" s="71" t="s">
        <v>684</v>
      </c>
      <c r="J489" s="79"/>
      <c r="K489" s="55">
        <f t="shared" si="58"/>
        <v>2017</v>
      </c>
      <c r="L489" s="80"/>
      <c r="M489" s="80"/>
      <c r="N489" s="73"/>
      <c r="O489" s="73" t="s">
        <v>2180</v>
      </c>
      <c r="P489" s="74" t="s">
        <v>2181</v>
      </c>
      <c r="Q489" s="75" t="s">
        <v>2182</v>
      </c>
      <c r="R489" s="230">
        <v>4403.5</v>
      </c>
      <c r="S489" s="230">
        <v>547008</v>
      </c>
      <c r="T489" s="230">
        <v>551411.5</v>
      </c>
      <c r="U489" s="231">
        <v>2442</v>
      </c>
      <c r="V489" s="230"/>
      <c r="W489" s="230"/>
      <c r="X489" s="231"/>
      <c r="Y489" s="85">
        <v>0.5</v>
      </c>
      <c r="Z489" s="85"/>
      <c r="AA489" s="76"/>
      <c r="AB489" s="77"/>
      <c r="AC489" s="78"/>
    </row>
    <row r="490" spans="1:29" ht="40" hidden="1" customHeight="1" x14ac:dyDescent="0.2">
      <c r="A490" s="117" t="s">
        <v>2183</v>
      </c>
      <c r="B490" s="118" t="e">
        <f t="shared" si="56"/>
        <v>#VALUE!</v>
      </c>
      <c r="C490" s="118" t="s">
        <v>612</v>
      </c>
      <c r="D490" s="113">
        <v>39338</v>
      </c>
      <c r="E490" s="84">
        <v>39417</v>
      </c>
      <c r="F490" s="84">
        <f t="shared" si="57"/>
        <v>43070</v>
      </c>
      <c r="G490" s="229">
        <v>1413.34</v>
      </c>
      <c r="H490" s="71" t="s">
        <v>2179</v>
      </c>
      <c r="I490" s="71" t="s">
        <v>684</v>
      </c>
      <c r="J490" s="79"/>
      <c r="K490" s="55">
        <f t="shared" si="58"/>
        <v>2017</v>
      </c>
      <c r="L490" s="80"/>
      <c r="M490" s="80"/>
      <c r="N490" s="73"/>
      <c r="O490" s="73" t="s">
        <v>2180</v>
      </c>
      <c r="P490" s="74" t="s">
        <v>2184</v>
      </c>
      <c r="Q490" s="75" t="s">
        <v>2185</v>
      </c>
      <c r="R490" s="230">
        <v>5079</v>
      </c>
      <c r="S490" s="230">
        <v>315322</v>
      </c>
      <c r="T490" s="230">
        <v>320401</v>
      </c>
      <c r="U490" s="231">
        <v>2828</v>
      </c>
      <c r="V490" s="230"/>
      <c r="W490" s="230"/>
      <c r="X490" s="231"/>
      <c r="Y490" s="85">
        <v>0.5</v>
      </c>
      <c r="Z490" s="85"/>
      <c r="AA490" s="76"/>
      <c r="AB490" s="77"/>
      <c r="AC490" s="78"/>
    </row>
    <row r="491" spans="1:29" hidden="1" x14ac:dyDescent="0.2">
      <c r="A491" s="117" t="s">
        <v>2186</v>
      </c>
      <c r="B491" s="118" t="e">
        <f t="shared" si="56"/>
        <v>#VALUE!</v>
      </c>
      <c r="C491" s="118" t="s">
        <v>612</v>
      </c>
      <c r="D491" s="113">
        <v>39338</v>
      </c>
      <c r="E491" s="84">
        <v>39417</v>
      </c>
      <c r="F491" s="84">
        <f t="shared" si="57"/>
        <v>43070</v>
      </c>
      <c r="G491" s="229">
        <v>781.36</v>
      </c>
      <c r="H491" s="71" t="s">
        <v>2179</v>
      </c>
      <c r="I491" s="71" t="s">
        <v>684</v>
      </c>
      <c r="J491" s="79"/>
      <c r="K491" s="55">
        <f t="shared" si="58"/>
        <v>2017</v>
      </c>
      <c r="L491" s="80"/>
      <c r="M491" s="80"/>
      <c r="N491" s="73"/>
      <c r="O491" s="73" t="s">
        <v>2180</v>
      </c>
      <c r="P491" s="74" t="s">
        <v>2187</v>
      </c>
      <c r="Q491" s="75" t="s">
        <v>2188</v>
      </c>
      <c r="R491" s="230">
        <v>2867</v>
      </c>
      <c r="S491" s="230">
        <v>201756</v>
      </c>
      <c r="T491" s="230">
        <v>204623</v>
      </c>
      <c r="U491" s="231">
        <v>1564</v>
      </c>
      <c r="V491" s="230"/>
      <c r="W491" s="230"/>
      <c r="X491" s="231"/>
      <c r="Y491" s="85">
        <v>0.5</v>
      </c>
      <c r="Z491" s="85"/>
      <c r="AA491" s="76"/>
      <c r="AB491" s="77"/>
      <c r="AC491" s="78"/>
    </row>
    <row r="492" spans="1:29" ht="40" hidden="1" customHeight="1" x14ac:dyDescent="0.2">
      <c r="A492" s="117" t="s">
        <v>2189</v>
      </c>
      <c r="B492" s="118" t="e">
        <f t="shared" si="56"/>
        <v>#VALUE!</v>
      </c>
      <c r="C492" s="118" t="s">
        <v>612</v>
      </c>
      <c r="D492" s="113">
        <v>39338</v>
      </c>
      <c r="E492" s="84">
        <v>39417</v>
      </c>
      <c r="F492" s="84">
        <f t="shared" si="57"/>
        <v>43070</v>
      </c>
      <c r="G492" s="229">
        <v>411.81</v>
      </c>
      <c r="H492" s="71" t="s">
        <v>2179</v>
      </c>
      <c r="I492" s="71" t="s">
        <v>684</v>
      </c>
      <c r="J492" s="79"/>
      <c r="K492" s="55">
        <f t="shared" si="58"/>
        <v>2017</v>
      </c>
      <c r="L492" s="80"/>
      <c r="M492" s="80"/>
      <c r="N492" s="73"/>
      <c r="O492" s="73" t="s">
        <v>2190</v>
      </c>
      <c r="P492" s="74" t="s">
        <v>2191</v>
      </c>
      <c r="Q492" s="75" t="s">
        <v>2192</v>
      </c>
      <c r="R492" s="230">
        <v>1572</v>
      </c>
      <c r="S492" s="230">
        <v>93936</v>
      </c>
      <c r="T492" s="230">
        <v>95508</v>
      </c>
      <c r="U492" s="231">
        <v>824</v>
      </c>
      <c r="V492" s="230"/>
      <c r="W492" s="230"/>
      <c r="X492" s="231"/>
      <c r="Y492" s="85">
        <v>0.5</v>
      </c>
      <c r="Z492" s="85"/>
      <c r="AA492" s="76"/>
      <c r="AB492" s="77"/>
      <c r="AC492" s="78"/>
    </row>
    <row r="493" spans="1:29" ht="40" hidden="1" customHeight="1" x14ac:dyDescent="0.2">
      <c r="A493" s="117" t="s">
        <v>2193</v>
      </c>
      <c r="B493" s="118" t="e">
        <f t="shared" si="56"/>
        <v>#VALUE!</v>
      </c>
      <c r="C493" s="118" t="s">
        <v>612</v>
      </c>
      <c r="D493" s="113">
        <v>39338</v>
      </c>
      <c r="E493" s="84">
        <v>39417</v>
      </c>
      <c r="F493" s="84">
        <f t="shared" si="57"/>
        <v>43070</v>
      </c>
      <c r="G493" s="229">
        <v>1245.07</v>
      </c>
      <c r="H493" s="71" t="s">
        <v>2179</v>
      </c>
      <c r="I493" s="71" t="s">
        <v>684</v>
      </c>
      <c r="J493" s="79"/>
      <c r="K493" s="55">
        <f t="shared" si="58"/>
        <v>2017</v>
      </c>
      <c r="L493" s="80"/>
      <c r="M493" s="80"/>
      <c r="N493" s="73"/>
      <c r="O493" s="73" t="s">
        <v>2194</v>
      </c>
      <c r="P493" s="74" t="s">
        <v>2195</v>
      </c>
      <c r="Q493" s="75" t="s">
        <v>2196</v>
      </c>
      <c r="R493" s="230">
        <v>4491</v>
      </c>
      <c r="S493" s="230">
        <v>309008</v>
      </c>
      <c r="T493" s="230">
        <v>313499</v>
      </c>
      <c r="U493" s="231">
        <v>2492</v>
      </c>
      <c r="V493" s="230"/>
      <c r="W493" s="230"/>
      <c r="X493" s="231"/>
      <c r="Y493" s="85">
        <v>0.5</v>
      </c>
      <c r="Z493" s="85"/>
      <c r="AA493" s="76"/>
      <c r="AB493" s="77"/>
      <c r="AC493" s="78"/>
    </row>
    <row r="494" spans="1:29" hidden="1" x14ac:dyDescent="0.2">
      <c r="A494" s="117" t="s">
        <v>2197</v>
      </c>
      <c r="B494" s="118" t="e">
        <f t="shared" si="56"/>
        <v>#VALUE!</v>
      </c>
      <c r="C494" s="118" t="s">
        <v>612</v>
      </c>
      <c r="D494" s="113">
        <v>39338</v>
      </c>
      <c r="E494" s="84">
        <v>39417</v>
      </c>
      <c r="F494" s="84">
        <f t="shared" si="57"/>
        <v>43070</v>
      </c>
      <c r="G494" s="229">
        <v>1175.8</v>
      </c>
      <c r="H494" s="71" t="s">
        <v>2179</v>
      </c>
      <c r="I494" s="71" t="s">
        <v>684</v>
      </c>
      <c r="J494" s="79"/>
      <c r="K494" s="55">
        <f t="shared" si="58"/>
        <v>2017</v>
      </c>
      <c r="L494" s="80"/>
      <c r="M494" s="80"/>
      <c r="N494" s="73"/>
      <c r="O494" s="73" t="s">
        <v>2194</v>
      </c>
      <c r="P494" s="74" t="s">
        <v>2198</v>
      </c>
      <c r="Q494" s="75" t="s">
        <v>2199</v>
      </c>
      <c r="R494" s="230">
        <v>4246</v>
      </c>
      <c r="S494" s="230">
        <v>538608</v>
      </c>
      <c r="T494" s="230">
        <v>542854</v>
      </c>
      <c r="U494" s="231">
        <v>2352</v>
      </c>
      <c r="V494" s="230"/>
      <c r="W494" s="230"/>
      <c r="X494" s="231"/>
      <c r="Y494" s="85">
        <v>0.5</v>
      </c>
      <c r="Z494" s="85"/>
      <c r="AA494" s="76"/>
      <c r="AB494" s="77"/>
      <c r="AC494" s="78"/>
    </row>
    <row r="495" spans="1:29" ht="40" hidden="1" customHeight="1" x14ac:dyDescent="0.2">
      <c r="A495" s="117" t="s">
        <v>2200</v>
      </c>
      <c r="B495" s="118" t="e">
        <f t="shared" si="56"/>
        <v>#VALUE!</v>
      </c>
      <c r="C495" s="118" t="s">
        <v>612</v>
      </c>
      <c r="D495" s="113">
        <v>39338</v>
      </c>
      <c r="E495" s="84">
        <v>39417</v>
      </c>
      <c r="F495" s="84">
        <f t="shared" si="57"/>
        <v>43070</v>
      </c>
      <c r="G495" s="229">
        <v>826.84</v>
      </c>
      <c r="H495" s="71" t="s">
        <v>2179</v>
      </c>
      <c r="I495" s="71" t="s">
        <v>684</v>
      </c>
      <c r="J495" s="79"/>
      <c r="K495" s="55">
        <f t="shared" si="58"/>
        <v>2017</v>
      </c>
      <c r="L495" s="80"/>
      <c r="M495" s="80"/>
      <c r="N495" s="73"/>
      <c r="O495" s="73" t="s">
        <v>2194</v>
      </c>
      <c r="P495" s="74" t="s">
        <v>2201</v>
      </c>
      <c r="Q495" s="75" t="s">
        <v>2202</v>
      </c>
      <c r="R495" s="230">
        <v>3024.5</v>
      </c>
      <c r="S495" s="230">
        <v>221636</v>
      </c>
      <c r="T495" s="230">
        <v>224660.5</v>
      </c>
      <c r="U495" s="231">
        <v>1654</v>
      </c>
      <c r="V495" s="230"/>
      <c r="W495" s="230"/>
      <c r="X495" s="231"/>
      <c r="Y495" s="85">
        <v>0.5</v>
      </c>
      <c r="Z495" s="85"/>
      <c r="AA495" s="76"/>
      <c r="AB495" s="77"/>
      <c r="AC495" s="78"/>
    </row>
    <row r="496" spans="1:29" ht="15" hidden="1" customHeight="1" thickBot="1" x14ac:dyDescent="0.25">
      <c r="A496" s="117"/>
      <c r="D496" s="113"/>
      <c r="E496" s="84"/>
      <c r="F496" s="84"/>
      <c r="G496" s="229"/>
      <c r="H496" s="71"/>
      <c r="I496" s="71"/>
      <c r="J496" s="79"/>
      <c r="K496" s="79"/>
      <c r="L496" s="80"/>
      <c r="M496" s="80"/>
      <c r="N496" s="73"/>
      <c r="O496" s="73"/>
      <c r="P496" s="74"/>
      <c r="Q496" s="75" t="s">
        <v>1144</v>
      </c>
      <c r="R496" s="241">
        <v>40350</v>
      </c>
      <c r="S496" s="241">
        <v>2842092</v>
      </c>
      <c r="T496" s="241">
        <v>2882442</v>
      </c>
      <c r="U496" s="231"/>
      <c r="V496" s="230"/>
      <c r="W496" s="230"/>
      <c r="X496" s="231"/>
      <c r="Y496" s="85"/>
      <c r="Z496" s="85"/>
      <c r="AA496" s="76"/>
      <c r="AB496" s="77"/>
      <c r="AC496" s="78"/>
    </row>
    <row r="497" spans="1:29" hidden="1" x14ac:dyDescent="0.2">
      <c r="A497" s="117"/>
      <c r="D497" s="113"/>
      <c r="E497" s="84"/>
      <c r="F497" s="84"/>
      <c r="G497" s="229"/>
      <c r="H497" s="71"/>
      <c r="I497" s="71"/>
      <c r="J497" s="79"/>
      <c r="K497" s="79"/>
      <c r="L497" s="80"/>
      <c r="M497" s="80"/>
      <c r="N497" s="73"/>
      <c r="O497" s="73"/>
      <c r="P497" s="74"/>
      <c r="Q497" s="75"/>
      <c r="R497" s="230"/>
      <c r="S497" s="230"/>
      <c r="T497" s="230"/>
      <c r="U497" s="231"/>
      <c r="V497" s="230"/>
      <c r="W497" s="230"/>
      <c r="X497" s="231"/>
      <c r="Y497" s="85"/>
      <c r="Z497" s="85"/>
      <c r="AA497" s="76"/>
      <c r="AB497" s="77"/>
      <c r="AC497" s="78"/>
    </row>
    <row r="498" spans="1:29" ht="27" hidden="1" customHeight="1" x14ac:dyDescent="0.2">
      <c r="A498" s="117"/>
      <c r="D498" s="113"/>
      <c r="E498" s="84"/>
      <c r="F498" s="84"/>
      <c r="G498" s="229"/>
      <c r="H498" s="71"/>
      <c r="I498" s="71"/>
      <c r="J498" s="79" t="s">
        <v>2203</v>
      </c>
      <c r="K498" s="79"/>
      <c r="L498" s="80"/>
      <c r="M498" s="80"/>
      <c r="N498" s="73"/>
      <c r="O498" s="73"/>
      <c r="P498" s="74"/>
      <c r="Q498" s="75"/>
      <c r="R498" s="230"/>
      <c r="S498" s="230"/>
      <c r="T498" s="230"/>
      <c r="U498" s="231"/>
      <c r="V498" s="230"/>
      <c r="W498" s="230"/>
      <c r="X498" s="231"/>
      <c r="Y498" s="82"/>
      <c r="Z498" s="82"/>
      <c r="AA498" s="83"/>
      <c r="AB498" s="77"/>
      <c r="AC498" s="78"/>
    </row>
    <row r="499" spans="1:29" hidden="1" x14ac:dyDescent="0.2">
      <c r="A499" s="117"/>
      <c r="D499" s="113"/>
      <c r="E499" s="84"/>
      <c r="F499" s="84"/>
      <c r="G499" s="229"/>
      <c r="H499" s="71"/>
      <c r="I499" s="71"/>
      <c r="J499" s="79"/>
      <c r="K499" s="79"/>
      <c r="L499" s="80"/>
      <c r="M499" s="80"/>
      <c r="N499" s="73"/>
      <c r="O499" s="73"/>
      <c r="P499" s="74"/>
      <c r="Q499" s="75"/>
      <c r="R499" s="230"/>
      <c r="S499" s="230"/>
      <c r="T499" s="230"/>
      <c r="U499" s="231"/>
      <c r="V499" s="230"/>
      <c r="W499" s="230"/>
      <c r="X499" s="231"/>
      <c r="Y499" s="85"/>
      <c r="Z499" s="85"/>
      <c r="AA499" s="76"/>
      <c r="AB499" s="77"/>
      <c r="AC499" s="78"/>
    </row>
    <row r="500" spans="1:29" hidden="1" x14ac:dyDescent="0.2">
      <c r="A500" s="117" t="s">
        <v>2204</v>
      </c>
      <c r="B500" s="118" t="e">
        <f t="shared" ref="B500:B516" si="59">IF(COUNTIF(GIS,A500),"YES","NO")</f>
        <v>#VALUE!</v>
      </c>
      <c r="C500" s="118" t="s">
        <v>612</v>
      </c>
      <c r="D500" s="113">
        <v>39372</v>
      </c>
      <c r="E500" s="84">
        <v>39417</v>
      </c>
      <c r="F500" s="84">
        <f t="shared" ref="F500:F516" si="60">DATE(YEAR(E500)+10,MONTH(E500),DAY(E500))</f>
        <v>43070</v>
      </c>
      <c r="G500" s="229">
        <v>720.38</v>
      </c>
      <c r="H500" s="71" t="s">
        <v>2205</v>
      </c>
      <c r="I500" s="71" t="s">
        <v>1183</v>
      </c>
      <c r="J500" s="79"/>
      <c r="K500" s="55">
        <f t="shared" ref="K500:K516" si="61">YEAR(F500)</f>
        <v>2017</v>
      </c>
      <c r="L500" s="80"/>
      <c r="M500" s="80"/>
      <c r="N500" s="73"/>
      <c r="O500" s="73" t="s">
        <v>2206</v>
      </c>
      <c r="P500" s="74" t="s">
        <v>2207</v>
      </c>
      <c r="Q500" s="75" t="s">
        <v>2208</v>
      </c>
      <c r="R500" s="230">
        <v>2663.5</v>
      </c>
      <c r="S500" s="230">
        <v>5768</v>
      </c>
      <c r="T500" s="230">
        <v>8431.5</v>
      </c>
      <c r="U500" s="231">
        <v>1442</v>
      </c>
      <c r="V500" s="230"/>
      <c r="W500" s="230"/>
      <c r="X500" s="231"/>
      <c r="Y500" s="85">
        <v>0.25</v>
      </c>
      <c r="Z500" s="85"/>
      <c r="AA500" s="76"/>
      <c r="AB500" s="77"/>
      <c r="AC500" s="78"/>
    </row>
    <row r="501" spans="1:29" hidden="1" x14ac:dyDescent="0.2">
      <c r="A501" s="117" t="s">
        <v>2209</v>
      </c>
      <c r="B501" s="118" t="e">
        <f t="shared" si="59"/>
        <v>#VALUE!</v>
      </c>
      <c r="C501" s="118" t="s">
        <v>612</v>
      </c>
      <c r="D501" s="113">
        <v>39372</v>
      </c>
      <c r="E501" s="84">
        <v>39417</v>
      </c>
      <c r="F501" s="84">
        <f t="shared" si="60"/>
        <v>43070</v>
      </c>
      <c r="G501" s="229">
        <v>1888.94</v>
      </c>
      <c r="H501" s="71" t="s">
        <v>2210</v>
      </c>
      <c r="I501" s="71" t="s">
        <v>1183</v>
      </c>
      <c r="J501" s="79"/>
      <c r="K501" s="55">
        <f t="shared" si="61"/>
        <v>2017</v>
      </c>
      <c r="L501" s="80"/>
      <c r="M501" s="80"/>
      <c r="N501" s="73"/>
      <c r="O501" s="73" t="s">
        <v>2211</v>
      </c>
      <c r="P501" s="74" t="s">
        <v>2207</v>
      </c>
      <c r="Q501" s="75" t="s">
        <v>2212</v>
      </c>
      <c r="R501" s="230">
        <v>6751.5</v>
      </c>
      <c r="S501" s="230">
        <v>7556</v>
      </c>
      <c r="T501" s="230">
        <v>14307.5</v>
      </c>
      <c r="U501" s="231">
        <v>3778</v>
      </c>
      <c r="V501" s="230"/>
      <c r="W501" s="230"/>
      <c r="X501" s="231"/>
      <c r="Y501" s="85">
        <v>0.25</v>
      </c>
      <c r="Z501" s="85"/>
      <c r="AA501" s="76"/>
      <c r="AB501" s="77"/>
      <c r="AC501" s="78"/>
    </row>
    <row r="502" spans="1:29" ht="27" hidden="1" customHeight="1" x14ac:dyDescent="0.2">
      <c r="A502" s="117" t="s">
        <v>2213</v>
      </c>
      <c r="B502" s="118" t="e">
        <f t="shared" si="59"/>
        <v>#VALUE!</v>
      </c>
      <c r="C502" s="118" t="s">
        <v>612</v>
      </c>
      <c r="D502" s="113">
        <v>39372</v>
      </c>
      <c r="E502" s="84">
        <v>39417</v>
      </c>
      <c r="F502" s="84">
        <f t="shared" si="60"/>
        <v>43070</v>
      </c>
      <c r="G502" s="229">
        <v>480</v>
      </c>
      <c r="H502" s="71" t="s">
        <v>1146</v>
      </c>
      <c r="I502" s="71" t="s">
        <v>1147</v>
      </c>
      <c r="J502" s="72" t="s">
        <v>1992</v>
      </c>
      <c r="K502" s="55">
        <f t="shared" si="61"/>
        <v>2017</v>
      </c>
      <c r="L502" s="81"/>
      <c r="M502" s="81"/>
      <c r="N502" s="73"/>
      <c r="O502" s="73" t="s">
        <v>2214</v>
      </c>
      <c r="P502" s="74" t="s">
        <v>2215</v>
      </c>
      <c r="Q502" s="75" t="s">
        <v>2216</v>
      </c>
      <c r="R502" s="230">
        <v>1820</v>
      </c>
      <c r="S502" s="230">
        <v>296640</v>
      </c>
      <c r="T502" s="230">
        <v>298460</v>
      </c>
      <c r="U502" s="231">
        <v>960</v>
      </c>
      <c r="V502" s="230"/>
      <c r="W502" s="230"/>
      <c r="X502" s="231"/>
      <c r="Y502" s="85">
        <v>0.25</v>
      </c>
      <c r="Z502" s="85"/>
      <c r="AA502" s="76"/>
      <c r="AC502" s="78" t="s">
        <v>2217</v>
      </c>
    </row>
    <row r="503" spans="1:29" ht="29" hidden="1" x14ac:dyDescent="0.2">
      <c r="A503" s="117" t="s">
        <v>2218</v>
      </c>
      <c r="B503" s="118" t="e">
        <f t="shared" si="59"/>
        <v>#VALUE!</v>
      </c>
      <c r="C503" s="118" t="s">
        <v>612</v>
      </c>
      <c r="D503" s="113">
        <v>39372</v>
      </c>
      <c r="E503" s="84">
        <v>39417</v>
      </c>
      <c r="F503" s="84">
        <f t="shared" si="60"/>
        <v>43070</v>
      </c>
      <c r="G503" s="229">
        <v>320</v>
      </c>
      <c r="H503" s="71" t="s">
        <v>1540</v>
      </c>
      <c r="I503" s="71" t="s">
        <v>1147</v>
      </c>
      <c r="J503" s="72" t="s">
        <v>2219</v>
      </c>
      <c r="K503" s="55">
        <f t="shared" si="61"/>
        <v>2017</v>
      </c>
      <c r="L503" s="81"/>
      <c r="M503" s="81"/>
      <c r="N503" s="73"/>
      <c r="O503" s="73" t="s">
        <v>2220</v>
      </c>
      <c r="P503" s="74" t="s">
        <v>2221</v>
      </c>
      <c r="Q503" s="75" t="s">
        <v>2222</v>
      </c>
      <c r="R503" s="230">
        <v>1260</v>
      </c>
      <c r="S503" s="230">
        <v>197760</v>
      </c>
      <c r="T503" s="230">
        <v>199020</v>
      </c>
      <c r="U503" s="231">
        <v>640</v>
      </c>
      <c r="V503" s="230"/>
      <c r="W503" s="230"/>
      <c r="X503" s="231"/>
      <c r="Y503" s="85">
        <v>0.25</v>
      </c>
      <c r="Z503" s="85"/>
      <c r="AA503" s="76"/>
      <c r="AB503" s="77"/>
      <c r="AC503" s="78"/>
    </row>
    <row r="504" spans="1:29" ht="27" hidden="1" customHeight="1" x14ac:dyDescent="0.2">
      <c r="A504" s="117" t="s">
        <v>2223</v>
      </c>
      <c r="B504" s="118" t="e">
        <f t="shared" si="59"/>
        <v>#VALUE!</v>
      </c>
      <c r="C504" s="118" t="s">
        <v>612</v>
      </c>
      <c r="D504" s="113">
        <v>39372</v>
      </c>
      <c r="E504" s="84">
        <v>39417</v>
      </c>
      <c r="F504" s="84">
        <f t="shared" si="60"/>
        <v>43070</v>
      </c>
      <c r="G504" s="229">
        <v>1125.94</v>
      </c>
      <c r="H504" s="71" t="s">
        <v>1157</v>
      </c>
      <c r="I504" s="71" t="s">
        <v>1147</v>
      </c>
      <c r="J504" s="238" t="s">
        <v>2224</v>
      </c>
      <c r="K504" s="55">
        <f t="shared" si="61"/>
        <v>2017</v>
      </c>
      <c r="L504" s="239"/>
      <c r="M504" s="239"/>
      <c r="N504" s="73"/>
      <c r="O504" s="73" t="s">
        <v>2225</v>
      </c>
      <c r="P504" s="74" t="s">
        <v>2226</v>
      </c>
      <c r="Q504" s="75" t="s">
        <v>2227</v>
      </c>
      <c r="R504" s="230">
        <v>4081</v>
      </c>
      <c r="S504" s="230">
        <v>138498</v>
      </c>
      <c r="T504" s="230">
        <v>142579</v>
      </c>
      <c r="U504" s="231">
        <v>2252</v>
      </c>
      <c r="V504" s="230"/>
      <c r="W504" s="230"/>
      <c r="X504" s="231"/>
      <c r="Y504" s="85">
        <v>0.25</v>
      </c>
      <c r="Z504" s="85"/>
      <c r="AA504" s="76"/>
      <c r="AB504" s="77"/>
      <c r="AC504" s="78"/>
    </row>
    <row r="505" spans="1:29" ht="27" hidden="1" customHeight="1" x14ac:dyDescent="0.2">
      <c r="A505" s="117" t="s">
        <v>2228</v>
      </c>
      <c r="B505" s="118" t="e">
        <f t="shared" si="59"/>
        <v>#VALUE!</v>
      </c>
      <c r="C505" s="118" t="s">
        <v>612</v>
      </c>
      <c r="D505" s="113">
        <v>39372</v>
      </c>
      <c r="E505" s="84">
        <v>39417</v>
      </c>
      <c r="F505" s="84">
        <f t="shared" si="60"/>
        <v>43070</v>
      </c>
      <c r="G505" s="229">
        <v>235.3</v>
      </c>
      <c r="H505" s="71" t="s">
        <v>2229</v>
      </c>
      <c r="I505" s="71" t="s">
        <v>812</v>
      </c>
      <c r="J505" s="248"/>
      <c r="K505" s="55">
        <f t="shared" si="61"/>
        <v>2017</v>
      </c>
      <c r="L505" s="249"/>
      <c r="M505" s="249"/>
      <c r="N505" s="73"/>
      <c r="O505" s="73" t="s">
        <v>2230</v>
      </c>
      <c r="P505" s="74" t="s">
        <v>2231</v>
      </c>
      <c r="Q505" s="75" t="s">
        <v>2232</v>
      </c>
      <c r="R505" s="230">
        <v>966</v>
      </c>
      <c r="S505" s="230">
        <v>2360</v>
      </c>
      <c r="T505" s="230">
        <v>3326</v>
      </c>
      <c r="U505" s="231">
        <v>472</v>
      </c>
      <c r="V505" s="230"/>
      <c r="W505" s="230"/>
      <c r="X505" s="231"/>
      <c r="Y505" s="85">
        <v>0.25</v>
      </c>
      <c r="Z505" s="85"/>
      <c r="AA505" s="76"/>
      <c r="AB505" s="77"/>
      <c r="AC505" s="78"/>
    </row>
    <row r="506" spans="1:29" ht="40" hidden="1" customHeight="1" x14ac:dyDescent="0.2">
      <c r="A506" s="117" t="s">
        <v>2233</v>
      </c>
      <c r="B506" s="118" t="e">
        <f t="shared" si="59"/>
        <v>#VALUE!</v>
      </c>
      <c r="C506" s="118" t="s">
        <v>612</v>
      </c>
      <c r="D506" s="113">
        <v>39372</v>
      </c>
      <c r="E506" s="84">
        <v>39417</v>
      </c>
      <c r="F506" s="84">
        <f t="shared" si="60"/>
        <v>43070</v>
      </c>
      <c r="G506" s="229">
        <v>1929.18</v>
      </c>
      <c r="H506" s="71" t="s">
        <v>2234</v>
      </c>
      <c r="I506" s="71" t="s">
        <v>812</v>
      </c>
      <c r="J506" s="248"/>
      <c r="K506" s="55">
        <f t="shared" si="61"/>
        <v>2017</v>
      </c>
      <c r="L506" s="249"/>
      <c r="M506" s="249"/>
      <c r="N506" s="73"/>
      <c r="O506" s="73" t="s">
        <v>2235</v>
      </c>
      <c r="P506" s="74" t="s">
        <v>2236</v>
      </c>
      <c r="Q506" s="75" t="s">
        <v>2237</v>
      </c>
      <c r="R506" s="230">
        <v>6895</v>
      </c>
      <c r="S506" s="230">
        <v>92640</v>
      </c>
      <c r="T506" s="230">
        <v>99535</v>
      </c>
      <c r="U506" s="231">
        <v>3860</v>
      </c>
      <c r="V506" s="230"/>
      <c r="W506" s="230"/>
      <c r="X506" s="231"/>
      <c r="Y506" s="85">
        <v>0.25</v>
      </c>
      <c r="Z506" s="85"/>
      <c r="AA506" s="76"/>
      <c r="AB506" s="77"/>
      <c r="AC506" s="78"/>
    </row>
    <row r="507" spans="1:29" ht="27" hidden="1" customHeight="1" x14ac:dyDescent="0.2">
      <c r="A507" s="117" t="s">
        <v>2238</v>
      </c>
      <c r="B507" s="118" t="e">
        <f t="shared" si="59"/>
        <v>#VALUE!</v>
      </c>
      <c r="C507" s="118" t="s">
        <v>612</v>
      </c>
      <c r="D507" s="113">
        <v>39372</v>
      </c>
      <c r="E507" s="84">
        <v>39417</v>
      </c>
      <c r="F507" s="84">
        <f t="shared" si="60"/>
        <v>43070</v>
      </c>
      <c r="G507" s="229">
        <v>1927.72</v>
      </c>
      <c r="H507" s="71" t="s">
        <v>2239</v>
      </c>
      <c r="I507" s="71" t="s">
        <v>812</v>
      </c>
      <c r="J507" s="248"/>
      <c r="K507" s="55">
        <f t="shared" si="61"/>
        <v>2017</v>
      </c>
      <c r="L507" s="249"/>
      <c r="M507" s="249"/>
      <c r="N507" s="73"/>
      <c r="O507" s="73" t="s">
        <v>2240</v>
      </c>
      <c r="P507" s="74" t="s">
        <v>2241</v>
      </c>
      <c r="Q507" s="75" t="s">
        <v>2242</v>
      </c>
      <c r="R507" s="230">
        <v>6888</v>
      </c>
      <c r="S507" s="230">
        <v>73264</v>
      </c>
      <c r="T507" s="230">
        <v>80152</v>
      </c>
      <c r="U507" s="231">
        <v>3856</v>
      </c>
      <c r="V507" s="230"/>
      <c r="W507" s="230"/>
      <c r="X507" s="231"/>
      <c r="Y507" s="85">
        <v>0.25</v>
      </c>
      <c r="Z507" s="85"/>
      <c r="AA507" s="76"/>
      <c r="AB507" s="77"/>
      <c r="AC507" s="78"/>
    </row>
    <row r="508" spans="1:29" ht="27" hidden="1" customHeight="1" x14ac:dyDescent="0.2">
      <c r="A508" s="117" t="s">
        <v>2243</v>
      </c>
      <c r="B508" s="118" t="e">
        <f t="shared" si="59"/>
        <v>#VALUE!</v>
      </c>
      <c r="C508" s="118" t="s">
        <v>612</v>
      </c>
      <c r="D508" s="113">
        <v>39372</v>
      </c>
      <c r="E508" s="84">
        <v>39417</v>
      </c>
      <c r="F508" s="84">
        <f t="shared" si="60"/>
        <v>43070</v>
      </c>
      <c r="G508" s="229">
        <v>2384.37</v>
      </c>
      <c r="H508" s="71" t="s">
        <v>2239</v>
      </c>
      <c r="I508" s="71" t="s">
        <v>812</v>
      </c>
      <c r="J508" s="248"/>
      <c r="K508" s="55">
        <f t="shared" si="61"/>
        <v>2017</v>
      </c>
      <c r="L508" s="249"/>
      <c r="M508" s="249"/>
      <c r="N508" s="73"/>
      <c r="O508" s="73" t="s">
        <v>2240</v>
      </c>
      <c r="P508" s="74" t="s">
        <v>2244</v>
      </c>
      <c r="Q508" s="75" t="s">
        <v>2245</v>
      </c>
      <c r="R508" s="230">
        <v>8487.5</v>
      </c>
      <c r="S508" s="230">
        <v>66780</v>
      </c>
      <c r="T508" s="230">
        <v>75267.5</v>
      </c>
      <c r="U508" s="231">
        <v>4770</v>
      </c>
      <c r="V508" s="230"/>
      <c r="W508" s="230"/>
      <c r="X508" s="231"/>
      <c r="Y508" s="85">
        <v>0.25</v>
      </c>
      <c r="Z508" s="85"/>
      <c r="AA508" s="76"/>
      <c r="AB508" s="77"/>
      <c r="AC508" s="78"/>
    </row>
    <row r="509" spans="1:29" ht="27" hidden="1" customHeight="1" x14ac:dyDescent="0.2">
      <c r="A509" s="117" t="s">
        <v>2246</v>
      </c>
      <c r="B509" s="118" t="e">
        <f t="shared" si="59"/>
        <v>#VALUE!</v>
      </c>
      <c r="C509" s="118" t="s">
        <v>612</v>
      </c>
      <c r="D509" s="113">
        <v>39372</v>
      </c>
      <c r="E509" s="84">
        <v>39417</v>
      </c>
      <c r="F509" s="84">
        <f t="shared" si="60"/>
        <v>43070</v>
      </c>
      <c r="G509" s="229">
        <v>1212.8499999999999</v>
      </c>
      <c r="H509" s="71" t="s">
        <v>2239</v>
      </c>
      <c r="I509" s="71" t="s">
        <v>812</v>
      </c>
      <c r="J509" s="248"/>
      <c r="K509" s="55">
        <f t="shared" si="61"/>
        <v>2017</v>
      </c>
      <c r="L509" s="249"/>
      <c r="M509" s="249"/>
      <c r="N509" s="73"/>
      <c r="O509" s="73" t="s">
        <v>2240</v>
      </c>
      <c r="P509" s="74" t="s">
        <v>2247</v>
      </c>
      <c r="Q509" s="75" t="s">
        <v>2248</v>
      </c>
      <c r="R509" s="230">
        <v>4385.5</v>
      </c>
      <c r="S509" s="230">
        <v>46094</v>
      </c>
      <c r="T509" s="230">
        <v>50479.5</v>
      </c>
      <c r="U509" s="231">
        <v>2426</v>
      </c>
      <c r="V509" s="230"/>
      <c r="W509" s="230"/>
      <c r="X509" s="231"/>
      <c r="Y509" s="85">
        <v>0.25</v>
      </c>
      <c r="Z509" s="85"/>
      <c r="AA509" s="76"/>
      <c r="AB509" s="77"/>
      <c r="AC509" s="78"/>
    </row>
    <row r="510" spans="1:29" hidden="1" x14ac:dyDescent="0.2">
      <c r="A510" s="117" t="s">
        <v>2249</v>
      </c>
      <c r="B510" s="118" t="e">
        <f t="shared" si="59"/>
        <v>#VALUE!</v>
      </c>
      <c r="C510" s="118" t="s">
        <v>612</v>
      </c>
      <c r="D510" s="113">
        <v>39372</v>
      </c>
      <c r="E510" s="84">
        <v>39417</v>
      </c>
      <c r="F510" s="84">
        <f t="shared" si="60"/>
        <v>43070</v>
      </c>
      <c r="G510" s="229">
        <v>1152.5</v>
      </c>
      <c r="H510" s="71" t="s">
        <v>2239</v>
      </c>
      <c r="I510" s="71" t="s">
        <v>812</v>
      </c>
      <c r="J510" s="248"/>
      <c r="K510" s="55">
        <f t="shared" si="61"/>
        <v>2017</v>
      </c>
      <c r="L510" s="249"/>
      <c r="M510" s="249"/>
      <c r="N510" s="73"/>
      <c r="O510" s="73"/>
      <c r="P510" s="74"/>
      <c r="Q510" s="75" t="s">
        <v>2250</v>
      </c>
      <c r="R510" s="230">
        <v>4175.5</v>
      </c>
      <c r="S510" s="230">
        <v>55344</v>
      </c>
      <c r="T510" s="230">
        <v>59519.5</v>
      </c>
      <c r="U510" s="231">
        <v>2306</v>
      </c>
      <c r="V510" s="230"/>
      <c r="W510" s="230"/>
      <c r="X510" s="231"/>
      <c r="Y510" s="85">
        <v>0.25</v>
      </c>
      <c r="Z510" s="85"/>
      <c r="AA510" s="76"/>
      <c r="AB510" s="77"/>
      <c r="AC510" s="78"/>
    </row>
    <row r="511" spans="1:29" hidden="1" x14ac:dyDescent="0.2">
      <c r="A511" s="117" t="s">
        <v>2251</v>
      </c>
      <c r="B511" s="118" t="e">
        <f t="shared" si="59"/>
        <v>#VALUE!</v>
      </c>
      <c r="C511" s="118" t="s">
        <v>612</v>
      </c>
      <c r="D511" s="113">
        <v>39372</v>
      </c>
      <c r="E511" s="84">
        <v>39417</v>
      </c>
      <c r="F511" s="84">
        <f t="shared" si="60"/>
        <v>43070</v>
      </c>
      <c r="G511" s="229">
        <v>824.48</v>
      </c>
      <c r="H511" s="71" t="s">
        <v>1625</v>
      </c>
      <c r="I511" s="71" t="s">
        <v>812</v>
      </c>
      <c r="J511" s="248"/>
      <c r="K511" s="55">
        <f t="shared" si="61"/>
        <v>2017</v>
      </c>
      <c r="L511" s="249"/>
      <c r="M511" s="249"/>
      <c r="N511" s="73"/>
      <c r="O511" s="73" t="s">
        <v>2252</v>
      </c>
      <c r="P511" s="74" t="s">
        <v>2253</v>
      </c>
      <c r="Q511" s="75" t="s">
        <v>2254</v>
      </c>
      <c r="R511" s="230">
        <v>3027.5</v>
      </c>
      <c r="S511" s="230">
        <v>51975</v>
      </c>
      <c r="T511" s="230">
        <v>55002.5</v>
      </c>
      <c r="U511" s="231">
        <v>1650</v>
      </c>
      <c r="V511" s="230"/>
      <c r="W511" s="230"/>
      <c r="X511" s="231"/>
      <c r="Y511" s="85">
        <v>0.25</v>
      </c>
      <c r="Z511" s="85"/>
      <c r="AA511" s="76"/>
      <c r="AB511" s="77"/>
      <c r="AC511" s="78"/>
    </row>
    <row r="512" spans="1:29" hidden="1" x14ac:dyDescent="0.2">
      <c r="A512" s="117" t="s">
        <v>2255</v>
      </c>
      <c r="B512" s="118" t="e">
        <f t="shared" si="59"/>
        <v>#VALUE!</v>
      </c>
      <c r="C512" s="118" t="s">
        <v>612</v>
      </c>
      <c r="D512" s="113">
        <v>39372</v>
      </c>
      <c r="E512" s="84">
        <v>39417</v>
      </c>
      <c r="F512" s="84">
        <f t="shared" si="60"/>
        <v>43070</v>
      </c>
      <c r="G512" s="229">
        <v>967.52</v>
      </c>
      <c r="H512" s="71" t="s">
        <v>642</v>
      </c>
      <c r="I512" s="71" t="s">
        <v>614</v>
      </c>
      <c r="J512" s="248"/>
      <c r="K512" s="55">
        <f t="shared" si="61"/>
        <v>2017</v>
      </c>
      <c r="L512" s="249"/>
      <c r="M512" s="249"/>
      <c r="N512" s="73" t="s">
        <v>1648</v>
      </c>
      <c r="O512" s="73" t="s">
        <v>2256</v>
      </c>
      <c r="P512" s="74"/>
      <c r="Q512" s="75" t="s">
        <v>2257</v>
      </c>
      <c r="R512" s="230">
        <v>3528</v>
      </c>
      <c r="S512" s="230">
        <v>56144</v>
      </c>
      <c r="T512" s="230">
        <v>59672</v>
      </c>
      <c r="U512" s="231">
        <v>1936</v>
      </c>
      <c r="V512" s="230"/>
      <c r="W512" s="230"/>
      <c r="X512" s="231"/>
      <c r="Y512" s="85">
        <v>0.25</v>
      </c>
      <c r="Z512" s="85"/>
      <c r="AA512" s="76"/>
      <c r="AB512" s="77" t="s">
        <v>1069</v>
      </c>
      <c r="AC512" s="78"/>
    </row>
    <row r="513" spans="1:29" ht="27" hidden="1" customHeight="1" x14ac:dyDescent="0.2">
      <c r="A513" s="117" t="s">
        <v>2258</v>
      </c>
      <c r="B513" s="118" t="e">
        <f t="shared" si="59"/>
        <v>#VALUE!</v>
      </c>
      <c r="C513" s="118" t="s">
        <v>612</v>
      </c>
      <c r="D513" s="113">
        <v>39372</v>
      </c>
      <c r="E513" s="84">
        <v>39417</v>
      </c>
      <c r="F513" s="84">
        <f t="shared" si="60"/>
        <v>43070</v>
      </c>
      <c r="G513" s="229">
        <v>153.07</v>
      </c>
      <c r="H513" s="71" t="s">
        <v>2259</v>
      </c>
      <c r="I513" s="71" t="s">
        <v>614</v>
      </c>
      <c r="J513" s="72" t="s">
        <v>1529</v>
      </c>
      <c r="K513" s="55">
        <f t="shared" si="61"/>
        <v>2017</v>
      </c>
      <c r="L513" s="81"/>
      <c r="M513" s="81"/>
      <c r="N513" s="73" t="s">
        <v>1643</v>
      </c>
      <c r="O513" s="73" t="s">
        <v>2260</v>
      </c>
      <c r="P513" s="74" t="s">
        <v>2261</v>
      </c>
      <c r="Q513" s="75" t="s">
        <v>2262</v>
      </c>
      <c r="R513" s="230">
        <v>679</v>
      </c>
      <c r="S513" s="230">
        <v>4312</v>
      </c>
      <c r="T513" s="230">
        <v>4991</v>
      </c>
      <c r="U513" s="231">
        <v>308</v>
      </c>
      <c r="V513" s="230"/>
      <c r="W513" s="230"/>
      <c r="X513" s="231"/>
      <c r="Y513" s="85">
        <v>0.25</v>
      </c>
      <c r="Z513" s="85"/>
      <c r="AA513" s="76"/>
      <c r="AB513" s="77"/>
      <c r="AC513" s="78"/>
    </row>
    <row r="514" spans="1:29" ht="27" hidden="1" customHeight="1" x14ac:dyDescent="0.2">
      <c r="A514" s="117" t="s">
        <v>2263</v>
      </c>
      <c r="B514" s="118" t="e">
        <f t="shared" si="59"/>
        <v>#VALUE!</v>
      </c>
      <c r="C514" s="118" t="s">
        <v>612</v>
      </c>
      <c r="D514" s="113">
        <v>39372</v>
      </c>
      <c r="E514" s="84">
        <v>39417</v>
      </c>
      <c r="F514" s="84">
        <f t="shared" si="60"/>
        <v>43070</v>
      </c>
      <c r="G514" s="229">
        <v>425.57</v>
      </c>
      <c r="H514" s="71" t="s">
        <v>2264</v>
      </c>
      <c r="I514" s="71" t="s">
        <v>614</v>
      </c>
      <c r="J514" s="72" t="s">
        <v>1529</v>
      </c>
      <c r="K514" s="55">
        <f t="shared" si="61"/>
        <v>2017</v>
      </c>
      <c r="L514" s="81"/>
      <c r="M514" s="81"/>
      <c r="N514" s="73" t="s">
        <v>1643</v>
      </c>
      <c r="O514" s="73" t="s">
        <v>2265</v>
      </c>
      <c r="P514" s="74" t="s">
        <v>2261</v>
      </c>
      <c r="Q514" s="75" t="s">
        <v>2266</v>
      </c>
      <c r="R514" s="230">
        <v>1631</v>
      </c>
      <c r="S514" s="230">
        <v>20448</v>
      </c>
      <c r="T514" s="230">
        <v>22079</v>
      </c>
      <c r="U514" s="231">
        <v>852</v>
      </c>
      <c r="V514" s="230"/>
      <c r="W514" s="230"/>
      <c r="X514" s="231"/>
      <c r="Y514" s="85">
        <v>0.25</v>
      </c>
      <c r="Z514" s="85"/>
      <c r="AA514" s="76"/>
      <c r="AB514" s="77"/>
      <c r="AC514" s="78"/>
    </row>
    <row r="515" spans="1:29" hidden="1" x14ac:dyDescent="0.2">
      <c r="A515" s="117" t="s">
        <v>2267</v>
      </c>
      <c r="B515" s="118" t="e">
        <f t="shared" si="59"/>
        <v>#VALUE!</v>
      </c>
      <c r="C515" s="118" t="s">
        <v>612</v>
      </c>
      <c r="D515" s="113">
        <v>39372</v>
      </c>
      <c r="E515" s="84">
        <v>39417</v>
      </c>
      <c r="F515" s="84">
        <f t="shared" si="60"/>
        <v>43070</v>
      </c>
      <c r="G515" s="229">
        <v>1268.1300000000001</v>
      </c>
      <c r="H515" s="71" t="s">
        <v>1503</v>
      </c>
      <c r="I515" s="71" t="s">
        <v>614</v>
      </c>
      <c r="J515" s="72"/>
      <c r="K515" s="55">
        <f t="shared" si="61"/>
        <v>2017</v>
      </c>
      <c r="L515" s="81"/>
      <c r="M515" s="81"/>
      <c r="N515" s="73" t="s">
        <v>2268</v>
      </c>
      <c r="O515" s="73" t="s">
        <v>2269</v>
      </c>
      <c r="P515" s="74"/>
      <c r="Q515" s="75" t="s">
        <v>2270</v>
      </c>
      <c r="R515" s="230">
        <v>4581.5</v>
      </c>
      <c r="S515" s="230">
        <v>73602</v>
      </c>
      <c r="T515" s="230">
        <v>78183.5</v>
      </c>
      <c r="U515" s="231">
        <v>2538</v>
      </c>
      <c r="V515" s="230"/>
      <c r="W515" s="230"/>
      <c r="X515" s="231"/>
      <c r="Y515" s="85">
        <v>0.25</v>
      </c>
      <c r="Z515" s="85"/>
      <c r="AA515" s="76"/>
      <c r="AB515" s="77" t="s">
        <v>1069</v>
      </c>
      <c r="AC515" s="78"/>
    </row>
    <row r="516" spans="1:29" ht="27" hidden="1" customHeight="1" x14ac:dyDescent="0.2">
      <c r="A516" s="117" t="s">
        <v>2271</v>
      </c>
      <c r="B516" s="118" t="e">
        <f t="shared" si="59"/>
        <v>#VALUE!</v>
      </c>
      <c r="C516" s="118" t="s">
        <v>612</v>
      </c>
      <c r="D516" s="113">
        <v>39372</v>
      </c>
      <c r="E516" s="84">
        <v>39417</v>
      </c>
      <c r="F516" s="84">
        <f t="shared" si="60"/>
        <v>43070</v>
      </c>
      <c r="G516" s="229">
        <v>1081.9100000000001</v>
      </c>
      <c r="H516" s="71" t="s">
        <v>2272</v>
      </c>
      <c r="I516" s="71" t="s">
        <v>614</v>
      </c>
      <c r="J516" s="72" t="s">
        <v>1529</v>
      </c>
      <c r="K516" s="55">
        <f t="shared" si="61"/>
        <v>2017</v>
      </c>
      <c r="L516" s="81"/>
      <c r="M516" s="81"/>
      <c r="N516" s="73" t="s">
        <v>1643</v>
      </c>
      <c r="O516" s="73" t="s">
        <v>2273</v>
      </c>
      <c r="P516" s="74" t="s">
        <v>2261</v>
      </c>
      <c r="Q516" s="75" t="s">
        <v>2274</v>
      </c>
      <c r="R516" s="230">
        <v>3927</v>
      </c>
      <c r="S516" s="230">
        <v>41116</v>
      </c>
      <c r="T516" s="230">
        <v>45043</v>
      </c>
      <c r="U516" s="231">
        <v>2164</v>
      </c>
      <c r="V516" s="230"/>
      <c r="W516" s="230"/>
      <c r="X516" s="231"/>
      <c r="Y516" s="85">
        <v>0.25</v>
      </c>
      <c r="Z516" s="85"/>
      <c r="AA516" s="76"/>
      <c r="AB516" s="77"/>
      <c r="AC516" s="78"/>
    </row>
    <row r="517" spans="1:29" ht="15" hidden="1" customHeight="1" thickBot="1" x14ac:dyDescent="0.25">
      <c r="A517" s="117"/>
      <c r="D517" s="113"/>
      <c r="E517" s="84"/>
      <c r="F517" s="84"/>
      <c r="G517" s="229"/>
      <c r="H517" s="71"/>
      <c r="I517" s="71"/>
      <c r="J517" s="79"/>
      <c r="K517" s="79"/>
      <c r="L517" s="80"/>
      <c r="M517" s="80"/>
      <c r="N517" s="73"/>
      <c r="O517" s="73"/>
      <c r="P517" s="74"/>
      <c r="Q517" s="75" t="s">
        <v>1144</v>
      </c>
      <c r="R517" s="241">
        <v>65747.5</v>
      </c>
      <c r="S517" s="241">
        <v>1230301</v>
      </c>
      <c r="T517" s="241">
        <v>1296048.5</v>
      </c>
      <c r="U517" s="231"/>
      <c r="V517" s="230"/>
      <c r="W517" s="230"/>
      <c r="X517" s="231"/>
      <c r="Y517" s="85"/>
      <c r="Z517" s="85"/>
      <c r="AA517" s="76"/>
      <c r="AB517" s="77"/>
      <c r="AC517" s="78"/>
    </row>
    <row r="518" spans="1:29" hidden="1" x14ac:dyDescent="0.2">
      <c r="A518" s="117"/>
      <c r="D518" s="113"/>
      <c r="E518" s="84"/>
      <c r="F518" s="84"/>
      <c r="G518" s="229"/>
      <c r="H518" s="71"/>
      <c r="I518" s="71"/>
      <c r="J518" s="79"/>
      <c r="K518" s="79"/>
      <c r="L518" s="80"/>
      <c r="M518" s="80"/>
      <c r="N518" s="73"/>
      <c r="O518" s="73"/>
      <c r="P518" s="74"/>
      <c r="Q518" s="75"/>
      <c r="R518" s="230"/>
      <c r="S518" s="230"/>
      <c r="T518" s="230"/>
      <c r="U518" s="231"/>
      <c r="V518" s="230"/>
      <c r="W518" s="230"/>
      <c r="X518" s="231"/>
      <c r="Y518" s="85"/>
      <c r="Z518" s="85"/>
      <c r="AA518" s="76"/>
      <c r="AB518" s="77"/>
      <c r="AC518" s="78"/>
    </row>
    <row r="519" spans="1:29" hidden="1" x14ac:dyDescent="0.2">
      <c r="A519" s="117"/>
      <c r="D519" s="113"/>
      <c r="E519" s="84"/>
      <c r="F519" s="84"/>
      <c r="G519" s="229"/>
      <c r="H519" s="71"/>
      <c r="I519" s="71"/>
      <c r="J519" s="79"/>
      <c r="K519" s="79"/>
      <c r="L519" s="80"/>
      <c r="M519" s="80"/>
      <c r="N519" s="73"/>
      <c r="O519" s="73"/>
      <c r="P519" s="74"/>
      <c r="Q519" s="75" t="s">
        <v>2275</v>
      </c>
      <c r="R519" s="230">
        <v>990613.5</v>
      </c>
      <c r="S519" s="230">
        <v>9255078.5</v>
      </c>
      <c r="T519" s="230">
        <v>10245692</v>
      </c>
      <c r="U519" s="231"/>
      <c r="V519" s="230"/>
      <c r="W519" s="230"/>
      <c r="X519" s="231"/>
      <c r="Y519" s="82"/>
      <c r="Z519" s="82"/>
      <c r="AA519" s="83"/>
      <c r="AB519" s="77"/>
      <c r="AC519" s="78"/>
    </row>
    <row r="520" spans="1:29" hidden="1" x14ac:dyDescent="0.2">
      <c r="A520" s="117"/>
      <c r="D520" s="113"/>
      <c r="E520" s="84"/>
      <c r="F520" s="84"/>
      <c r="G520" s="229"/>
      <c r="H520" s="71"/>
      <c r="I520" s="71"/>
      <c r="J520" s="79"/>
      <c r="K520" s="79"/>
      <c r="L520" s="80"/>
      <c r="M520" s="80"/>
      <c r="N520" s="73"/>
      <c r="O520" s="73"/>
      <c r="P520" s="74"/>
      <c r="Q520" s="75"/>
      <c r="R520" s="230"/>
      <c r="S520" s="230"/>
      <c r="T520" s="230"/>
      <c r="U520" s="231"/>
      <c r="V520" s="230"/>
      <c r="W520" s="230"/>
      <c r="X520" s="231"/>
      <c r="Y520" s="85"/>
      <c r="Z520" s="85"/>
      <c r="AA520" s="76"/>
      <c r="AB520" s="77"/>
      <c r="AC520" s="78"/>
    </row>
    <row r="521" spans="1:29" ht="27" hidden="1" customHeight="1" x14ac:dyDescent="0.2">
      <c r="A521" s="117" t="s">
        <v>2276</v>
      </c>
      <c r="B521" s="118" t="e">
        <f t="shared" ref="B521:B552" si="62">IF(COUNTIF(GIS,A521),"YES","NO")</f>
        <v>#VALUE!</v>
      </c>
      <c r="C521" s="118" t="s">
        <v>612</v>
      </c>
      <c r="D521" s="113">
        <v>39436</v>
      </c>
      <c r="E521" s="84">
        <v>39479</v>
      </c>
      <c r="F521" s="84">
        <f t="shared" ref="F521:F552" si="63">DATE(YEAR(E521)+10,MONTH(E521),DAY(E521))</f>
        <v>43132</v>
      </c>
      <c r="G521" s="229">
        <v>161.55000000000001</v>
      </c>
      <c r="H521" s="71" t="s">
        <v>865</v>
      </c>
      <c r="I521" s="71" t="s">
        <v>931</v>
      </c>
      <c r="J521" s="238" t="s">
        <v>2277</v>
      </c>
      <c r="K521" s="55">
        <f t="shared" ref="K521:K552" si="64">YEAR(F521)</f>
        <v>2018</v>
      </c>
      <c r="L521" s="239"/>
      <c r="M521" s="239"/>
      <c r="N521" s="73" t="s">
        <v>2278</v>
      </c>
      <c r="O521" s="73" t="s">
        <v>2279</v>
      </c>
      <c r="P521" s="74" t="s">
        <v>2280</v>
      </c>
      <c r="Q521" s="75" t="s">
        <v>2281</v>
      </c>
      <c r="R521" s="230">
        <v>707</v>
      </c>
      <c r="S521" s="230">
        <v>0</v>
      </c>
      <c r="T521" s="230">
        <v>707</v>
      </c>
      <c r="U521" s="250">
        <v>324</v>
      </c>
      <c r="V521" s="251"/>
      <c r="W521" s="251"/>
      <c r="X521" s="250"/>
      <c r="Y521" s="85">
        <v>0.25</v>
      </c>
      <c r="Z521" s="85"/>
      <c r="AA521" s="76"/>
      <c r="AB521" s="77"/>
      <c r="AC521" s="78"/>
    </row>
    <row r="522" spans="1:29" ht="27" hidden="1" customHeight="1" x14ac:dyDescent="0.2">
      <c r="A522" s="117" t="s">
        <v>2282</v>
      </c>
      <c r="B522" s="118" t="e">
        <f t="shared" si="62"/>
        <v>#VALUE!</v>
      </c>
      <c r="C522" s="118" t="s">
        <v>612</v>
      </c>
      <c r="D522" s="113">
        <v>39436</v>
      </c>
      <c r="E522" s="84">
        <v>39479</v>
      </c>
      <c r="F522" s="84">
        <f t="shared" si="63"/>
        <v>43132</v>
      </c>
      <c r="G522" s="229">
        <v>1470.17</v>
      </c>
      <c r="H522" s="71" t="s">
        <v>865</v>
      </c>
      <c r="I522" s="71" t="s">
        <v>931</v>
      </c>
      <c r="J522" s="248"/>
      <c r="K522" s="55">
        <f t="shared" si="64"/>
        <v>2018</v>
      </c>
      <c r="L522" s="249"/>
      <c r="M522" s="249"/>
      <c r="N522" s="73" t="s">
        <v>2278</v>
      </c>
      <c r="O522" s="73" t="s">
        <v>2279</v>
      </c>
      <c r="P522" s="74" t="s">
        <v>2283</v>
      </c>
      <c r="Q522" s="75" t="s">
        <v>2284</v>
      </c>
      <c r="R522" s="230">
        <v>5288.5</v>
      </c>
      <c r="S522" s="230">
        <v>0</v>
      </c>
      <c r="T522" s="230">
        <v>5288.5</v>
      </c>
      <c r="U522" s="250">
        <v>2942</v>
      </c>
      <c r="V522" s="251"/>
      <c r="W522" s="251"/>
      <c r="X522" s="250"/>
      <c r="Y522" s="85">
        <v>0.25</v>
      </c>
      <c r="Z522" s="85"/>
      <c r="AA522" s="76"/>
      <c r="AB522" s="77"/>
      <c r="AC522" s="78"/>
    </row>
    <row r="523" spans="1:29" ht="27" hidden="1" customHeight="1" x14ac:dyDescent="0.2">
      <c r="A523" s="117" t="s">
        <v>2285</v>
      </c>
      <c r="B523" s="118" t="e">
        <f t="shared" si="62"/>
        <v>#VALUE!</v>
      </c>
      <c r="C523" s="118" t="s">
        <v>612</v>
      </c>
      <c r="D523" s="113">
        <v>39436</v>
      </c>
      <c r="E523" s="84">
        <v>39479</v>
      </c>
      <c r="F523" s="84">
        <f t="shared" si="63"/>
        <v>43132</v>
      </c>
      <c r="G523" s="229">
        <v>479.55</v>
      </c>
      <c r="H523" s="71" t="s">
        <v>865</v>
      </c>
      <c r="I523" s="71" t="s">
        <v>931</v>
      </c>
      <c r="J523" s="248"/>
      <c r="K523" s="55">
        <f t="shared" si="64"/>
        <v>2018</v>
      </c>
      <c r="L523" s="249"/>
      <c r="M523" s="249"/>
      <c r="N523" s="73" t="s">
        <v>2278</v>
      </c>
      <c r="O523" s="73" t="s">
        <v>2279</v>
      </c>
      <c r="P523" s="74" t="s">
        <v>2286</v>
      </c>
      <c r="Q523" s="75" t="s">
        <v>2287</v>
      </c>
      <c r="R523" s="230">
        <v>1820</v>
      </c>
      <c r="S523" s="230">
        <v>0</v>
      </c>
      <c r="T523" s="230">
        <v>1820</v>
      </c>
      <c r="U523" s="250">
        <v>960</v>
      </c>
      <c r="V523" s="251"/>
      <c r="W523" s="251"/>
      <c r="X523" s="250"/>
      <c r="Y523" s="85">
        <v>0.25</v>
      </c>
      <c r="Z523" s="85"/>
      <c r="AA523" s="76"/>
      <c r="AB523" s="77"/>
      <c r="AC523" s="78"/>
    </row>
    <row r="524" spans="1:29" ht="27" hidden="1" customHeight="1" x14ac:dyDescent="0.2">
      <c r="A524" s="117" t="s">
        <v>2288</v>
      </c>
      <c r="B524" s="118" t="e">
        <f t="shared" si="62"/>
        <v>#VALUE!</v>
      </c>
      <c r="C524" s="118" t="s">
        <v>612</v>
      </c>
      <c r="D524" s="113">
        <v>39436</v>
      </c>
      <c r="E524" s="84">
        <v>39479</v>
      </c>
      <c r="F524" s="84">
        <f t="shared" si="63"/>
        <v>43132</v>
      </c>
      <c r="G524" s="229">
        <v>685.17</v>
      </c>
      <c r="H524" s="71" t="s">
        <v>2289</v>
      </c>
      <c r="I524" s="71" t="s">
        <v>931</v>
      </c>
      <c r="J524" s="238" t="s">
        <v>2290</v>
      </c>
      <c r="K524" s="55">
        <f t="shared" si="64"/>
        <v>2018</v>
      </c>
      <c r="L524" s="238"/>
      <c r="M524" s="238"/>
      <c r="N524" s="73" t="s">
        <v>2278</v>
      </c>
      <c r="O524" s="73" t="s">
        <v>2291</v>
      </c>
      <c r="P524" s="74" t="s">
        <v>2292</v>
      </c>
      <c r="Q524" s="75" t="s">
        <v>2293</v>
      </c>
      <c r="R524" s="230">
        <v>3661</v>
      </c>
      <c r="S524" s="230">
        <v>0</v>
      </c>
      <c r="T524" s="230">
        <v>3661</v>
      </c>
      <c r="U524" s="250">
        <v>1372</v>
      </c>
      <c r="V524" s="251"/>
      <c r="W524" s="251"/>
      <c r="X524" s="250"/>
      <c r="Y524" s="85">
        <v>0.25</v>
      </c>
      <c r="Z524" s="85"/>
      <c r="AA524" s="76"/>
      <c r="AB524" s="77"/>
      <c r="AC524" s="78"/>
    </row>
    <row r="525" spans="1:29" ht="40" hidden="1" customHeight="1" x14ac:dyDescent="0.2">
      <c r="A525" s="117" t="s">
        <v>2294</v>
      </c>
      <c r="B525" s="118" t="e">
        <f t="shared" si="62"/>
        <v>#VALUE!</v>
      </c>
      <c r="C525" s="118" t="s">
        <v>612</v>
      </c>
      <c r="D525" s="113">
        <v>39436</v>
      </c>
      <c r="E525" s="84">
        <v>39479</v>
      </c>
      <c r="F525" s="84">
        <f t="shared" si="63"/>
        <v>43132</v>
      </c>
      <c r="G525" s="229">
        <v>1720.42</v>
      </c>
      <c r="H525" s="71" t="s">
        <v>2289</v>
      </c>
      <c r="I525" s="71" t="s">
        <v>931</v>
      </c>
      <c r="J525" s="79"/>
      <c r="K525" s="55">
        <f t="shared" si="64"/>
        <v>2018</v>
      </c>
      <c r="L525" s="80"/>
      <c r="M525" s="80"/>
      <c r="N525" s="73" t="s">
        <v>2278</v>
      </c>
      <c r="O525" s="73" t="s">
        <v>2291</v>
      </c>
      <c r="P525" s="74" t="s">
        <v>2295</v>
      </c>
      <c r="Q525" s="75" t="s">
        <v>2296</v>
      </c>
      <c r="R525" s="230">
        <v>6163.5</v>
      </c>
      <c r="S525" s="230">
        <v>0</v>
      </c>
      <c r="T525" s="230">
        <v>6163.5</v>
      </c>
      <c r="U525" s="250">
        <v>3442</v>
      </c>
      <c r="V525" s="251"/>
      <c r="W525" s="251"/>
      <c r="X525" s="250"/>
      <c r="Y525" s="85">
        <v>0.25</v>
      </c>
      <c r="Z525" s="85"/>
      <c r="AA525" s="76"/>
      <c r="AB525" s="77"/>
      <c r="AC525" s="78"/>
    </row>
    <row r="526" spans="1:29" ht="27" hidden="1" customHeight="1" x14ac:dyDescent="0.2">
      <c r="A526" s="117" t="s">
        <v>2297</v>
      </c>
      <c r="B526" s="118" t="e">
        <f t="shared" si="62"/>
        <v>#VALUE!</v>
      </c>
      <c r="C526" s="118" t="s">
        <v>612</v>
      </c>
      <c r="D526" s="113">
        <v>39436</v>
      </c>
      <c r="E526" s="84">
        <v>39479</v>
      </c>
      <c r="F526" s="84">
        <f t="shared" si="63"/>
        <v>43132</v>
      </c>
      <c r="G526" s="229">
        <v>1480.33</v>
      </c>
      <c r="H526" s="71" t="s">
        <v>2289</v>
      </c>
      <c r="I526" s="71" t="s">
        <v>931</v>
      </c>
      <c r="J526" s="238" t="s">
        <v>2277</v>
      </c>
      <c r="K526" s="55">
        <f t="shared" si="64"/>
        <v>2018</v>
      </c>
      <c r="L526" s="239"/>
      <c r="M526" s="239"/>
      <c r="N526" s="73" t="s">
        <v>2278</v>
      </c>
      <c r="O526" s="73" t="s">
        <v>2291</v>
      </c>
      <c r="P526" s="74" t="s">
        <v>2298</v>
      </c>
      <c r="Q526" s="75" t="s">
        <v>2296</v>
      </c>
      <c r="R526" s="230">
        <v>5323.5</v>
      </c>
      <c r="S526" s="230">
        <v>0</v>
      </c>
      <c r="T526" s="230">
        <v>5323.5</v>
      </c>
      <c r="U526" s="250">
        <v>2962</v>
      </c>
      <c r="V526" s="251"/>
      <c r="W526" s="251"/>
      <c r="X526" s="250"/>
      <c r="Y526" s="85">
        <v>0.25</v>
      </c>
      <c r="Z526" s="85"/>
      <c r="AA526" s="76"/>
      <c r="AB526" s="77"/>
      <c r="AC526" s="78"/>
    </row>
    <row r="527" spans="1:29" ht="53" hidden="1" customHeight="1" x14ac:dyDescent="0.2">
      <c r="A527" s="117" t="s">
        <v>2299</v>
      </c>
      <c r="B527" s="118" t="e">
        <f t="shared" si="62"/>
        <v>#VALUE!</v>
      </c>
      <c r="C527" s="118" t="s">
        <v>612</v>
      </c>
      <c r="D527" s="113">
        <v>39436</v>
      </c>
      <c r="E527" s="84">
        <v>39479</v>
      </c>
      <c r="F527" s="84">
        <f t="shared" si="63"/>
        <v>43132</v>
      </c>
      <c r="G527" s="229">
        <v>1860</v>
      </c>
      <c r="H527" s="71" t="s">
        <v>2289</v>
      </c>
      <c r="I527" s="71" t="s">
        <v>931</v>
      </c>
      <c r="J527" s="248"/>
      <c r="K527" s="55">
        <f t="shared" si="64"/>
        <v>2018</v>
      </c>
      <c r="L527" s="249"/>
      <c r="M527" s="249"/>
      <c r="N527" s="73" t="s">
        <v>2278</v>
      </c>
      <c r="O527" s="73" t="s">
        <v>2291</v>
      </c>
      <c r="P527" s="74" t="s">
        <v>2300</v>
      </c>
      <c r="Q527" s="75" t="s">
        <v>2301</v>
      </c>
      <c r="R527" s="230">
        <v>6650</v>
      </c>
      <c r="S527" s="230">
        <v>0</v>
      </c>
      <c r="T527" s="230">
        <v>6650</v>
      </c>
      <c r="U527" s="250">
        <v>3720</v>
      </c>
      <c r="V527" s="251"/>
      <c r="W527" s="251"/>
      <c r="X527" s="250"/>
      <c r="Y527" s="85">
        <v>0.25</v>
      </c>
      <c r="Z527" s="85"/>
      <c r="AA527" s="76"/>
      <c r="AB527" s="77"/>
      <c r="AC527" s="78"/>
    </row>
    <row r="528" spans="1:29" ht="27" hidden="1" customHeight="1" x14ac:dyDescent="0.2">
      <c r="A528" s="117" t="s">
        <v>2302</v>
      </c>
      <c r="B528" s="118" t="e">
        <f t="shared" si="62"/>
        <v>#VALUE!</v>
      </c>
      <c r="C528" s="118" t="s">
        <v>612</v>
      </c>
      <c r="D528" s="113">
        <v>39436</v>
      </c>
      <c r="E528" s="84">
        <v>39479</v>
      </c>
      <c r="F528" s="84">
        <f t="shared" si="63"/>
        <v>43132</v>
      </c>
      <c r="G528" s="229">
        <v>2316.75</v>
      </c>
      <c r="H528" s="71" t="s">
        <v>865</v>
      </c>
      <c r="I528" s="71" t="s">
        <v>931</v>
      </c>
      <c r="J528" s="248"/>
      <c r="K528" s="55">
        <f t="shared" si="64"/>
        <v>2018</v>
      </c>
      <c r="L528" s="249"/>
      <c r="M528" s="249"/>
      <c r="N528" s="73" t="s">
        <v>2278</v>
      </c>
      <c r="O528" s="73" t="s">
        <v>2303</v>
      </c>
      <c r="P528" s="74" t="s">
        <v>2304</v>
      </c>
      <c r="Q528" s="75" t="s">
        <v>2305</v>
      </c>
      <c r="R528" s="230">
        <v>8249.5</v>
      </c>
      <c r="S528" s="230">
        <v>0</v>
      </c>
      <c r="T528" s="230">
        <v>8249.5</v>
      </c>
      <c r="U528" s="250">
        <v>4634</v>
      </c>
      <c r="V528" s="251"/>
      <c r="W528" s="251"/>
      <c r="X528" s="250"/>
      <c r="Y528" s="85">
        <v>0.25</v>
      </c>
      <c r="Z528" s="85"/>
      <c r="AA528" s="76"/>
      <c r="AB528" s="77"/>
      <c r="AC528" s="78"/>
    </row>
    <row r="529" spans="1:29" ht="53" hidden="1" customHeight="1" x14ac:dyDescent="0.2">
      <c r="A529" s="117" t="s">
        <v>2306</v>
      </c>
      <c r="B529" s="118" t="e">
        <f t="shared" si="62"/>
        <v>#VALUE!</v>
      </c>
      <c r="C529" s="118" t="s">
        <v>612</v>
      </c>
      <c r="D529" s="113">
        <v>39436</v>
      </c>
      <c r="E529" s="84">
        <v>39479</v>
      </c>
      <c r="F529" s="84">
        <f t="shared" si="63"/>
        <v>43132</v>
      </c>
      <c r="G529" s="229">
        <v>788.96</v>
      </c>
      <c r="H529" s="71" t="s">
        <v>865</v>
      </c>
      <c r="I529" s="71" t="s">
        <v>931</v>
      </c>
      <c r="J529" s="248"/>
      <c r="K529" s="55">
        <f t="shared" si="64"/>
        <v>2018</v>
      </c>
      <c r="L529" s="249"/>
      <c r="M529" s="249"/>
      <c r="N529" s="73" t="s">
        <v>2278</v>
      </c>
      <c r="O529" s="73" t="s">
        <v>2303</v>
      </c>
      <c r="P529" s="74" t="s">
        <v>2307</v>
      </c>
      <c r="Q529" s="75" t="s">
        <v>2308</v>
      </c>
      <c r="R529" s="230">
        <v>2901.5</v>
      </c>
      <c r="S529" s="230">
        <v>0</v>
      </c>
      <c r="T529" s="230">
        <v>2901.5</v>
      </c>
      <c r="U529" s="250">
        <v>1578</v>
      </c>
      <c r="V529" s="251"/>
      <c r="W529" s="251"/>
      <c r="X529" s="250"/>
      <c r="Y529" s="85">
        <v>0.25</v>
      </c>
      <c r="Z529" s="85"/>
      <c r="AA529" s="76"/>
      <c r="AB529" s="77"/>
      <c r="AC529" s="78"/>
    </row>
    <row r="530" spans="1:29" ht="40" hidden="1" customHeight="1" x14ac:dyDescent="0.2">
      <c r="A530" s="117" t="s">
        <v>2309</v>
      </c>
      <c r="B530" s="118" t="e">
        <f t="shared" si="62"/>
        <v>#VALUE!</v>
      </c>
      <c r="C530" s="118" t="s">
        <v>612</v>
      </c>
      <c r="D530" s="113">
        <v>39436</v>
      </c>
      <c r="E530" s="84">
        <v>39479</v>
      </c>
      <c r="F530" s="84">
        <f t="shared" si="63"/>
        <v>43132</v>
      </c>
      <c r="G530" s="229">
        <v>1968.96</v>
      </c>
      <c r="H530" s="71" t="s">
        <v>865</v>
      </c>
      <c r="I530" s="71" t="s">
        <v>931</v>
      </c>
      <c r="J530" s="248"/>
      <c r="K530" s="55">
        <f t="shared" si="64"/>
        <v>2018</v>
      </c>
      <c r="L530" s="249"/>
      <c r="M530" s="249"/>
      <c r="N530" s="73" t="s">
        <v>2278</v>
      </c>
      <c r="O530" s="73" t="s">
        <v>2303</v>
      </c>
      <c r="P530" s="74" t="s">
        <v>2310</v>
      </c>
      <c r="Q530" s="75" t="s">
        <v>2311</v>
      </c>
      <c r="R530" s="230">
        <v>7031.5</v>
      </c>
      <c r="S530" s="230">
        <v>0</v>
      </c>
      <c r="T530" s="230">
        <v>7031.5</v>
      </c>
      <c r="U530" s="250">
        <v>3938</v>
      </c>
      <c r="V530" s="251"/>
      <c r="W530" s="251"/>
      <c r="X530" s="250"/>
      <c r="Y530" s="85">
        <v>0.25</v>
      </c>
      <c r="Z530" s="85"/>
      <c r="AA530" s="76"/>
      <c r="AB530" s="77"/>
      <c r="AC530" s="78"/>
    </row>
    <row r="531" spans="1:29" ht="27" hidden="1" customHeight="1" x14ac:dyDescent="0.2">
      <c r="A531" s="117" t="s">
        <v>2312</v>
      </c>
      <c r="B531" s="118" t="e">
        <f t="shared" si="62"/>
        <v>#VALUE!</v>
      </c>
      <c r="C531" s="118" t="s">
        <v>612</v>
      </c>
      <c r="D531" s="113">
        <v>39436</v>
      </c>
      <c r="E531" s="84">
        <v>39479</v>
      </c>
      <c r="F531" s="84">
        <f t="shared" si="63"/>
        <v>43132</v>
      </c>
      <c r="G531" s="229">
        <v>1081.1099999999999</v>
      </c>
      <c r="H531" s="71" t="s">
        <v>865</v>
      </c>
      <c r="I531" s="71" t="s">
        <v>931</v>
      </c>
      <c r="J531" s="248"/>
      <c r="K531" s="55">
        <f t="shared" si="64"/>
        <v>2018</v>
      </c>
      <c r="L531" s="249"/>
      <c r="M531" s="249"/>
      <c r="N531" s="73" t="s">
        <v>2278</v>
      </c>
      <c r="O531" s="73" t="s">
        <v>2303</v>
      </c>
      <c r="P531" s="74" t="s">
        <v>2313</v>
      </c>
      <c r="Q531" s="75" t="s">
        <v>2314</v>
      </c>
      <c r="R531" s="230">
        <v>3927</v>
      </c>
      <c r="S531" s="230">
        <v>0</v>
      </c>
      <c r="T531" s="230">
        <v>3927</v>
      </c>
      <c r="U531" s="250">
        <v>2164</v>
      </c>
      <c r="V531" s="251"/>
      <c r="W531" s="251"/>
      <c r="X531" s="250"/>
      <c r="Y531" s="85">
        <v>0.25</v>
      </c>
      <c r="Z531" s="85"/>
      <c r="AA531" s="76"/>
      <c r="AB531" s="77"/>
      <c r="AC531" s="78"/>
    </row>
    <row r="532" spans="1:29" ht="53" hidden="1" customHeight="1" x14ac:dyDescent="0.2">
      <c r="A532" s="117" t="s">
        <v>2315</v>
      </c>
      <c r="B532" s="118" t="e">
        <f t="shared" si="62"/>
        <v>#VALUE!</v>
      </c>
      <c r="C532" s="118" t="s">
        <v>612</v>
      </c>
      <c r="D532" s="113">
        <v>39436</v>
      </c>
      <c r="E532" s="84">
        <v>39479</v>
      </c>
      <c r="F532" s="84">
        <f t="shared" si="63"/>
        <v>43132</v>
      </c>
      <c r="G532" s="229">
        <v>1783.17</v>
      </c>
      <c r="H532" s="71" t="s">
        <v>865</v>
      </c>
      <c r="I532" s="71" t="s">
        <v>931</v>
      </c>
      <c r="J532" s="248"/>
      <c r="K532" s="55">
        <f t="shared" si="64"/>
        <v>2018</v>
      </c>
      <c r="L532" s="249"/>
      <c r="M532" s="249"/>
      <c r="N532" s="73" t="s">
        <v>2278</v>
      </c>
      <c r="O532" s="73" t="s">
        <v>2303</v>
      </c>
      <c r="P532" s="74" t="s">
        <v>2316</v>
      </c>
      <c r="Q532" s="75" t="s">
        <v>2317</v>
      </c>
      <c r="R532" s="230">
        <v>6384</v>
      </c>
      <c r="S532" s="230">
        <v>0</v>
      </c>
      <c r="T532" s="230">
        <v>6384</v>
      </c>
      <c r="U532" s="250">
        <v>3568</v>
      </c>
      <c r="V532" s="251"/>
      <c r="W532" s="251"/>
      <c r="X532" s="250"/>
      <c r="Y532" s="85">
        <v>0.25</v>
      </c>
      <c r="Z532" s="85"/>
      <c r="AA532" s="76"/>
      <c r="AB532" s="77"/>
      <c r="AC532" s="78"/>
    </row>
    <row r="533" spans="1:29" ht="40" hidden="1" customHeight="1" x14ac:dyDescent="0.2">
      <c r="A533" s="117" t="s">
        <v>2318</v>
      </c>
      <c r="B533" s="118" t="e">
        <f t="shared" si="62"/>
        <v>#VALUE!</v>
      </c>
      <c r="C533" s="118" t="s">
        <v>612</v>
      </c>
      <c r="D533" s="113">
        <v>39436</v>
      </c>
      <c r="E533" s="84">
        <v>39479</v>
      </c>
      <c r="F533" s="84">
        <f t="shared" si="63"/>
        <v>43132</v>
      </c>
      <c r="G533" s="229">
        <v>920.78</v>
      </c>
      <c r="H533" s="71" t="s">
        <v>865</v>
      </c>
      <c r="I533" s="71" t="s">
        <v>931</v>
      </c>
      <c r="J533" s="248"/>
      <c r="K533" s="55">
        <f t="shared" si="64"/>
        <v>2018</v>
      </c>
      <c r="L533" s="249"/>
      <c r="M533" s="249"/>
      <c r="N533" s="73" t="s">
        <v>2278</v>
      </c>
      <c r="O533" s="73" t="s">
        <v>2303</v>
      </c>
      <c r="P533" s="74" t="s">
        <v>2319</v>
      </c>
      <c r="Q533" s="75" t="s">
        <v>2320</v>
      </c>
      <c r="R533" s="230">
        <v>3363.5</v>
      </c>
      <c r="S533" s="230">
        <v>0</v>
      </c>
      <c r="T533" s="230">
        <v>3363.5</v>
      </c>
      <c r="U533" s="250">
        <v>1842</v>
      </c>
      <c r="V533" s="251"/>
      <c r="W533" s="251"/>
      <c r="X533" s="250"/>
      <c r="Y533" s="85">
        <v>0.25</v>
      </c>
      <c r="Z533" s="85"/>
      <c r="AA533" s="76"/>
      <c r="AB533" s="77"/>
      <c r="AC533" s="78"/>
    </row>
    <row r="534" spans="1:29" hidden="1" x14ac:dyDescent="0.2">
      <c r="A534" s="117" t="s">
        <v>2321</v>
      </c>
      <c r="B534" s="118" t="e">
        <f t="shared" si="62"/>
        <v>#VALUE!</v>
      </c>
      <c r="C534" s="118" t="s">
        <v>612</v>
      </c>
      <c r="D534" s="113">
        <v>39436</v>
      </c>
      <c r="E534" s="84">
        <v>39479</v>
      </c>
      <c r="F534" s="84">
        <f t="shared" si="63"/>
        <v>43132</v>
      </c>
      <c r="G534" s="229">
        <v>200</v>
      </c>
      <c r="H534" s="71" t="s">
        <v>865</v>
      </c>
      <c r="I534" s="71" t="s">
        <v>931</v>
      </c>
      <c r="J534" s="248"/>
      <c r="K534" s="55">
        <f t="shared" si="64"/>
        <v>2018</v>
      </c>
      <c r="L534" s="249"/>
      <c r="M534" s="249"/>
      <c r="N534" s="73" t="s">
        <v>2278</v>
      </c>
      <c r="O534" s="73" t="s">
        <v>2303</v>
      </c>
      <c r="P534" s="74" t="s">
        <v>2322</v>
      </c>
      <c r="Q534" s="75" t="s">
        <v>2323</v>
      </c>
      <c r="R534" s="230">
        <v>840</v>
      </c>
      <c r="S534" s="230">
        <v>0</v>
      </c>
      <c r="T534" s="230">
        <v>840</v>
      </c>
      <c r="U534" s="250">
        <v>400</v>
      </c>
      <c r="V534" s="251"/>
      <c r="W534" s="251"/>
      <c r="X534" s="250"/>
      <c r="Y534" s="85">
        <v>0.25</v>
      </c>
      <c r="Z534" s="85"/>
      <c r="AA534" s="76"/>
      <c r="AB534" s="77"/>
      <c r="AC534" s="78"/>
    </row>
    <row r="535" spans="1:29" hidden="1" x14ac:dyDescent="0.2">
      <c r="A535" s="117" t="s">
        <v>2324</v>
      </c>
      <c r="B535" s="118" t="e">
        <f t="shared" si="62"/>
        <v>#VALUE!</v>
      </c>
      <c r="C535" s="118" t="s">
        <v>612</v>
      </c>
      <c r="D535" s="113">
        <v>39436</v>
      </c>
      <c r="E535" s="84">
        <v>39479</v>
      </c>
      <c r="F535" s="84">
        <f t="shared" si="63"/>
        <v>43132</v>
      </c>
      <c r="G535" s="229">
        <v>80</v>
      </c>
      <c r="H535" s="71" t="s">
        <v>865</v>
      </c>
      <c r="I535" s="71" t="s">
        <v>931</v>
      </c>
      <c r="J535" s="248"/>
      <c r="K535" s="55">
        <f t="shared" si="64"/>
        <v>2018</v>
      </c>
      <c r="L535" s="249"/>
      <c r="M535" s="249"/>
      <c r="N535" s="73" t="s">
        <v>2278</v>
      </c>
      <c r="O535" s="73" t="s">
        <v>2303</v>
      </c>
      <c r="P535" s="74" t="s">
        <v>2325</v>
      </c>
      <c r="Q535" s="75" t="s">
        <v>2326</v>
      </c>
      <c r="R535" s="230">
        <v>420</v>
      </c>
      <c r="S535" s="230">
        <v>0</v>
      </c>
      <c r="T535" s="230">
        <v>420</v>
      </c>
      <c r="U535" s="250">
        <v>160</v>
      </c>
      <c r="V535" s="251"/>
      <c r="W535" s="251"/>
      <c r="X535" s="250"/>
      <c r="Y535" s="85">
        <v>0.25</v>
      </c>
      <c r="Z535" s="85"/>
      <c r="AA535" s="76"/>
      <c r="AB535" s="77"/>
      <c r="AC535" s="78"/>
    </row>
    <row r="536" spans="1:29" ht="40" hidden="1" customHeight="1" x14ac:dyDescent="0.2">
      <c r="A536" s="117" t="s">
        <v>2327</v>
      </c>
      <c r="B536" s="118" t="e">
        <f t="shared" si="62"/>
        <v>#VALUE!</v>
      </c>
      <c r="C536" s="118" t="s">
        <v>612</v>
      </c>
      <c r="D536" s="113">
        <v>39436</v>
      </c>
      <c r="E536" s="84">
        <v>39479</v>
      </c>
      <c r="F536" s="84">
        <f t="shared" si="63"/>
        <v>43132</v>
      </c>
      <c r="G536" s="229">
        <v>1516</v>
      </c>
      <c r="H536" s="71" t="s">
        <v>865</v>
      </c>
      <c r="I536" s="71" t="s">
        <v>931</v>
      </c>
      <c r="J536" s="248"/>
      <c r="K536" s="55">
        <f t="shared" si="64"/>
        <v>2018</v>
      </c>
      <c r="L536" s="249"/>
      <c r="M536" s="249"/>
      <c r="N536" s="73" t="s">
        <v>2278</v>
      </c>
      <c r="O536" s="73" t="s">
        <v>2303</v>
      </c>
      <c r="P536" s="74" t="s">
        <v>2328</v>
      </c>
      <c r="Q536" s="75" t="s">
        <v>2329</v>
      </c>
      <c r="R536" s="230">
        <v>5446</v>
      </c>
      <c r="S536" s="230">
        <v>0</v>
      </c>
      <c r="T536" s="230">
        <v>5446</v>
      </c>
      <c r="U536" s="250">
        <v>3032</v>
      </c>
      <c r="V536" s="251"/>
      <c r="W536" s="251"/>
      <c r="X536" s="250"/>
      <c r="Y536" s="85">
        <v>0.25</v>
      </c>
      <c r="Z536" s="85"/>
      <c r="AA536" s="76"/>
      <c r="AB536" s="77"/>
      <c r="AC536" s="78"/>
    </row>
    <row r="537" spans="1:29" hidden="1" x14ac:dyDescent="0.2">
      <c r="A537" s="117" t="s">
        <v>2330</v>
      </c>
      <c r="B537" s="118" t="e">
        <f t="shared" si="62"/>
        <v>#VALUE!</v>
      </c>
      <c r="C537" s="118" t="s">
        <v>612</v>
      </c>
      <c r="D537" s="113">
        <v>39436</v>
      </c>
      <c r="E537" s="84">
        <v>39479</v>
      </c>
      <c r="F537" s="84">
        <f t="shared" si="63"/>
        <v>43132</v>
      </c>
      <c r="G537" s="229">
        <v>154.30000000000001</v>
      </c>
      <c r="H537" s="71" t="s">
        <v>1507</v>
      </c>
      <c r="I537" s="71" t="s">
        <v>931</v>
      </c>
      <c r="J537" s="248"/>
      <c r="K537" s="55">
        <f t="shared" si="64"/>
        <v>2018</v>
      </c>
      <c r="L537" s="249"/>
      <c r="M537" s="249"/>
      <c r="N537" s="73" t="s">
        <v>2331</v>
      </c>
      <c r="O537" s="73" t="s">
        <v>2332</v>
      </c>
      <c r="P537" s="74" t="s">
        <v>1579</v>
      </c>
      <c r="Q537" s="75" t="s">
        <v>2333</v>
      </c>
      <c r="R537" s="230">
        <v>682.5</v>
      </c>
      <c r="S537" s="230">
        <v>0</v>
      </c>
      <c r="T537" s="230">
        <v>682.5</v>
      </c>
      <c r="U537" s="250">
        <v>310</v>
      </c>
      <c r="V537" s="251"/>
      <c r="W537" s="251"/>
      <c r="X537" s="250"/>
      <c r="Y537" s="85">
        <v>0.25</v>
      </c>
      <c r="Z537" s="85"/>
      <c r="AA537" s="76"/>
      <c r="AB537" s="77"/>
      <c r="AC537" s="78"/>
    </row>
    <row r="538" spans="1:29" hidden="1" x14ac:dyDescent="0.2">
      <c r="A538" s="117" t="s">
        <v>2334</v>
      </c>
      <c r="B538" s="118" t="e">
        <f t="shared" si="62"/>
        <v>#VALUE!</v>
      </c>
      <c r="C538" s="118" t="s">
        <v>612</v>
      </c>
      <c r="D538" s="113">
        <v>39436</v>
      </c>
      <c r="E538" s="84">
        <v>39479</v>
      </c>
      <c r="F538" s="84">
        <f t="shared" si="63"/>
        <v>43132</v>
      </c>
      <c r="G538" s="229">
        <v>135.80000000000001</v>
      </c>
      <c r="H538" s="71" t="s">
        <v>2335</v>
      </c>
      <c r="I538" s="71" t="s">
        <v>684</v>
      </c>
      <c r="J538" s="238"/>
      <c r="K538" s="55">
        <f t="shared" si="64"/>
        <v>2018</v>
      </c>
      <c r="L538" s="239"/>
      <c r="M538" s="239"/>
      <c r="N538" s="73"/>
      <c r="O538" s="73" t="s">
        <v>2336</v>
      </c>
      <c r="P538" s="74" t="s">
        <v>2337</v>
      </c>
      <c r="Q538" s="75" t="s">
        <v>2338</v>
      </c>
      <c r="R538" s="230">
        <v>616</v>
      </c>
      <c r="S538" s="230">
        <v>0</v>
      </c>
      <c r="T538" s="230">
        <v>616</v>
      </c>
      <c r="U538" s="250">
        <v>272</v>
      </c>
      <c r="V538" s="251"/>
      <c r="W538" s="251"/>
      <c r="X538" s="250"/>
      <c r="Y538" s="85">
        <v>0.25</v>
      </c>
      <c r="Z538" s="85"/>
      <c r="AA538" s="76"/>
      <c r="AB538" s="77"/>
      <c r="AC538" s="78"/>
    </row>
    <row r="539" spans="1:29" ht="40" hidden="1" customHeight="1" x14ac:dyDescent="0.2">
      <c r="A539" s="117" t="s">
        <v>2339</v>
      </c>
      <c r="B539" s="118" t="e">
        <f t="shared" si="62"/>
        <v>#VALUE!</v>
      </c>
      <c r="C539" s="118" t="s">
        <v>612</v>
      </c>
      <c r="D539" s="113">
        <v>39436</v>
      </c>
      <c r="E539" s="84">
        <v>39479</v>
      </c>
      <c r="F539" s="84">
        <f t="shared" si="63"/>
        <v>43132</v>
      </c>
      <c r="G539" s="229">
        <v>897.36</v>
      </c>
      <c r="H539" s="71" t="s">
        <v>2340</v>
      </c>
      <c r="I539" s="71" t="s">
        <v>1703</v>
      </c>
      <c r="J539" s="72" t="s">
        <v>2341</v>
      </c>
      <c r="K539" s="55">
        <f t="shared" si="64"/>
        <v>2018</v>
      </c>
      <c r="L539" s="81"/>
      <c r="M539" s="81"/>
      <c r="N539" s="73" t="s">
        <v>2342</v>
      </c>
      <c r="O539" s="73" t="s">
        <v>2343</v>
      </c>
      <c r="P539" s="74" t="s">
        <v>2344</v>
      </c>
      <c r="Q539" s="75" t="s">
        <v>2345</v>
      </c>
      <c r="R539" s="230">
        <v>3283</v>
      </c>
      <c r="S539" s="230">
        <v>0</v>
      </c>
      <c r="T539" s="230">
        <v>3283</v>
      </c>
      <c r="U539" s="250">
        <v>1796</v>
      </c>
      <c r="V539" s="251"/>
      <c r="W539" s="251"/>
      <c r="X539" s="250"/>
      <c r="Y539" s="85">
        <v>0.25</v>
      </c>
      <c r="Z539" s="85"/>
      <c r="AA539" s="76"/>
      <c r="AB539" s="77"/>
      <c r="AC539" s="78"/>
    </row>
    <row r="540" spans="1:29" ht="66" hidden="1" customHeight="1" x14ac:dyDescent="0.2">
      <c r="A540" s="117" t="s">
        <v>2346</v>
      </c>
      <c r="B540" s="118" t="e">
        <f t="shared" si="62"/>
        <v>#VALUE!</v>
      </c>
      <c r="C540" s="118" t="s">
        <v>612</v>
      </c>
      <c r="D540" s="113">
        <v>39436</v>
      </c>
      <c r="E540" s="84">
        <v>39479</v>
      </c>
      <c r="F540" s="84">
        <f t="shared" si="63"/>
        <v>43132</v>
      </c>
      <c r="G540" s="229">
        <v>863.77</v>
      </c>
      <c r="H540" s="71" t="s">
        <v>2340</v>
      </c>
      <c r="I540" s="71" t="s">
        <v>1703</v>
      </c>
      <c r="J540" s="72" t="s">
        <v>2341</v>
      </c>
      <c r="K540" s="55">
        <f t="shared" si="64"/>
        <v>2018</v>
      </c>
      <c r="L540" s="81"/>
      <c r="M540" s="81"/>
      <c r="N540" s="73" t="s">
        <v>2342</v>
      </c>
      <c r="O540" s="73" t="s">
        <v>2343</v>
      </c>
      <c r="P540" s="74" t="s">
        <v>2347</v>
      </c>
      <c r="Q540" s="75" t="s">
        <v>2348</v>
      </c>
      <c r="R540" s="230">
        <v>3164</v>
      </c>
      <c r="S540" s="230">
        <v>0</v>
      </c>
      <c r="T540" s="230">
        <v>3164</v>
      </c>
      <c r="U540" s="250">
        <v>1728</v>
      </c>
      <c r="V540" s="251"/>
      <c r="W540" s="251"/>
      <c r="X540" s="250"/>
      <c r="Y540" s="85">
        <v>0.25</v>
      </c>
      <c r="Z540" s="85"/>
      <c r="AA540" s="76"/>
      <c r="AB540" s="77"/>
      <c r="AC540" s="78"/>
    </row>
    <row r="541" spans="1:29" ht="40" hidden="1" customHeight="1" x14ac:dyDescent="0.2">
      <c r="A541" s="117" t="s">
        <v>2349</v>
      </c>
      <c r="B541" s="118" t="e">
        <f t="shared" si="62"/>
        <v>#VALUE!</v>
      </c>
      <c r="C541" s="118" t="s">
        <v>612</v>
      </c>
      <c r="D541" s="113">
        <v>39436</v>
      </c>
      <c r="E541" s="84">
        <v>39479</v>
      </c>
      <c r="F541" s="84">
        <f t="shared" si="63"/>
        <v>43132</v>
      </c>
      <c r="G541" s="229">
        <v>863.77</v>
      </c>
      <c r="H541" s="71" t="s">
        <v>2340</v>
      </c>
      <c r="I541" s="71" t="s">
        <v>1703</v>
      </c>
      <c r="J541" s="72" t="s">
        <v>2341</v>
      </c>
      <c r="K541" s="55">
        <f t="shared" si="64"/>
        <v>2018</v>
      </c>
      <c r="L541" s="81"/>
      <c r="M541" s="81"/>
      <c r="N541" s="73" t="s">
        <v>2342</v>
      </c>
      <c r="O541" s="73" t="s">
        <v>2343</v>
      </c>
      <c r="P541" s="74" t="s">
        <v>2344</v>
      </c>
      <c r="Q541" s="75" t="s">
        <v>2350</v>
      </c>
      <c r="R541" s="230">
        <v>3164</v>
      </c>
      <c r="S541" s="230">
        <v>0</v>
      </c>
      <c r="T541" s="230">
        <v>3164</v>
      </c>
      <c r="U541" s="250">
        <v>1728</v>
      </c>
      <c r="V541" s="251"/>
      <c r="W541" s="251"/>
      <c r="X541" s="250"/>
      <c r="Y541" s="85">
        <v>0.25</v>
      </c>
      <c r="Z541" s="85"/>
      <c r="AA541" s="76"/>
      <c r="AB541" s="77"/>
      <c r="AC541" s="78"/>
    </row>
    <row r="542" spans="1:29" ht="40" hidden="1" customHeight="1" x14ac:dyDescent="0.2">
      <c r="A542" s="117" t="s">
        <v>2351</v>
      </c>
      <c r="B542" s="118" t="e">
        <f t="shared" si="62"/>
        <v>#VALUE!</v>
      </c>
      <c r="C542" s="118" t="s">
        <v>612</v>
      </c>
      <c r="D542" s="113">
        <v>39436</v>
      </c>
      <c r="E542" s="84">
        <v>39479</v>
      </c>
      <c r="F542" s="84">
        <f t="shared" si="63"/>
        <v>43132</v>
      </c>
      <c r="G542" s="229">
        <v>807.42</v>
      </c>
      <c r="H542" s="71" t="s">
        <v>2340</v>
      </c>
      <c r="I542" s="71" t="s">
        <v>1703</v>
      </c>
      <c r="J542" s="72" t="s">
        <v>2341</v>
      </c>
      <c r="K542" s="55">
        <f t="shared" si="64"/>
        <v>2018</v>
      </c>
      <c r="L542" s="81"/>
      <c r="M542" s="81"/>
      <c r="N542" s="73" t="s">
        <v>2342</v>
      </c>
      <c r="O542" s="73" t="s">
        <v>2343</v>
      </c>
      <c r="P542" s="74" t="s">
        <v>2344</v>
      </c>
      <c r="Q542" s="75" t="s">
        <v>2352</v>
      </c>
      <c r="R542" s="230">
        <v>2968</v>
      </c>
      <c r="S542" s="230">
        <v>0</v>
      </c>
      <c r="T542" s="230">
        <v>2968</v>
      </c>
      <c r="U542" s="250">
        <v>1616</v>
      </c>
      <c r="V542" s="251"/>
      <c r="W542" s="251"/>
      <c r="X542" s="250"/>
      <c r="Y542" s="85">
        <v>0.25</v>
      </c>
      <c r="Z542" s="85"/>
      <c r="AA542" s="76"/>
      <c r="AB542" s="77"/>
      <c r="AC542" s="78"/>
    </row>
    <row r="543" spans="1:29" ht="27" hidden="1" customHeight="1" x14ac:dyDescent="0.2">
      <c r="A543" s="117" t="s">
        <v>2353</v>
      </c>
      <c r="B543" s="118" t="e">
        <f t="shared" si="62"/>
        <v>#VALUE!</v>
      </c>
      <c r="C543" s="118" t="s">
        <v>612</v>
      </c>
      <c r="D543" s="113">
        <v>39436</v>
      </c>
      <c r="E543" s="84">
        <v>39479</v>
      </c>
      <c r="F543" s="84">
        <f t="shared" si="63"/>
        <v>43132</v>
      </c>
      <c r="G543" s="229">
        <v>788.94</v>
      </c>
      <c r="H543" s="71" t="s">
        <v>2340</v>
      </c>
      <c r="I543" s="71" t="s">
        <v>1703</v>
      </c>
      <c r="J543" s="72" t="s">
        <v>2341</v>
      </c>
      <c r="K543" s="55">
        <f t="shared" si="64"/>
        <v>2018</v>
      </c>
      <c r="L543" s="81"/>
      <c r="M543" s="81"/>
      <c r="N543" s="73" t="s">
        <v>2342</v>
      </c>
      <c r="O543" s="73" t="s">
        <v>2354</v>
      </c>
      <c r="P543" s="74" t="s">
        <v>2355</v>
      </c>
      <c r="Q543" s="75" t="s">
        <v>2356</v>
      </c>
      <c r="R543" s="230">
        <v>2901.5</v>
      </c>
      <c r="S543" s="230">
        <v>0</v>
      </c>
      <c r="T543" s="230">
        <v>2901.5</v>
      </c>
      <c r="U543" s="250">
        <v>1578</v>
      </c>
      <c r="V543" s="251"/>
      <c r="W543" s="251"/>
      <c r="X543" s="250"/>
      <c r="Y543" s="85">
        <v>0.25</v>
      </c>
      <c r="Z543" s="85"/>
      <c r="AA543" s="76"/>
      <c r="AB543" s="77"/>
      <c r="AC543" s="78"/>
    </row>
    <row r="544" spans="1:29" ht="27" hidden="1" customHeight="1" x14ac:dyDescent="0.2">
      <c r="A544" s="117" t="s">
        <v>2357</v>
      </c>
      <c r="B544" s="118" t="e">
        <f t="shared" si="62"/>
        <v>#VALUE!</v>
      </c>
      <c r="C544" s="118" t="s">
        <v>612</v>
      </c>
      <c r="D544" s="113">
        <v>39436</v>
      </c>
      <c r="E544" s="84">
        <v>39479</v>
      </c>
      <c r="F544" s="84">
        <f t="shared" si="63"/>
        <v>43132</v>
      </c>
      <c r="G544" s="229">
        <v>644.75</v>
      </c>
      <c r="H544" s="71" t="s">
        <v>2340</v>
      </c>
      <c r="I544" s="71" t="s">
        <v>1703</v>
      </c>
      <c r="J544" s="72" t="s">
        <v>2341</v>
      </c>
      <c r="K544" s="55">
        <f t="shared" si="64"/>
        <v>2018</v>
      </c>
      <c r="L544" s="81"/>
      <c r="M544" s="81"/>
      <c r="N544" s="73" t="s">
        <v>2342</v>
      </c>
      <c r="O544" s="73" t="s">
        <v>2354</v>
      </c>
      <c r="P544" s="74" t="s">
        <v>2355</v>
      </c>
      <c r="Q544" s="75" t="s">
        <v>2358</v>
      </c>
      <c r="R544" s="230">
        <v>2397.5</v>
      </c>
      <c r="S544" s="230">
        <v>0</v>
      </c>
      <c r="T544" s="230">
        <v>2397.5</v>
      </c>
      <c r="U544" s="250">
        <v>1290</v>
      </c>
      <c r="V544" s="251"/>
      <c r="W544" s="251"/>
      <c r="X544" s="250"/>
      <c r="Y544" s="85">
        <v>0.25</v>
      </c>
      <c r="Z544" s="85"/>
      <c r="AA544" s="76"/>
      <c r="AB544" s="77"/>
      <c r="AC544" s="78"/>
    </row>
    <row r="545" spans="1:29" ht="53" hidden="1" customHeight="1" x14ac:dyDescent="0.2">
      <c r="A545" s="117" t="s">
        <v>2359</v>
      </c>
      <c r="B545" s="118" t="e">
        <f t="shared" si="62"/>
        <v>#VALUE!</v>
      </c>
      <c r="C545" s="118" t="s">
        <v>612</v>
      </c>
      <c r="D545" s="113">
        <v>39436</v>
      </c>
      <c r="E545" s="84">
        <v>39479</v>
      </c>
      <c r="F545" s="84">
        <f t="shared" si="63"/>
        <v>43132</v>
      </c>
      <c r="G545" s="229">
        <v>545.92999999999995</v>
      </c>
      <c r="H545" s="71" t="s">
        <v>2340</v>
      </c>
      <c r="I545" s="71" t="s">
        <v>1703</v>
      </c>
      <c r="J545" s="72" t="s">
        <v>2341</v>
      </c>
      <c r="K545" s="55">
        <f t="shared" si="64"/>
        <v>2018</v>
      </c>
      <c r="L545" s="81"/>
      <c r="M545" s="81"/>
      <c r="N545" s="73" t="s">
        <v>2342</v>
      </c>
      <c r="O545" s="73" t="s">
        <v>2360</v>
      </c>
      <c r="P545" s="74" t="s">
        <v>2361</v>
      </c>
      <c r="Q545" s="75" t="s">
        <v>2362</v>
      </c>
      <c r="R545" s="230">
        <v>2051</v>
      </c>
      <c r="S545" s="230">
        <v>0</v>
      </c>
      <c r="T545" s="230">
        <v>2051</v>
      </c>
      <c r="U545" s="250">
        <v>1092</v>
      </c>
      <c r="V545" s="251"/>
      <c r="W545" s="251"/>
      <c r="X545" s="250"/>
      <c r="Y545" s="85">
        <v>0.25</v>
      </c>
      <c r="Z545" s="85"/>
      <c r="AA545" s="76"/>
      <c r="AB545" s="77"/>
      <c r="AC545" s="78"/>
    </row>
    <row r="546" spans="1:29" ht="53" hidden="1" customHeight="1" x14ac:dyDescent="0.2">
      <c r="A546" s="117" t="s">
        <v>2363</v>
      </c>
      <c r="B546" s="118" t="e">
        <f t="shared" si="62"/>
        <v>#VALUE!</v>
      </c>
      <c r="C546" s="118" t="s">
        <v>612</v>
      </c>
      <c r="D546" s="113">
        <v>39436</v>
      </c>
      <c r="E546" s="84">
        <v>39479</v>
      </c>
      <c r="F546" s="84">
        <f t="shared" si="63"/>
        <v>43132</v>
      </c>
      <c r="G546" s="229">
        <v>595.22</v>
      </c>
      <c r="H546" s="71" t="s">
        <v>2340</v>
      </c>
      <c r="I546" s="71" t="s">
        <v>1703</v>
      </c>
      <c r="J546" s="72" t="s">
        <v>2341</v>
      </c>
      <c r="K546" s="55">
        <f t="shared" si="64"/>
        <v>2018</v>
      </c>
      <c r="L546" s="81"/>
      <c r="M546" s="81"/>
      <c r="N546" s="73" t="s">
        <v>2342</v>
      </c>
      <c r="O546" s="73" t="s">
        <v>2360</v>
      </c>
      <c r="P546" s="74" t="s">
        <v>2364</v>
      </c>
      <c r="Q546" s="75" t="s">
        <v>2365</v>
      </c>
      <c r="R546" s="230">
        <v>2226</v>
      </c>
      <c r="S546" s="230">
        <v>0</v>
      </c>
      <c r="T546" s="230">
        <v>2226</v>
      </c>
      <c r="U546" s="250">
        <v>1192</v>
      </c>
      <c r="V546" s="251"/>
      <c r="W546" s="251"/>
      <c r="X546" s="250"/>
      <c r="Y546" s="85">
        <v>0.25</v>
      </c>
      <c r="Z546" s="85"/>
      <c r="AA546" s="76"/>
      <c r="AB546" s="77"/>
      <c r="AC546" s="78"/>
    </row>
    <row r="547" spans="1:29" ht="27" hidden="1" customHeight="1" x14ac:dyDescent="0.2">
      <c r="A547" s="117" t="s">
        <v>2366</v>
      </c>
      <c r="B547" s="118" t="e">
        <f t="shared" si="62"/>
        <v>#VALUE!</v>
      </c>
      <c r="C547" s="118" t="s">
        <v>612</v>
      </c>
      <c r="D547" s="113">
        <v>39436</v>
      </c>
      <c r="E547" s="84">
        <v>39479</v>
      </c>
      <c r="F547" s="84">
        <f t="shared" si="63"/>
        <v>43132</v>
      </c>
      <c r="G547" s="229">
        <v>1098.02</v>
      </c>
      <c r="H547" s="71" t="s">
        <v>2340</v>
      </c>
      <c r="I547" s="71" t="s">
        <v>1703</v>
      </c>
      <c r="J547" s="72" t="s">
        <v>2341</v>
      </c>
      <c r="K547" s="55">
        <f t="shared" si="64"/>
        <v>2018</v>
      </c>
      <c r="L547" s="81"/>
      <c r="M547" s="81"/>
      <c r="N547" s="73" t="s">
        <v>2342</v>
      </c>
      <c r="O547" s="73" t="s">
        <v>2360</v>
      </c>
      <c r="P547" s="74" t="s">
        <v>2355</v>
      </c>
      <c r="Q547" s="75" t="s">
        <v>2367</v>
      </c>
      <c r="R547" s="230">
        <v>3986.5</v>
      </c>
      <c r="S547" s="230">
        <v>0</v>
      </c>
      <c r="T547" s="230">
        <v>3986.5</v>
      </c>
      <c r="U547" s="250">
        <v>2198</v>
      </c>
      <c r="V547" s="251"/>
      <c r="W547" s="251"/>
      <c r="X547" s="250"/>
      <c r="Y547" s="85">
        <v>0.25</v>
      </c>
      <c r="Z547" s="85"/>
      <c r="AA547" s="76"/>
      <c r="AB547" s="77"/>
      <c r="AC547" s="78"/>
    </row>
    <row r="548" spans="1:29" ht="27" hidden="1" customHeight="1" x14ac:dyDescent="0.2">
      <c r="A548" s="117" t="s">
        <v>2368</v>
      </c>
      <c r="B548" s="118" t="e">
        <f t="shared" si="62"/>
        <v>#VALUE!</v>
      </c>
      <c r="C548" s="118" t="s">
        <v>612</v>
      </c>
      <c r="D548" s="113">
        <v>39436</v>
      </c>
      <c r="E548" s="84">
        <v>39479</v>
      </c>
      <c r="F548" s="84">
        <f t="shared" si="63"/>
        <v>43132</v>
      </c>
      <c r="G548" s="229">
        <v>107.62</v>
      </c>
      <c r="H548" s="71" t="s">
        <v>2369</v>
      </c>
      <c r="I548" s="71" t="s">
        <v>1703</v>
      </c>
      <c r="J548" s="72" t="s">
        <v>2341</v>
      </c>
      <c r="K548" s="55">
        <f t="shared" si="64"/>
        <v>2018</v>
      </c>
      <c r="L548" s="81"/>
      <c r="M548" s="81"/>
      <c r="N548" s="73" t="s">
        <v>2342</v>
      </c>
      <c r="O548" s="73" t="s">
        <v>2370</v>
      </c>
      <c r="P548" s="74" t="s">
        <v>2371</v>
      </c>
      <c r="Q548" s="75" t="s">
        <v>2372</v>
      </c>
      <c r="R548" s="230">
        <v>518</v>
      </c>
      <c r="S548" s="230">
        <v>0</v>
      </c>
      <c r="T548" s="230">
        <v>518</v>
      </c>
      <c r="U548" s="250">
        <v>216</v>
      </c>
      <c r="V548" s="251"/>
      <c r="W548" s="251"/>
      <c r="X548" s="250"/>
      <c r="Y548" s="85">
        <v>0.25</v>
      </c>
      <c r="Z548" s="85"/>
      <c r="AA548" s="76"/>
      <c r="AB548" s="77"/>
      <c r="AC548" s="78"/>
    </row>
    <row r="549" spans="1:29" ht="27" hidden="1" customHeight="1" x14ac:dyDescent="0.2">
      <c r="A549" s="117" t="s">
        <v>2373</v>
      </c>
      <c r="B549" s="118" t="e">
        <f t="shared" si="62"/>
        <v>#VALUE!</v>
      </c>
      <c r="C549" s="118" t="s">
        <v>612</v>
      </c>
      <c r="D549" s="113">
        <v>39436</v>
      </c>
      <c r="E549" s="84">
        <v>39479</v>
      </c>
      <c r="F549" s="84">
        <f t="shared" si="63"/>
        <v>43132</v>
      </c>
      <c r="G549" s="229">
        <v>1627.63</v>
      </c>
      <c r="H549" s="71" t="s">
        <v>2369</v>
      </c>
      <c r="I549" s="71" t="s">
        <v>1703</v>
      </c>
      <c r="J549" s="72" t="s">
        <v>2341</v>
      </c>
      <c r="K549" s="55">
        <f t="shared" si="64"/>
        <v>2018</v>
      </c>
      <c r="L549" s="81"/>
      <c r="M549" s="81"/>
      <c r="N549" s="73" t="s">
        <v>2342</v>
      </c>
      <c r="O549" s="73" t="s">
        <v>2370</v>
      </c>
      <c r="P549" s="74" t="s">
        <v>2355</v>
      </c>
      <c r="Q549" s="75" t="s">
        <v>2374</v>
      </c>
      <c r="R549" s="230">
        <v>5838</v>
      </c>
      <c r="S549" s="230">
        <v>0</v>
      </c>
      <c r="T549" s="230">
        <v>5838</v>
      </c>
      <c r="U549" s="250">
        <v>3256</v>
      </c>
      <c r="V549" s="251"/>
      <c r="W549" s="251"/>
      <c r="X549" s="250"/>
      <c r="Y549" s="85">
        <v>0.25</v>
      </c>
      <c r="Z549" s="85"/>
      <c r="AA549" s="76"/>
      <c r="AB549" s="77"/>
      <c r="AC549" s="78"/>
    </row>
    <row r="550" spans="1:29" ht="27" hidden="1" customHeight="1" x14ac:dyDescent="0.2">
      <c r="A550" s="117" t="s">
        <v>2375</v>
      </c>
      <c r="B550" s="118" t="e">
        <f t="shared" si="62"/>
        <v>#VALUE!</v>
      </c>
      <c r="C550" s="118" t="s">
        <v>612</v>
      </c>
      <c r="D550" s="113">
        <v>39436</v>
      </c>
      <c r="E550" s="84">
        <v>39479</v>
      </c>
      <c r="F550" s="84">
        <f t="shared" si="63"/>
        <v>43132</v>
      </c>
      <c r="G550" s="229">
        <v>1073.17</v>
      </c>
      <c r="H550" s="71" t="s">
        <v>2369</v>
      </c>
      <c r="I550" s="71" t="s">
        <v>1703</v>
      </c>
      <c r="J550" s="72" t="s">
        <v>2341</v>
      </c>
      <c r="K550" s="55">
        <f t="shared" si="64"/>
        <v>2018</v>
      </c>
      <c r="L550" s="81"/>
      <c r="M550" s="81"/>
      <c r="N550" s="73" t="s">
        <v>2342</v>
      </c>
      <c r="O550" s="73" t="s">
        <v>2370</v>
      </c>
      <c r="P550" s="74" t="s">
        <v>2355</v>
      </c>
      <c r="Q550" s="75" t="s">
        <v>2376</v>
      </c>
      <c r="R550" s="230">
        <v>3899</v>
      </c>
      <c r="S550" s="230">
        <v>0</v>
      </c>
      <c r="T550" s="230">
        <v>3899</v>
      </c>
      <c r="U550" s="250">
        <v>2148</v>
      </c>
      <c r="V550" s="251"/>
      <c r="W550" s="251"/>
      <c r="X550" s="250"/>
      <c r="Y550" s="85">
        <v>0.25</v>
      </c>
      <c r="Z550" s="85"/>
      <c r="AA550" s="76"/>
      <c r="AB550" s="77"/>
      <c r="AC550" s="78"/>
    </row>
    <row r="551" spans="1:29" ht="27" hidden="1" customHeight="1" x14ac:dyDescent="0.2">
      <c r="A551" s="117" t="s">
        <v>2377</v>
      </c>
      <c r="B551" s="118" t="e">
        <f t="shared" si="62"/>
        <v>#VALUE!</v>
      </c>
      <c r="C551" s="118" t="s">
        <v>612</v>
      </c>
      <c r="D551" s="113">
        <v>39436</v>
      </c>
      <c r="E551" s="84">
        <v>39479</v>
      </c>
      <c r="F551" s="84">
        <f t="shared" si="63"/>
        <v>43132</v>
      </c>
      <c r="G551" s="229">
        <v>1578.25</v>
      </c>
      <c r="H551" s="71" t="s">
        <v>2369</v>
      </c>
      <c r="I551" s="71" t="s">
        <v>1703</v>
      </c>
      <c r="J551" s="72" t="s">
        <v>2341</v>
      </c>
      <c r="K551" s="55">
        <f t="shared" si="64"/>
        <v>2018</v>
      </c>
      <c r="L551" s="81"/>
      <c r="M551" s="81"/>
      <c r="N551" s="73" t="s">
        <v>2342</v>
      </c>
      <c r="O551" s="73" t="s">
        <v>2370</v>
      </c>
      <c r="P551" s="74" t="s">
        <v>2355</v>
      </c>
      <c r="Q551" s="75" t="s">
        <v>2378</v>
      </c>
      <c r="R551" s="230">
        <v>5666.5</v>
      </c>
      <c r="S551" s="230">
        <v>0</v>
      </c>
      <c r="T551" s="230">
        <v>5666.5</v>
      </c>
      <c r="U551" s="250">
        <v>3158</v>
      </c>
      <c r="V551" s="251"/>
      <c r="W551" s="251"/>
      <c r="X551" s="250"/>
      <c r="Y551" s="85">
        <v>0.25</v>
      </c>
      <c r="Z551" s="85"/>
      <c r="AA551" s="76"/>
      <c r="AB551" s="77"/>
      <c r="AC551" s="78"/>
    </row>
    <row r="552" spans="1:29" ht="27" hidden="1" customHeight="1" x14ac:dyDescent="0.2">
      <c r="A552" s="117" t="s">
        <v>2379</v>
      </c>
      <c r="B552" s="118" t="e">
        <f t="shared" si="62"/>
        <v>#VALUE!</v>
      </c>
      <c r="C552" s="118" t="s">
        <v>612</v>
      </c>
      <c r="D552" s="113">
        <v>39436</v>
      </c>
      <c r="E552" s="84">
        <v>39479</v>
      </c>
      <c r="F552" s="84">
        <f t="shared" si="63"/>
        <v>43132</v>
      </c>
      <c r="G552" s="229">
        <v>1813.97</v>
      </c>
      <c r="H552" s="71" t="s">
        <v>2369</v>
      </c>
      <c r="I552" s="71" t="s">
        <v>1703</v>
      </c>
      <c r="J552" s="72" t="s">
        <v>2341</v>
      </c>
      <c r="K552" s="55">
        <f t="shared" si="64"/>
        <v>2018</v>
      </c>
      <c r="L552" s="81"/>
      <c r="M552" s="81"/>
      <c r="N552" s="73" t="s">
        <v>2342</v>
      </c>
      <c r="O552" s="73" t="s">
        <v>2380</v>
      </c>
      <c r="P552" s="74" t="s">
        <v>2355</v>
      </c>
      <c r="Q552" s="75" t="s">
        <v>2381</v>
      </c>
      <c r="R552" s="230">
        <v>6489</v>
      </c>
      <c r="S552" s="230">
        <v>0</v>
      </c>
      <c r="T552" s="230">
        <v>6489</v>
      </c>
      <c r="U552" s="250">
        <v>3628</v>
      </c>
      <c r="V552" s="251"/>
      <c r="W552" s="251"/>
      <c r="X552" s="250"/>
      <c r="Y552" s="85">
        <v>0.25</v>
      </c>
      <c r="Z552" s="85"/>
      <c r="AA552" s="76"/>
      <c r="AB552" s="77"/>
      <c r="AC552" s="78"/>
    </row>
    <row r="553" spans="1:29" ht="27" hidden="1" customHeight="1" x14ac:dyDescent="0.2">
      <c r="A553" s="117" t="s">
        <v>2382</v>
      </c>
      <c r="B553" s="118" t="e">
        <f t="shared" ref="B553:B576" si="65">IF(COUNTIF(GIS,A553),"YES","NO")</f>
        <v>#VALUE!</v>
      </c>
      <c r="C553" s="118" t="s">
        <v>612</v>
      </c>
      <c r="D553" s="113">
        <v>39436</v>
      </c>
      <c r="E553" s="84">
        <v>39479</v>
      </c>
      <c r="F553" s="84">
        <f t="shared" ref="F553:F576" si="66">DATE(YEAR(E553)+10,MONTH(E553),DAY(E553))</f>
        <v>43132</v>
      </c>
      <c r="G553" s="229">
        <v>40</v>
      </c>
      <c r="H553" s="71" t="s">
        <v>2369</v>
      </c>
      <c r="I553" s="71" t="s">
        <v>1703</v>
      </c>
      <c r="J553" s="72" t="s">
        <v>2341</v>
      </c>
      <c r="K553" s="55">
        <f t="shared" ref="K553:K576" si="67">YEAR(F553)</f>
        <v>2018</v>
      </c>
      <c r="L553" s="81"/>
      <c r="M553" s="81"/>
      <c r="N553" s="73" t="s">
        <v>2342</v>
      </c>
      <c r="O553" s="73" t="s">
        <v>2380</v>
      </c>
      <c r="P553" s="74" t="s">
        <v>2383</v>
      </c>
      <c r="Q553" s="75" t="s">
        <v>2384</v>
      </c>
      <c r="R553" s="230">
        <v>280</v>
      </c>
      <c r="S553" s="230">
        <v>0</v>
      </c>
      <c r="T553" s="230">
        <v>280</v>
      </c>
      <c r="U553" s="250">
        <v>80</v>
      </c>
      <c r="V553" s="251"/>
      <c r="W553" s="251"/>
      <c r="X553" s="250"/>
      <c r="Y553" s="85">
        <v>0.25</v>
      </c>
      <c r="Z553" s="85"/>
      <c r="AA553" s="76"/>
      <c r="AB553" s="77"/>
      <c r="AC553" s="78"/>
    </row>
    <row r="554" spans="1:29" ht="40" hidden="1" customHeight="1" x14ac:dyDescent="0.2">
      <c r="A554" s="117" t="s">
        <v>2385</v>
      </c>
      <c r="B554" s="118" t="e">
        <f t="shared" si="65"/>
        <v>#VALUE!</v>
      </c>
      <c r="C554" s="118" t="s">
        <v>612</v>
      </c>
      <c r="D554" s="113">
        <v>39436</v>
      </c>
      <c r="E554" s="84">
        <v>39479</v>
      </c>
      <c r="F554" s="84">
        <f t="shared" si="66"/>
        <v>43132</v>
      </c>
      <c r="G554" s="229">
        <v>47.29</v>
      </c>
      <c r="H554" s="71" t="s">
        <v>2369</v>
      </c>
      <c r="I554" s="71" t="s">
        <v>1703</v>
      </c>
      <c r="J554" s="72" t="s">
        <v>2341</v>
      </c>
      <c r="K554" s="55">
        <f t="shared" si="67"/>
        <v>2018</v>
      </c>
      <c r="L554" s="81"/>
      <c r="M554" s="81"/>
      <c r="N554" s="73" t="s">
        <v>2342</v>
      </c>
      <c r="O554" s="73" t="s">
        <v>2386</v>
      </c>
      <c r="P554" s="74" t="s">
        <v>2387</v>
      </c>
      <c r="Q554" s="75" t="s">
        <v>2388</v>
      </c>
      <c r="R554" s="230">
        <v>308</v>
      </c>
      <c r="S554" s="230">
        <v>0</v>
      </c>
      <c r="T554" s="230">
        <v>308</v>
      </c>
      <c r="U554" s="250">
        <v>96</v>
      </c>
      <c r="V554" s="251"/>
      <c r="W554" s="251"/>
      <c r="X554" s="250"/>
      <c r="Y554" s="85">
        <v>0.25</v>
      </c>
      <c r="Z554" s="85"/>
      <c r="AA554" s="76"/>
      <c r="AB554" s="77"/>
      <c r="AC554" s="78"/>
    </row>
    <row r="555" spans="1:29" ht="27" hidden="1" customHeight="1" x14ac:dyDescent="0.2">
      <c r="A555" s="117" t="s">
        <v>2389</v>
      </c>
      <c r="B555" s="118" t="e">
        <f t="shared" si="65"/>
        <v>#VALUE!</v>
      </c>
      <c r="C555" s="118" t="s">
        <v>612</v>
      </c>
      <c r="D555" s="113">
        <v>39436</v>
      </c>
      <c r="E555" s="84">
        <v>39479</v>
      </c>
      <c r="F555" s="84">
        <f t="shared" si="66"/>
        <v>43132</v>
      </c>
      <c r="G555" s="229">
        <v>95</v>
      </c>
      <c r="H555" s="71" t="s">
        <v>2390</v>
      </c>
      <c r="I555" s="71" t="s">
        <v>2391</v>
      </c>
      <c r="J555" s="72" t="s">
        <v>2341</v>
      </c>
      <c r="K555" s="55">
        <f t="shared" si="67"/>
        <v>2018</v>
      </c>
      <c r="L555" s="81"/>
      <c r="M555" s="81"/>
      <c r="N555" s="73" t="s">
        <v>2392</v>
      </c>
      <c r="O555" s="73" t="s">
        <v>2393</v>
      </c>
      <c r="P555" s="74"/>
      <c r="Q555" s="75" t="s">
        <v>2394</v>
      </c>
      <c r="R555" s="230">
        <v>472.5</v>
      </c>
      <c r="S555" s="230">
        <v>1045</v>
      </c>
      <c r="T555" s="230">
        <v>1517.5</v>
      </c>
      <c r="U555" s="250">
        <v>190</v>
      </c>
      <c r="V555" s="251"/>
      <c r="W555" s="251"/>
      <c r="X555" s="250"/>
      <c r="Y555" s="85">
        <v>0.25</v>
      </c>
      <c r="Z555" s="85"/>
      <c r="AA555" s="76"/>
      <c r="AB555" s="77"/>
      <c r="AC555" s="78"/>
    </row>
    <row r="556" spans="1:29" ht="27" hidden="1" customHeight="1" x14ac:dyDescent="0.2">
      <c r="A556" s="117" t="s">
        <v>2395</v>
      </c>
      <c r="B556" s="118" t="e">
        <f t="shared" si="65"/>
        <v>#VALUE!</v>
      </c>
      <c r="C556" s="118" t="s">
        <v>612</v>
      </c>
      <c r="D556" s="113">
        <v>39436</v>
      </c>
      <c r="E556" s="84">
        <v>39479</v>
      </c>
      <c r="F556" s="84">
        <f t="shared" si="66"/>
        <v>43132</v>
      </c>
      <c r="G556" s="229">
        <v>532</v>
      </c>
      <c r="H556" s="71" t="s">
        <v>2390</v>
      </c>
      <c r="I556" s="71" t="s">
        <v>2391</v>
      </c>
      <c r="J556" s="72" t="s">
        <v>2341</v>
      </c>
      <c r="K556" s="55">
        <f t="shared" si="67"/>
        <v>2018</v>
      </c>
      <c r="L556" s="81"/>
      <c r="M556" s="81"/>
      <c r="N556" s="73" t="s">
        <v>2392</v>
      </c>
      <c r="O556" s="73" t="s">
        <v>2396</v>
      </c>
      <c r="P556" s="74"/>
      <c r="Q556" s="75" t="s">
        <v>2397</v>
      </c>
      <c r="R556" s="230">
        <v>2002</v>
      </c>
      <c r="S556" s="230">
        <v>4788</v>
      </c>
      <c r="T556" s="230">
        <v>6790</v>
      </c>
      <c r="U556" s="250">
        <v>1064</v>
      </c>
      <c r="V556" s="251"/>
      <c r="W556" s="251"/>
      <c r="X556" s="250"/>
      <c r="Y556" s="85">
        <v>0.25</v>
      </c>
      <c r="Z556" s="85"/>
      <c r="AA556" s="76"/>
      <c r="AB556" s="77"/>
      <c r="AC556" s="78"/>
    </row>
    <row r="557" spans="1:29" ht="27" hidden="1" customHeight="1" x14ac:dyDescent="0.2">
      <c r="A557" s="117" t="s">
        <v>2398</v>
      </c>
      <c r="B557" s="118" t="e">
        <f t="shared" si="65"/>
        <v>#VALUE!</v>
      </c>
      <c r="C557" s="118" t="s">
        <v>612</v>
      </c>
      <c r="D557" s="113">
        <v>39436</v>
      </c>
      <c r="E557" s="84">
        <v>39479</v>
      </c>
      <c r="F557" s="84">
        <f t="shared" si="66"/>
        <v>43132</v>
      </c>
      <c r="G557" s="229">
        <v>455</v>
      </c>
      <c r="H557" s="71" t="s">
        <v>2390</v>
      </c>
      <c r="I557" s="71" t="s">
        <v>2391</v>
      </c>
      <c r="J557" s="72" t="s">
        <v>2341</v>
      </c>
      <c r="K557" s="55">
        <f t="shared" si="67"/>
        <v>2018</v>
      </c>
      <c r="L557" s="81"/>
      <c r="M557" s="81"/>
      <c r="N557" s="73" t="s">
        <v>2392</v>
      </c>
      <c r="O557" s="73" t="s">
        <v>2399</v>
      </c>
      <c r="P557" s="74"/>
      <c r="Q557" s="75" t="s">
        <v>2400</v>
      </c>
      <c r="R557" s="230">
        <v>1732.5</v>
      </c>
      <c r="S557" s="230">
        <v>3640</v>
      </c>
      <c r="T557" s="230">
        <v>5372.5</v>
      </c>
      <c r="U557" s="250">
        <v>910</v>
      </c>
      <c r="V557" s="251"/>
      <c r="W557" s="251"/>
      <c r="X557" s="250"/>
      <c r="Y557" s="85">
        <v>0.25</v>
      </c>
      <c r="Z557" s="85"/>
      <c r="AA557" s="76"/>
      <c r="AB557" s="77"/>
      <c r="AC557" s="78"/>
    </row>
    <row r="558" spans="1:29" ht="27" hidden="1" customHeight="1" x14ac:dyDescent="0.2">
      <c r="A558" s="117" t="s">
        <v>2401</v>
      </c>
      <c r="B558" s="118" t="e">
        <f t="shared" si="65"/>
        <v>#VALUE!</v>
      </c>
      <c r="C558" s="118" t="s">
        <v>612</v>
      </c>
      <c r="D558" s="113">
        <v>39436</v>
      </c>
      <c r="E558" s="84">
        <v>39479</v>
      </c>
      <c r="F558" s="84">
        <f t="shared" si="66"/>
        <v>43132</v>
      </c>
      <c r="G558" s="229">
        <v>260</v>
      </c>
      <c r="H558" s="71" t="s">
        <v>2390</v>
      </c>
      <c r="I558" s="71" t="s">
        <v>2391</v>
      </c>
      <c r="J558" s="72" t="s">
        <v>2341</v>
      </c>
      <c r="K558" s="55">
        <f t="shared" si="67"/>
        <v>2018</v>
      </c>
      <c r="L558" s="81"/>
      <c r="M558" s="81"/>
      <c r="N558" s="73" t="s">
        <v>2392</v>
      </c>
      <c r="O558" s="73" t="s">
        <v>2402</v>
      </c>
      <c r="P558" s="74"/>
      <c r="Q558" s="75" t="s">
        <v>2403</v>
      </c>
      <c r="R558" s="230">
        <v>1050</v>
      </c>
      <c r="S558" s="230">
        <v>2340</v>
      </c>
      <c r="T558" s="230">
        <v>3390</v>
      </c>
      <c r="U558" s="250">
        <v>520</v>
      </c>
      <c r="V558" s="251"/>
      <c r="W558" s="251"/>
      <c r="X558" s="250"/>
      <c r="Y558" s="85">
        <v>0.25</v>
      </c>
      <c r="Z558" s="85"/>
      <c r="AA558" s="76"/>
      <c r="AB558" s="77"/>
      <c r="AC558" s="78"/>
    </row>
    <row r="559" spans="1:29" ht="27" hidden="1" customHeight="1" x14ac:dyDescent="0.2">
      <c r="A559" s="117" t="s">
        <v>2404</v>
      </c>
      <c r="B559" s="118" t="e">
        <f t="shared" si="65"/>
        <v>#VALUE!</v>
      </c>
      <c r="C559" s="118" t="s">
        <v>612</v>
      </c>
      <c r="D559" s="113">
        <v>39436</v>
      </c>
      <c r="E559" s="84">
        <v>39479</v>
      </c>
      <c r="F559" s="84">
        <f t="shared" si="66"/>
        <v>43132</v>
      </c>
      <c r="G559" s="229">
        <v>348</v>
      </c>
      <c r="H559" s="71" t="s">
        <v>2390</v>
      </c>
      <c r="I559" s="71" t="s">
        <v>2391</v>
      </c>
      <c r="J559" s="72" t="s">
        <v>2341</v>
      </c>
      <c r="K559" s="55">
        <f t="shared" si="67"/>
        <v>2018</v>
      </c>
      <c r="L559" s="81"/>
      <c r="M559" s="81"/>
      <c r="N559" s="73" t="s">
        <v>2392</v>
      </c>
      <c r="O559" s="73" t="s">
        <v>2405</v>
      </c>
      <c r="P559" s="74"/>
      <c r="Q559" s="75" t="s">
        <v>2406</v>
      </c>
      <c r="R559" s="230">
        <v>1358</v>
      </c>
      <c r="S559" s="230">
        <v>3132</v>
      </c>
      <c r="T559" s="230">
        <v>4490</v>
      </c>
      <c r="U559" s="250">
        <v>696</v>
      </c>
      <c r="V559" s="251"/>
      <c r="W559" s="251"/>
      <c r="X559" s="250"/>
      <c r="Y559" s="85">
        <v>0.25</v>
      </c>
      <c r="Z559" s="85"/>
      <c r="AA559" s="76"/>
      <c r="AB559" s="77"/>
      <c r="AC559" s="78"/>
    </row>
    <row r="560" spans="1:29" ht="27" hidden="1" customHeight="1" x14ac:dyDescent="0.2">
      <c r="A560" s="117" t="s">
        <v>2407</v>
      </c>
      <c r="B560" s="118" t="e">
        <f t="shared" si="65"/>
        <v>#VALUE!</v>
      </c>
      <c r="C560" s="118" t="s">
        <v>612</v>
      </c>
      <c r="D560" s="113">
        <v>39436</v>
      </c>
      <c r="E560" s="84">
        <v>39479</v>
      </c>
      <c r="F560" s="84">
        <f t="shared" si="66"/>
        <v>43132</v>
      </c>
      <c r="G560" s="229">
        <v>415</v>
      </c>
      <c r="H560" s="71" t="s">
        <v>2390</v>
      </c>
      <c r="I560" s="71" t="s">
        <v>2391</v>
      </c>
      <c r="J560" s="72" t="s">
        <v>2341</v>
      </c>
      <c r="K560" s="55">
        <f t="shared" si="67"/>
        <v>2018</v>
      </c>
      <c r="L560" s="81"/>
      <c r="M560" s="81"/>
      <c r="N560" s="73" t="s">
        <v>2392</v>
      </c>
      <c r="O560" s="73" t="s">
        <v>2408</v>
      </c>
      <c r="P560" s="74"/>
      <c r="Q560" s="75" t="s">
        <v>2409</v>
      </c>
      <c r="R560" s="230">
        <v>1592.5</v>
      </c>
      <c r="S560" s="230">
        <v>3735</v>
      </c>
      <c r="T560" s="230">
        <v>5327.5</v>
      </c>
      <c r="U560" s="250">
        <v>830</v>
      </c>
      <c r="V560" s="251"/>
      <c r="W560" s="251"/>
      <c r="X560" s="250"/>
      <c r="Y560" s="85">
        <v>0.25</v>
      </c>
      <c r="Z560" s="85"/>
      <c r="AA560" s="76"/>
      <c r="AB560" s="77"/>
      <c r="AC560" s="78"/>
    </row>
    <row r="561" spans="1:29" ht="27" hidden="1" customHeight="1" x14ac:dyDescent="0.2">
      <c r="A561" s="117" t="s">
        <v>2410</v>
      </c>
      <c r="B561" s="118" t="e">
        <f t="shared" si="65"/>
        <v>#VALUE!</v>
      </c>
      <c r="C561" s="118" t="s">
        <v>612</v>
      </c>
      <c r="D561" s="113">
        <v>39436</v>
      </c>
      <c r="E561" s="84">
        <v>39479</v>
      </c>
      <c r="F561" s="84">
        <f t="shared" si="66"/>
        <v>43132</v>
      </c>
      <c r="G561" s="229">
        <v>248</v>
      </c>
      <c r="H561" s="71" t="s">
        <v>2390</v>
      </c>
      <c r="I561" s="71" t="s">
        <v>2391</v>
      </c>
      <c r="J561" s="72" t="s">
        <v>2341</v>
      </c>
      <c r="K561" s="55">
        <f t="shared" si="67"/>
        <v>2018</v>
      </c>
      <c r="L561" s="81"/>
      <c r="M561" s="81"/>
      <c r="N561" s="73" t="s">
        <v>2392</v>
      </c>
      <c r="O561" s="73" t="s">
        <v>2411</v>
      </c>
      <c r="P561" s="74"/>
      <c r="Q561" s="75" t="s">
        <v>2412</v>
      </c>
      <c r="R561" s="230">
        <v>1008</v>
      </c>
      <c r="S561" s="230">
        <v>2232</v>
      </c>
      <c r="T561" s="230">
        <v>3240</v>
      </c>
      <c r="U561" s="250">
        <v>496</v>
      </c>
      <c r="V561" s="251"/>
      <c r="W561" s="251"/>
      <c r="X561" s="250"/>
      <c r="Y561" s="85">
        <v>0.25</v>
      </c>
      <c r="Z561" s="85"/>
      <c r="AA561" s="76"/>
      <c r="AB561" s="77"/>
      <c r="AC561" s="78"/>
    </row>
    <row r="562" spans="1:29" ht="27" hidden="1" customHeight="1" x14ac:dyDescent="0.2">
      <c r="A562" s="117" t="s">
        <v>2413</v>
      </c>
      <c r="B562" s="118" t="e">
        <f t="shared" si="65"/>
        <v>#VALUE!</v>
      </c>
      <c r="C562" s="118" t="s">
        <v>612</v>
      </c>
      <c r="D562" s="113">
        <v>39436</v>
      </c>
      <c r="E562" s="84">
        <v>39479</v>
      </c>
      <c r="F562" s="84">
        <f t="shared" si="66"/>
        <v>43132</v>
      </c>
      <c r="G562" s="229">
        <v>661</v>
      </c>
      <c r="H562" s="71" t="s">
        <v>2390</v>
      </c>
      <c r="I562" s="71" t="s">
        <v>2391</v>
      </c>
      <c r="J562" s="72" t="s">
        <v>2341</v>
      </c>
      <c r="K562" s="55">
        <f t="shared" si="67"/>
        <v>2018</v>
      </c>
      <c r="L562" s="81"/>
      <c r="M562" s="81"/>
      <c r="N562" s="73" t="s">
        <v>2392</v>
      </c>
      <c r="O562" s="73" t="s">
        <v>2414</v>
      </c>
      <c r="P562" s="74"/>
      <c r="Q562" s="75" t="s">
        <v>2415</v>
      </c>
      <c r="R562" s="230">
        <v>2453.5</v>
      </c>
      <c r="S562" s="230">
        <v>5949</v>
      </c>
      <c r="T562" s="230">
        <v>8402.5</v>
      </c>
      <c r="U562" s="250">
        <v>1322</v>
      </c>
      <c r="V562" s="251"/>
      <c r="W562" s="251"/>
      <c r="X562" s="250"/>
      <c r="Y562" s="85">
        <v>0.25</v>
      </c>
      <c r="Z562" s="85"/>
      <c r="AA562" s="76"/>
      <c r="AB562" s="77"/>
      <c r="AC562" s="78"/>
    </row>
    <row r="563" spans="1:29" ht="27" hidden="1" customHeight="1" x14ac:dyDescent="0.2">
      <c r="A563" s="117" t="s">
        <v>2416</v>
      </c>
      <c r="B563" s="118" t="e">
        <f t="shared" si="65"/>
        <v>#VALUE!</v>
      </c>
      <c r="C563" s="118" t="s">
        <v>612</v>
      </c>
      <c r="D563" s="113">
        <v>39436</v>
      </c>
      <c r="E563" s="84">
        <v>39479</v>
      </c>
      <c r="F563" s="84">
        <f t="shared" si="66"/>
        <v>43132</v>
      </c>
      <c r="G563" s="229">
        <v>334</v>
      </c>
      <c r="H563" s="71" t="s">
        <v>2390</v>
      </c>
      <c r="I563" s="71" t="s">
        <v>2391</v>
      </c>
      <c r="J563" s="72" t="s">
        <v>2341</v>
      </c>
      <c r="K563" s="55">
        <f t="shared" si="67"/>
        <v>2018</v>
      </c>
      <c r="L563" s="81"/>
      <c r="M563" s="81"/>
      <c r="N563" s="73" t="s">
        <v>2392</v>
      </c>
      <c r="O563" s="73" t="s">
        <v>2417</v>
      </c>
      <c r="P563" s="74"/>
      <c r="Q563" s="75" t="s">
        <v>2418</v>
      </c>
      <c r="R563" s="230">
        <v>1309</v>
      </c>
      <c r="S563" s="230">
        <v>3340</v>
      </c>
      <c r="T563" s="230">
        <v>4649</v>
      </c>
      <c r="U563" s="250">
        <v>668</v>
      </c>
      <c r="V563" s="251"/>
      <c r="W563" s="251"/>
      <c r="X563" s="250"/>
      <c r="Y563" s="85">
        <v>0.25</v>
      </c>
      <c r="Z563" s="85"/>
      <c r="AA563" s="76"/>
      <c r="AB563" s="77"/>
      <c r="AC563" s="78"/>
    </row>
    <row r="564" spans="1:29" ht="27" hidden="1" customHeight="1" x14ac:dyDescent="0.2">
      <c r="A564" s="117" t="s">
        <v>2419</v>
      </c>
      <c r="B564" s="118" t="e">
        <f t="shared" si="65"/>
        <v>#VALUE!</v>
      </c>
      <c r="C564" s="118" t="s">
        <v>612</v>
      </c>
      <c r="D564" s="113">
        <v>39436</v>
      </c>
      <c r="E564" s="84">
        <v>39479</v>
      </c>
      <c r="F564" s="84">
        <f t="shared" si="66"/>
        <v>43132</v>
      </c>
      <c r="G564" s="229">
        <v>185</v>
      </c>
      <c r="H564" s="71" t="s">
        <v>2390</v>
      </c>
      <c r="I564" s="71" t="s">
        <v>2391</v>
      </c>
      <c r="J564" s="72" t="s">
        <v>2341</v>
      </c>
      <c r="K564" s="55">
        <f t="shared" si="67"/>
        <v>2018</v>
      </c>
      <c r="L564" s="81"/>
      <c r="M564" s="81"/>
      <c r="N564" s="73" t="s">
        <v>2392</v>
      </c>
      <c r="O564" s="73" t="s">
        <v>2420</v>
      </c>
      <c r="P564" s="74"/>
      <c r="Q564" s="75" t="s">
        <v>2421</v>
      </c>
      <c r="R564" s="230">
        <v>787.5</v>
      </c>
      <c r="S564" s="230">
        <v>1665</v>
      </c>
      <c r="T564" s="230">
        <v>2452.5</v>
      </c>
      <c r="U564" s="250">
        <v>370</v>
      </c>
      <c r="V564" s="251"/>
      <c r="W564" s="251"/>
      <c r="X564" s="250"/>
      <c r="Y564" s="85">
        <v>0.25</v>
      </c>
      <c r="Z564" s="85"/>
      <c r="AA564" s="76"/>
      <c r="AB564" s="77"/>
      <c r="AC564" s="78"/>
    </row>
    <row r="565" spans="1:29" ht="27" hidden="1" customHeight="1" x14ac:dyDescent="0.2">
      <c r="A565" s="117" t="s">
        <v>2422</v>
      </c>
      <c r="B565" s="118" t="e">
        <f t="shared" si="65"/>
        <v>#VALUE!</v>
      </c>
      <c r="C565" s="118" t="s">
        <v>612</v>
      </c>
      <c r="D565" s="113">
        <v>39436</v>
      </c>
      <c r="E565" s="84">
        <v>39479</v>
      </c>
      <c r="F565" s="84">
        <f t="shared" si="66"/>
        <v>43132</v>
      </c>
      <c r="G565" s="229">
        <v>82</v>
      </c>
      <c r="H565" s="71" t="s">
        <v>2390</v>
      </c>
      <c r="I565" s="71" t="s">
        <v>2391</v>
      </c>
      <c r="J565" s="72" t="s">
        <v>2341</v>
      </c>
      <c r="K565" s="55">
        <f t="shared" si="67"/>
        <v>2018</v>
      </c>
      <c r="L565" s="81"/>
      <c r="M565" s="81"/>
      <c r="N565" s="73" t="s">
        <v>2392</v>
      </c>
      <c r="O565" s="73" t="s">
        <v>2423</v>
      </c>
      <c r="P565" s="74"/>
      <c r="Q565" s="75" t="s">
        <v>2424</v>
      </c>
      <c r="R565" s="230">
        <v>427</v>
      </c>
      <c r="S565" s="230">
        <v>902</v>
      </c>
      <c r="T565" s="230">
        <v>1329</v>
      </c>
      <c r="U565" s="250">
        <v>164</v>
      </c>
      <c r="V565" s="251"/>
      <c r="W565" s="251"/>
      <c r="X565" s="250"/>
      <c r="Y565" s="85">
        <v>0.25</v>
      </c>
      <c r="Z565" s="85"/>
      <c r="AA565" s="76"/>
      <c r="AB565" s="77"/>
      <c r="AC565" s="78"/>
    </row>
    <row r="566" spans="1:29" ht="27" hidden="1" customHeight="1" x14ac:dyDescent="0.2">
      <c r="A566" s="117" t="s">
        <v>2425</v>
      </c>
      <c r="B566" s="118" t="e">
        <f t="shared" si="65"/>
        <v>#VALUE!</v>
      </c>
      <c r="C566" s="118" t="s">
        <v>612</v>
      </c>
      <c r="D566" s="113">
        <v>39436</v>
      </c>
      <c r="E566" s="84">
        <v>39479</v>
      </c>
      <c r="F566" s="84">
        <f t="shared" si="66"/>
        <v>43132</v>
      </c>
      <c r="G566" s="229">
        <v>400</v>
      </c>
      <c r="H566" s="71" t="s">
        <v>2390</v>
      </c>
      <c r="I566" s="71" t="s">
        <v>2391</v>
      </c>
      <c r="J566" s="72" t="s">
        <v>2341</v>
      </c>
      <c r="K566" s="55">
        <f t="shared" si="67"/>
        <v>2018</v>
      </c>
      <c r="L566" s="81"/>
      <c r="M566" s="81"/>
      <c r="N566" s="73" t="s">
        <v>2392</v>
      </c>
      <c r="O566" s="73" t="s">
        <v>2426</v>
      </c>
      <c r="P566" s="74"/>
      <c r="Q566" s="75" t="s">
        <v>2427</v>
      </c>
      <c r="R566" s="230">
        <v>1540</v>
      </c>
      <c r="S566" s="230">
        <v>4000</v>
      </c>
      <c r="T566" s="230">
        <v>5540</v>
      </c>
      <c r="U566" s="250">
        <v>800</v>
      </c>
      <c r="V566" s="251"/>
      <c r="W566" s="251"/>
      <c r="X566" s="250"/>
      <c r="Y566" s="85">
        <v>0.25</v>
      </c>
      <c r="Z566" s="85"/>
      <c r="AA566" s="76"/>
      <c r="AB566" s="77"/>
      <c r="AC566" s="78"/>
    </row>
    <row r="567" spans="1:29" ht="27" hidden="1" customHeight="1" x14ac:dyDescent="0.2">
      <c r="A567" s="117" t="s">
        <v>2428</v>
      </c>
      <c r="B567" s="118" t="e">
        <f t="shared" si="65"/>
        <v>#VALUE!</v>
      </c>
      <c r="C567" s="118" t="s">
        <v>612</v>
      </c>
      <c r="D567" s="113">
        <v>39436</v>
      </c>
      <c r="E567" s="84">
        <v>39479</v>
      </c>
      <c r="F567" s="84">
        <f t="shared" si="66"/>
        <v>43132</v>
      </c>
      <c r="G567" s="229">
        <v>578</v>
      </c>
      <c r="H567" s="71" t="s">
        <v>2390</v>
      </c>
      <c r="I567" s="71" t="s">
        <v>2391</v>
      </c>
      <c r="J567" s="72" t="s">
        <v>2341</v>
      </c>
      <c r="K567" s="55">
        <f t="shared" si="67"/>
        <v>2018</v>
      </c>
      <c r="L567" s="81"/>
      <c r="M567" s="81"/>
      <c r="N567" s="73" t="s">
        <v>2392</v>
      </c>
      <c r="O567" s="73" t="s">
        <v>2429</v>
      </c>
      <c r="P567" s="74"/>
      <c r="Q567" s="75" t="s">
        <v>2430</v>
      </c>
      <c r="R567" s="230">
        <v>2163</v>
      </c>
      <c r="S567" s="230">
        <v>5202</v>
      </c>
      <c r="T567" s="230">
        <v>7365</v>
      </c>
      <c r="U567" s="250">
        <v>1156</v>
      </c>
      <c r="V567" s="251"/>
      <c r="W567" s="251"/>
      <c r="X567" s="250"/>
      <c r="Y567" s="85">
        <v>0.25</v>
      </c>
      <c r="Z567" s="85"/>
      <c r="AA567" s="76"/>
      <c r="AB567" s="77"/>
      <c r="AC567" s="78"/>
    </row>
    <row r="568" spans="1:29" ht="27" hidden="1" customHeight="1" x14ac:dyDescent="0.2">
      <c r="A568" s="117" t="s">
        <v>2431</v>
      </c>
      <c r="B568" s="118" t="e">
        <f t="shared" si="65"/>
        <v>#VALUE!</v>
      </c>
      <c r="C568" s="118" t="s">
        <v>612</v>
      </c>
      <c r="D568" s="113">
        <v>39436</v>
      </c>
      <c r="E568" s="84">
        <v>39479</v>
      </c>
      <c r="F568" s="84">
        <f t="shared" si="66"/>
        <v>43132</v>
      </c>
      <c r="G568" s="229">
        <v>79</v>
      </c>
      <c r="H568" s="71" t="s">
        <v>2390</v>
      </c>
      <c r="I568" s="71" t="s">
        <v>2391</v>
      </c>
      <c r="J568" s="72" t="s">
        <v>2341</v>
      </c>
      <c r="K568" s="55">
        <f t="shared" si="67"/>
        <v>2018</v>
      </c>
      <c r="L568" s="81"/>
      <c r="M568" s="81"/>
      <c r="N568" s="73" t="s">
        <v>2392</v>
      </c>
      <c r="O568" s="73" t="s">
        <v>2432</v>
      </c>
      <c r="P568" s="74"/>
      <c r="Q568" s="75" t="s">
        <v>2433</v>
      </c>
      <c r="R568" s="230">
        <v>416.5</v>
      </c>
      <c r="S568" s="230">
        <v>711</v>
      </c>
      <c r="T568" s="230">
        <v>1127.5</v>
      </c>
      <c r="U568" s="250">
        <v>158</v>
      </c>
      <c r="V568" s="251"/>
      <c r="W568" s="251"/>
      <c r="X568" s="250"/>
      <c r="Y568" s="85">
        <v>0.25</v>
      </c>
      <c r="Z568" s="85"/>
      <c r="AA568" s="76"/>
      <c r="AB568" s="77"/>
      <c r="AC568" s="78"/>
    </row>
    <row r="569" spans="1:29" ht="27" hidden="1" customHeight="1" x14ac:dyDescent="0.2">
      <c r="A569" s="117" t="s">
        <v>2434</v>
      </c>
      <c r="B569" s="118" t="e">
        <f t="shared" si="65"/>
        <v>#VALUE!</v>
      </c>
      <c r="C569" s="118" t="s">
        <v>612</v>
      </c>
      <c r="D569" s="113">
        <v>39436</v>
      </c>
      <c r="E569" s="84">
        <v>39479</v>
      </c>
      <c r="F569" s="84">
        <f t="shared" si="66"/>
        <v>43132</v>
      </c>
      <c r="G569" s="229">
        <v>250.3</v>
      </c>
      <c r="H569" s="71" t="s">
        <v>2390</v>
      </c>
      <c r="I569" s="71" t="s">
        <v>2391</v>
      </c>
      <c r="J569" s="72" t="s">
        <v>2341</v>
      </c>
      <c r="K569" s="55">
        <f t="shared" si="67"/>
        <v>2018</v>
      </c>
      <c r="L569" s="81"/>
      <c r="M569" s="81"/>
      <c r="N569" s="73" t="s">
        <v>2392</v>
      </c>
      <c r="O569" s="73" t="s">
        <v>2435</v>
      </c>
      <c r="P569" s="74"/>
      <c r="Q569" s="75" t="s">
        <v>2436</v>
      </c>
      <c r="R569" s="230">
        <v>1018.5</v>
      </c>
      <c r="S569" s="230">
        <v>3765</v>
      </c>
      <c r="T569" s="230">
        <v>4783.5</v>
      </c>
      <c r="U569" s="250">
        <v>502</v>
      </c>
      <c r="V569" s="251"/>
      <c r="W569" s="251"/>
      <c r="X569" s="250"/>
      <c r="Y569" s="85">
        <v>0.25</v>
      </c>
      <c r="Z569" s="85"/>
      <c r="AA569" s="76"/>
      <c r="AB569" s="77"/>
      <c r="AC569" s="78"/>
    </row>
    <row r="570" spans="1:29" ht="27" hidden="1" customHeight="1" x14ac:dyDescent="0.2">
      <c r="A570" s="117" t="s">
        <v>2437</v>
      </c>
      <c r="B570" s="118" t="e">
        <f t="shared" si="65"/>
        <v>#VALUE!</v>
      </c>
      <c r="C570" s="118" t="s">
        <v>612</v>
      </c>
      <c r="D570" s="113">
        <v>39436</v>
      </c>
      <c r="E570" s="84">
        <v>39479</v>
      </c>
      <c r="F570" s="84">
        <f t="shared" si="66"/>
        <v>43132</v>
      </c>
      <c r="G570" s="229">
        <v>2439.5</v>
      </c>
      <c r="H570" s="71" t="s">
        <v>2390</v>
      </c>
      <c r="I570" s="71" t="s">
        <v>2391</v>
      </c>
      <c r="J570" s="72" t="s">
        <v>2341</v>
      </c>
      <c r="K570" s="55">
        <f t="shared" si="67"/>
        <v>2018</v>
      </c>
      <c r="L570" s="81"/>
      <c r="M570" s="81"/>
      <c r="N570" s="73" t="s">
        <v>2392</v>
      </c>
      <c r="O570" s="73" t="s">
        <v>2438</v>
      </c>
      <c r="P570" s="74"/>
      <c r="Q570" s="75" t="s">
        <v>2439</v>
      </c>
      <c r="R570" s="230">
        <v>8680</v>
      </c>
      <c r="S570" s="230">
        <v>34160</v>
      </c>
      <c r="T570" s="230">
        <v>42840</v>
      </c>
      <c r="U570" s="250">
        <v>4880</v>
      </c>
      <c r="V570" s="251"/>
      <c r="W570" s="251"/>
      <c r="X570" s="250"/>
      <c r="Y570" s="85">
        <v>0.25</v>
      </c>
      <c r="Z570" s="85"/>
      <c r="AA570" s="76"/>
      <c r="AB570" s="77"/>
      <c r="AC570" s="78"/>
    </row>
    <row r="571" spans="1:29" ht="27" hidden="1" customHeight="1" x14ac:dyDescent="0.2">
      <c r="A571" s="117" t="s">
        <v>2440</v>
      </c>
      <c r="B571" s="118" t="e">
        <f t="shared" si="65"/>
        <v>#VALUE!</v>
      </c>
      <c r="C571" s="118" t="s">
        <v>612</v>
      </c>
      <c r="D571" s="113">
        <v>39436</v>
      </c>
      <c r="E571" s="84">
        <v>39479</v>
      </c>
      <c r="F571" s="84">
        <f t="shared" si="66"/>
        <v>43132</v>
      </c>
      <c r="G571" s="229">
        <v>699.8</v>
      </c>
      <c r="H571" s="71" t="s">
        <v>2390</v>
      </c>
      <c r="I571" s="71" t="s">
        <v>2391</v>
      </c>
      <c r="J571" s="72" t="s">
        <v>2341</v>
      </c>
      <c r="K571" s="55">
        <f t="shared" si="67"/>
        <v>2018</v>
      </c>
      <c r="L571" s="81"/>
      <c r="M571" s="81"/>
      <c r="N571" s="73" t="s">
        <v>2392</v>
      </c>
      <c r="O571" s="73" t="s">
        <v>2441</v>
      </c>
      <c r="P571" s="74"/>
      <c r="Q571" s="75" t="s">
        <v>2442</v>
      </c>
      <c r="R571" s="230">
        <v>2590</v>
      </c>
      <c r="S571" s="230">
        <v>9800</v>
      </c>
      <c r="T571" s="230">
        <v>12390</v>
      </c>
      <c r="U571" s="250">
        <v>1400</v>
      </c>
      <c r="V571" s="251"/>
      <c r="W571" s="251"/>
      <c r="X571" s="250"/>
      <c r="Y571" s="85">
        <v>0.25</v>
      </c>
      <c r="Z571" s="85"/>
      <c r="AA571" s="76"/>
      <c r="AB571" s="77"/>
      <c r="AC571" s="78"/>
    </row>
    <row r="572" spans="1:29" ht="27" hidden="1" customHeight="1" x14ac:dyDescent="0.2">
      <c r="A572" s="117" t="s">
        <v>2443</v>
      </c>
      <c r="B572" s="118" t="e">
        <f t="shared" si="65"/>
        <v>#VALUE!</v>
      </c>
      <c r="C572" s="118" t="s">
        <v>612</v>
      </c>
      <c r="D572" s="113">
        <v>39436</v>
      </c>
      <c r="E572" s="84">
        <v>39479</v>
      </c>
      <c r="F572" s="84">
        <f t="shared" si="66"/>
        <v>43132</v>
      </c>
      <c r="G572" s="229">
        <v>1412.2</v>
      </c>
      <c r="H572" s="71" t="s">
        <v>2390</v>
      </c>
      <c r="I572" s="71" t="s">
        <v>2391</v>
      </c>
      <c r="J572" s="72" t="s">
        <v>2341</v>
      </c>
      <c r="K572" s="55">
        <f t="shared" si="67"/>
        <v>2018</v>
      </c>
      <c r="L572" s="81"/>
      <c r="M572" s="81"/>
      <c r="N572" s="73" t="s">
        <v>2392</v>
      </c>
      <c r="O572" s="73" t="s">
        <v>2444</v>
      </c>
      <c r="P572" s="74"/>
      <c r="Q572" s="75" t="s">
        <v>2445</v>
      </c>
      <c r="R572" s="230">
        <v>5085.5</v>
      </c>
      <c r="S572" s="230">
        <v>19782</v>
      </c>
      <c r="T572" s="230">
        <v>24867.5</v>
      </c>
      <c r="U572" s="250">
        <v>2826</v>
      </c>
      <c r="V572" s="251"/>
      <c r="W572" s="251"/>
      <c r="X572" s="250"/>
      <c r="Y572" s="85">
        <v>0.25</v>
      </c>
      <c r="Z572" s="85"/>
      <c r="AA572" s="76"/>
      <c r="AB572" s="77"/>
      <c r="AC572" s="78"/>
    </row>
    <row r="573" spans="1:29" ht="27" hidden="1" customHeight="1" x14ac:dyDescent="0.2">
      <c r="A573" s="117" t="s">
        <v>2446</v>
      </c>
      <c r="B573" s="118" t="e">
        <f t="shared" si="65"/>
        <v>#VALUE!</v>
      </c>
      <c r="C573" s="118" t="s">
        <v>612</v>
      </c>
      <c r="D573" s="113">
        <v>39436</v>
      </c>
      <c r="E573" s="84">
        <v>39479</v>
      </c>
      <c r="F573" s="84">
        <f t="shared" si="66"/>
        <v>43132</v>
      </c>
      <c r="G573" s="229">
        <v>185.32</v>
      </c>
      <c r="H573" s="71" t="s">
        <v>2390</v>
      </c>
      <c r="I573" s="71" t="s">
        <v>2391</v>
      </c>
      <c r="J573" s="72" t="s">
        <v>2341</v>
      </c>
      <c r="K573" s="55">
        <f t="shared" si="67"/>
        <v>2018</v>
      </c>
      <c r="L573" s="81"/>
      <c r="M573" s="81"/>
      <c r="N573" s="73" t="s">
        <v>2392</v>
      </c>
      <c r="O573" s="73" t="s">
        <v>2447</v>
      </c>
      <c r="P573" s="74"/>
      <c r="Q573" s="75" t="s">
        <v>2448</v>
      </c>
      <c r="R573" s="230">
        <v>791</v>
      </c>
      <c r="S573" s="230">
        <v>1674</v>
      </c>
      <c r="T573" s="230">
        <v>2465</v>
      </c>
      <c r="U573" s="250">
        <v>372</v>
      </c>
      <c r="V573" s="251"/>
      <c r="W573" s="251"/>
      <c r="X573" s="250"/>
      <c r="Y573" s="85">
        <v>0.25</v>
      </c>
      <c r="Z573" s="85"/>
      <c r="AA573" s="76"/>
      <c r="AB573" s="77"/>
      <c r="AC573" s="78"/>
    </row>
    <row r="574" spans="1:29" ht="27" hidden="1" customHeight="1" x14ac:dyDescent="0.2">
      <c r="A574" s="117" t="s">
        <v>2449</v>
      </c>
      <c r="B574" s="118" t="e">
        <f t="shared" si="65"/>
        <v>#VALUE!</v>
      </c>
      <c r="C574" s="118" t="s">
        <v>612</v>
      </c>
      <c r="D574" s="113">
        <v>39436</v>
      </c>
      <c r="E574" s="84">
        <v>39479</v>
      </c>
      <c r="F574" s="84">
        <f t="shared" si="66"/>
        <v>43132</v>
      </c>
      <c r="G574" s="229">
        <v>439</v>
      </c>
      <c r="H574" s="71" t="s">
        <v>2390</v>
      </c>
      <c r="I574" s="71" t="s">
        <v>2391</v>
      </c>
      <c r="J574" s="72" t="s">
        <v>2341</v>
      </c>
      <c r="K574" s="55">
        <f t="shared" si="67"/>
        <v>2018</v>
      </c>
      <c r="L574" s="81"/>
      <c r="M574" s="81"/>
      <c r="N574" s="73" t="s">
        <v>2392</v>
      </c>
      <c r="O574" s="73" t="s">
        <v>2450</v>
      </c>
      <c r="P574" s="74"/>
      <c r="Q574" s="75" t="s">
        <v>2451</v>
      </c>
      <c r="R574" s="230">
        <v>1676.5</v>
      </c>
      <c r="S574" s="230">
        <v>3951</v>
      </c>
      <c r="T574" s="230">
        <v>5627.5</v>
      </c>
      <c r="U574" s="250">
        <v>878</v>
      </c>
      <c r="V574" s="251"/>
      <c r="W574" s="251"/>
      <c r="X574" s="250"/>
      <c r="Y574" s="85">
        <v>0.25</v>
      </c>
      <c r="Z574" s="85"/>
      <c r="AA574" s="76"/>
      <c r="AB574" s="77"/>
      <c r="AC574" s="78"/>
    </row>
    <row r="575" spans="1:29" ht="27" hidden="1" customHeight="1" x14ac:dyDescent="0.2">
      <c r="A575" s="117" t="s">
        <v>2452</v>
      </c>
      <c r="B575" s="118" t="e">
        <f t="shared" si="65"/>
        <v>#VALUE!</v>
      </c>
      <c r="C575" s="118" t="s">
        <v>612</v>
      </c>
      <c r="D575" s="113">
        <v>39436</v>
      </c>
      <c r="E575" s="84">
        <v>39479</v>
      </c>
      <c r="F575" s="84">
        <f t="shared" si="66"/>
        <v>43132</v>
      </c>
      <c r="G575" s="229">
        <v>52</v>
      </c>
      <c r="H575" s="71" t="s">
        <v>2453</v>
      </c>
      <c r="I575" s="71" t="s">
        <v>2454</v>
      </c>
      <c r="J575" s="72" t="s">
        <v>2341</v>
      </c>
      <c r="K575" s="55">
        <f t="shared" si="67"/>
        <v>2018</v>
      </c>
      <c r="L575" s="81"/>
      <c r="M575" s="81"/>
      <c r="N575" s="73" t="s">
        <v>2392</v>
      </c>
      <c r="O575" s="73" t="s">
        <v>2455</v>
      </c>
      <c r="P575" s="74"/>
      <c r="Q575" s="75" t="s">
        <v>2456</v>
      </c>
      <c r="R575" s="230">
        <v>322</v>
      </c>
      <c r="S575" s="230">
        <v>624</v>
      </c>
      <c r="T575" s="230">
        <v>946</v>
      </c>
      <c r="U575" s="250">
        <v>104</v>
      </c>
      <c r="V575" s="251"/>
      <c r="W575" s="251"/>
      <c r="X575" s="250"/>
      <c r="Y575" s="85">
        <v>0.25</v>
      </c>
      <c r="Z575" s="85"/>
      <c r="AA575" s="76"/>
      <c r="AB575" s="77"/>
      <c r="AC575" s="78"/>
    </row>
    <row r="576" spans="1:29" ht="27" hidden="1" customHeight="1" x14ac:dyDescent="0.2">
      <c r="A576" s="117" t="s">
        <v>2457</v>
      </c>
      <c r="B576" s="118" t="e">
        <f t="shared" si="65"/>
        <v>#VALUE!</v>
      </c>
      <c r="C576" s="118" t="s">
        <v>612</v>
      </c>
      <c r="D576" s="113">
        <v>39436</v>
      </c>
      <c r="E576" s="84">
        <v>39479</v>
      </c>
      <c r="F576" s="84">
        <f t="shared" si="66"/>
        <v>43132</v>
      </c>
      <c r="G576" s="229">
        <v>93</v>
      </c>
      <c r="H576" s="71" t="s">
        <v>2453</v>
      </c>
      <c r="I576" s="71" t="s">
        <v>2454</v>
      </c>
      <c r="J576" s="72" t="s">
        <v>2341</v>
      </c>
      <c r="K576" s="55">
        <f t="shared" si="67"/>
        <v>2018</v>
      </c>
      <c r="L576" s="81"/>
      <c r="M576" s="81"/>
      <c r="N576" s="73" t="s">
        <v>2392</v>
      </c>
      <c r="O576" s="73" t="s">
        <v>2458</v>
      </c>
      <c r="P576" s="74"/>
      <c r="Q576" s="75" t="s">
        <v>2459</v>
      </c>
      <c r="R576" s="230">
        <v>465.5</v>
      </c>
      <c r="S576" s="230">
        <v>837</v>
      </c>
      <c r="T576" s="230">
        <v>1302.5</v>
      </c>
      <c r="U576" s="250">
        <v>186</v>
      </c>
      <c r="V576" s="251"/>
      <c r="W576" s="251"/>
      <c r="X576" s="250"/>
      <c r="Y576" s="85">
        <v>0.25</v>
      </c>
      <c r="Z576" s="85"/>
      <c r="AA576" s="76"/>
      <c r="AB576" s="77"/>
      <c r="AC576" s="78"/>
    </row>
    <row r="577" spans="1:29" ht="15" hidden="1" customHeight="1" thickBot="1" x14ac:dyDescent="0.25">
      <c r="A577" s="117"/>
      <c r="D577" s="113"/>
      <c r="E577" s="84"/>
      <c r="F577" s="84"/>
      <c r="G577" s="237"/>
      <c r="H577" s="71"/>
      <c r="I577" s="71"/>
      <c r="J577" s="79"/>
      <c r="K577" s="79"/>
      <c r="L577" s="80"/>
      <c r="M577" s="80"/>
      <c r="N577" s="73"/>
      <c r="O577" s="73"/>
      <c r="P577" s="74"/>
      <c r="Q577" s="75"/>
      <c r="R577" s="241">
        <v>157556</v>
      </c>
      <c r="S577" s="241">
        <v>117274</v>
      </c>
      <c r="T577" s="241">
        <v>274830</v>
      </c>
      <c r="U577" s="231"/>
      <c r="V577" s="230"/>
      <c r="W577" s="230"/>
      <c r="X577" s="231"/>
      <c r="Y577" s="85"/>
      <c r="Z577" s="85"/>
      <c r="AA577" s="76"/>
      <c r="AB577" s="77"/>
      <c r="AC577" s="78"/>
    </row>
    <row r="578" spans="1:29" hidden="1" x14ac:dyDescent="0.2">
      <c r="A578" s="117"/>
      <c r="D578" s="113"/>
      <c r="E578" s="84"/>
      <c r="F578" s="84"/>
      <c r="G578" s="237"/>
      <c r="H578" s="71"/>
      <c r="I578" s="71"/>
      <c r="J578" s="79"/>
      <c r="K578" s="79"/>
      <c r="L578" s="80"/>
      <c r="M578" s="80"/>
      <c r="N578" s="73"/>
      <c r="O578" s="73"/>
      <c r="P578" s="74"/>
      <c r="Q578" s="75" t="s">
        <v>2460</v>
      </c>
      <c r="R578" s="230">
        <v>-99000</v>
      </c>
      <c r="S578" s="230"/>
      <c r="T578" s="230">
        <v>-99000</v>
      </c>
      <c r="U578" s="231"/>
      <c r="V578" s="230"/>
      <c r="W578" s="230"/>
      <c r="X578" s="231"/>
      <c r="Y578" s="85"/>
      <c r="Z578" s="85"/>
      <c r="AA578" s="76"/>
      <c r="AB578" s="77"/>
      <c r="AC578" s="78"/>
    </row>
    <row r="579" spans="1:29" hidden="1" x14ac:dyDescent="0.2">
      <c r="A579" s="117"/>
      <c r="D579" s="113"/>
      <c r="E579" s="84"/>
      <c r="F579" s="84"/>
      <c r="G579" s="237"/>
      <c r="H579" s="71"/>
      <c r="I579" s="71"/>
      <c r="J579" s="79"/>
      <c r="K579" s="79"/>
      <c r="L579" s="80"/>
      <c r="M579" s="80"/>
      <c r="N579" s="73"/>
      <c r="O579" s="73"/>
      <c r="P579" s="74"/>
      <c r="Q579" s="75" t="s">
        <v>2461</v>
      </c>
      <c r="R579" s="230"/>
      <c r="S579" s="230">
        <v>-175830</v>
      </c>
      <c r="T579" s="230">
        <v>-175830</v>
      </c>
      <c r="U579" s="231"/>
      <c r="V579" s="230"/>
      <c r="W579" s="230"/>
      <c r="X579" s="231"/>
      <c r="Y579" s="85"/>
      <c r="Z579" s="85"/>
      <c r="AA579" s="76"/>
      <c r="AB579" s="77"/>
      <c r="AC579" s="78"/>
    </row>
    <row r="580" spans="1:29" hidden="1" x14ac:dyDescent="0.2">
      <c r="A580" s="117"/>
      <c r="D580" s="113"/>
      <c r="E580" s="84"/>
      <c r="F580" s="84"/>
      <c r="G580" s="237"/>
      <c r="H580" s="71"/>
      <c r="I580" s="71"/>
      <c r="J580" s="79"/>
      <c r="K580" s="79"/>
      <c r="L580" s="80"/>
      <c r="M580" s="80"/>
      <c r="N580" s="73"/>
      <c r="O580" s="73"/>
      <c r="P580" s="74"/>
      <c r="Q580" s="75"/>
      <c r="R580" s="230"/>
      <c r="S580" s="230"/>
      <c r="T580" s="230"/>
      <c r="U580" s="231"/>
      <c r="V580" s="230"/>
      <c r="W580" s="230"/>
      <c r="X580" s="231"/>
      <c r="Y580" s="85"/>
      <c r="Z580" s="85"/>
      <c r="AA580" s="76"/>
      <c r="AB580" s="77"/>
      <c r="AC580" s="78"/>
    </row>
    <row r="581" spans="1:29" hidden="1" x14ac:dyDescent="0.2">
      <c r="A581" s="117"/>
      <c r="D581" s="113"/>
      <c r="E581" s="84"/>
      <c r="F581" s="84"/>
      <c r="G581" s="229"/>
      <c r="H581" s="71"/>
      <c r="I581" s="71"/>
      <c r="J581" s="79"/>
      <c r="K581" s="79"/>
      <c r="L581" s="80"/>
      <c r="M581" s="80"/>
      <c r="N581" s="73"/>
      <c r="O581" s="73"/>
      <c r="P581" s="74"/>
      <c r="Q581" s="75"/>
      <c r="R581" s="230"/>
      <c r="S581" s="230"/>
      <c r="T581" s="230"/>
      <c r="U581" s="231"/>
      <c r="V581" s="230"/>
      <c r="W581" s="230"/>
      <c r="X581" s="231"/>
      <c r="Y581" s="85"/>
      <c r="Z581" s="85"/>
      <c r="AA581" s="76"/>
      <c r="AB581" s="77"/>
      <c r="AC581" s="78"/>
    </row>
    <row r="582" spans="1:29" hidden="1" x14ac:dyDescent="0.2">
      <c r="A582" s="117" t="s">
        <v>2462</v>
      </c>
      <c r="B582" s="118" t="e">
        <f t="shared" ref="B582:B613" si="68">IF(COUNTIF(GIS,A582),"YES","NO")</f>
        <v>#VALUE!</v>
      </c>
      <c r="C582" s="118" t="s">
        <v>612</v>
      </c>
      <c r="D582" s="113">
        <v>39463</v>
      </c>
      <c r="E582" s="86">
        <v>39508</v>
      </c>
      <c r="F582" s="84">
        <f t="shared" ref="F582:F613" si="69">DATE(YEAR(E582)+10,MONTH(E582),DAY(E582))</f>
        <v>43160</v>
      </c>
      <c r="G582" s="229">
        <v>120</v>
      </c>
      <c r="H582" s="71" t="s">
        <v>2463</v>
      </c>
      <c r="I582" s="71" t="s">
        <v>1183</v>
      </c>
      <c r="J582" s="79"/>
      <c r="K582" s="55">
        <f t="shared" ref="K582:K613" si="70">YEAR(F582)</f>
        <v>2018</v>
      </c>
      <c r="L582" s="80"/>
      <c r="M582" s="80"/>
      <c r="N582" s="73"/>
      <c r="O582" s="73" t="s">
        <v>2464</v>
      </c>
      <c r="P582" s="74" t="s">
        <v>2465</v>
      </c>
      <c r="Q582" s="75" t="s">
        <v>2466</v>
      </c>
      <c r="R582" s="230">
        <v>560</v>
      </c>
      <c r="S582" s="230">
        <v>0</v>
      </c>
      <c r="T582" s="230">
        <v>560</v>
      </c>
      <c r="U582" s="231">
        <v>240</v>
      </c>
      <c r="V582" s="230"/>
      <c r="W582" s="230"/>
      <c r="X582" s="231"/>
      <c r="Y582" s="85">
        <v>0.25</v>
      </c>
      <c r="Z582" s="85"/>
      <c r="AA582" s="76"/>
      <c r="AB582" s="77"/>
      <c r="AC582" s="78"/>
    </row>
    <row r="583" spans="1:29" hidden="1" x14ac:dyDescent="0.2">
      <c r="A583" s="117" t="s">
        <v>2467</v>
      </c>
      <c r="B583" s="118" t="e">
        <f t="shared" si="68"/>
        <v>#VALUE!</v>
      </c>
      <c r="C583" s="118" t="s">
        <v>612</v>
      </c>
      <c r="D583" s="113">
        <v>39463</v>
      </c>
      <c r="E583" s="86">
        <v>39508</v>
      </c>
      <c r="F583" s="84">
        <f t="shared" si="69"/>
        <v>43160</v>
      </c>
      <c r="G583" s="229">
        <v>33.799999999999997</v>
      </c>
      <c r="H583" s="71" t="s">
        <v>2468</v>
      </c>
      <c r="I583" s="71" t="s">
        <v>1183</v>
      </c>
      <c r="J583" s="79"/>
      <c r="K583" s="55">
        <f t="shared" si="70"/>
        <v>2018</v>
      </c>
      <c r="L583" s="80"/>
      <c r="M583" s="80"/>
      <c r="N583" s="73"/>
      <c r="O583" s="73" t="s">
        <v>2469</v>
      </c>
      <c r="P583" s="74" t="s">
        <v>2470</v>
      </c>
      <c r="Q583" s="75" t="s">
        <v>2471</v>
      </c>
      <c r="R583" s="230">
        <v>259</v>
      </c>
      <c r="S583" s="230">
        <v>544</v>
      </c>
      <c r="T583" s="230">
        <v>803</v>
      </c>
      <c r="U583" s="231">
        <v>68</v>
      </c>
      <c r="V583" s="230"/>
      <c r="W583" s="230"/>
      <c r="X583" s="231"/>
      <c r="Y583" s="85">
        <v>0.25</v>
      </c>
      <c r="Z583" s="85"/>
      <c r="AA583" s="76"/>
      <c r="AB583" s="77"/>
      <c r="AC583" s="78"/>
    </row>
    <row r="584" spans="1:29" ht="40" hidden="1" customHeight="1" x14ac:dyDescent="0.2">
      <c r="A584" s="117" t="s">
        <v>2472</v>
      </c>
      <c r="B584" s="118" t="e">
        <f t="shared" si="68"/>
        <v>#VALUE!</v>
      </c>
      <c r="C584" s="118" t="s">
        <v>612</v>
      </c>
      <c r="D584" s="113">
        <v>39463</v>
      </c>
      <c r="E584" s="87">
        <v>39569</v>
      </c>
      <c r="F584" s="84">
        <f t="shared" si="69"/>
        <v>43221</v>
      </c>
      <c r="G584" s="229">
        <v>1960</v>
      </c>
      <c r="H584" s="71" t="s">
        <v>2473</v>
      </c>
      <c r="I584" s="71" t="s">
        <v>1147</v>
      </c>
      <c r="J584" s="72" t="s">
        <v>2341</v>
      </c>
      <c r="K584" s="55">
        <f t="shared" si="70"/>
        <v>2018</v>
      </c>
      <c r="L584" s="81"/>
      <c r="M584" s="81"/>
      <c r="N584" s="73"/>
      <c r="O584" s="73" t="s">
        <v>2474</v>
      </c>
      <c r="P584" s="74" t="s">
        <v>2475</v>
      </c>
      <c r="Q584" s="75" t="s">
        <v>2476</v>
      </c>
      <c r="R584" s="230">
        <v>7000</v>
      </c>
      <c r="S584" s="230">
        <v>5880</v>
      </c>
      <c r="T584" s="230">
        <v>12880</v>
      </c>
      <c r="U584" s="231">
        <v>3920</v>
      </c>
      <c r="V584" s="230"/>
      <c r="W584" s="230"/>
      <c r="X584" s="231"/>
      <c r="Y584" s="85">
        <v>0.25</v>
      </c>
      <c r="Z584" s="85"/>
      <c r="AA584" s="76"/>
      <c r="AB584" s="77"/>
      <c r="AC584" s="78"/>
    </row>
    <row r="585" spans="1:29" ht="40" hidden="1" customHeight="1" x14ac:dyDescent="0.2">
      <c r="A585" s="117" t="s">
        <v>2477</v>
      </c>
      <c r="B585" s="118" t="e">
        <f t="shared" si="68"/>
        <v>#VALUE!</v>
      </c>
      <c r="C585" s="118" t="s">
        <v>612</v>
      </c>
      <c r="D585" s="113">
        <v>39463</v>
      </c>
      <c r="E585" s="87">
        <v>39569</v>
      </c>
      <c r="F585" s="84">
        <f t="shared" si="69"/>
        <v>43221</v>
      </c>
      <c r="G585" s="229">
        <v>1115.19</v>
      </c>
      <c r="H585" s="71" t="s">
        <v>2473</v>
      </c>
      <c r="I585" s="71" t="s">
        <v>1147</v>
      </c>
      <c r="J585" s="72" t="s">
        <v>2341</v>
      </c>
      <c r="K585" s="55">
        <f t="shared" si="70"/>
        <v>2018</v>
      </c>
      <c r="L585" s="81"/>
      <c r="M585" s="81"/>
      <c r="N585" s="73"/>
      <c r="O585" s="73" t="s">
        <v>2474</v>
      </c>
      <c r="P585" s="74" t="s">
        <v>2478</v>
      </c>
      <c r="Q585" s="75" t="s">
        <v>2479</v>
      </c>
      <c r="R585" s="230">
        <v>4046</v>
      </c>
      <c r="S585" s="230">
        <v>3348</v>
      </c>
      <c r="T585" s="230">
        <v>7394</v>
      </c>
      <c r="U585" s="231">
        <v>2232</v>
      </c>
      <c r="V585" s="230"/>
      <c r="W585" s="230"/>
      <c r="X585" s="231"/>
      <c r="Y585" s="85">
        <v>0.25</v>
      </c>
      <c r="Z585" s="85"/>
      <c r="AA585" s="76"/>
      <c r="AB585" s="77"/>
      <c r="AC585" s="78"/>
    </row>
    <row r="586" spans="1:29" ht="53" hidden="1" customHeight="1" x14ac:dyDescent="0.2">
      <c r="A586" s="117" t="s">
        <v>2480</v>
      </c>
      <c r="B586" s="118" t="e">
        <f t="shared" si="68"/>
        <v>#VALUE!</v>
      </c>
      <c r="C586" s="118" t="s">
        <v>612</v>
      </c>
      <c r="D586" s="113">
        <v>39463</v>
      </c>
      <c r="E586" s="87">
        <v>39569</v>
      </c>
      <c r="F586" s="84">
        <f t="shared" si="69"/>
        <v>43221</v>
      </c>
      <c r="G586" s="229">
        <v>1841.58</v>
      </c>
      <c r="H586" s="71" t="s">
        <v>2473</v>
      </c>
      <c r="I586" s="71" t="s">
        <v>1147</v>
      </c>
      <c r="J586" s="72" t="s">
        <v>2341</v>
      </c>
      <c r="K586" s="55">
        <f t="shared" si="70"/>
        <v>2018</v>
      </c>
      <c r="L586" s="81"/>
      <c r="M586" s="81"/>
      <c r="N586" s="73"/>
      <c r="O586" s="73" t="s">
        <v>2474</v>
      </c>
      <c r="P586" s="74" t="s">
        <v>2481</v>
      </c>
      <c r="Q586" s="75" t="s">
        <v>2482</v>
      </c>
      <c r="R586" s="230">
        <v>6587</v>
      </c>
      <c r="S586" s="230">
        <v>1842</v>
      </c>
      <c r="T586" s="230">
        <v>8429</v>
      </c>
      <c r="U586" s="231">
        <v>3684</v>
      </c>
      <c r="V586" s="230"/>
      <c r="W586" s="230"/>
      <c r="X586" s="231"/>
      <c r="Y586" s="85">
        <v>0.25</v>
      </c>
      <c r="Z586" s="85"/>
      <c r="AA586" s="76"/>
      <c r="AB586" s="77"/>
      <c r="AC586" s="78"/>
    </row>
    <row r="587" spans="1:29" ht="79" hidden="1" customHeight="1" x14ac:dyDescent="0.2">
      <c r="A587" s="117" t="s">
        <v>2483</v>
      </c>
      <c r="B587" s="118" t="e">
        <f t="shared" si="68"/>
        <v>#VALUE!</v>
      </c>
      <c r="C587" s="118" t="s">
        <v>612</v>
      </c>
      <c r="D587" s="113">
        <v>39463</v>
      </c>
      <c r="E587" s="87">
        <v>39569</v>
      </c>
      <c r="F587" s="84">
        <f t="shared" si="69"/>
        <v>43221</v>
      </c>
      <c r="G587" s="229">
        <v>1761.56</v>
      </c>
      <c r="H587" s="71" t="s">
        <v>2473</v>
      </c>
      <c r="I587" s="71" t="s">
        <v>1147</v>
      </c>
      <c r="J587" s="72" t="s">
        <v>2341</v>
      </c>
      <c r="K587" s="55">
        <f t="shared" si="70"/>
        <v>2018</v>
      </c>
      <c r="L587" s="81"/>
      <c r="M587" s="81"/>
      <c r="N587" s="73"/>
      <c r="O587" s="73" t="s">
        <v>2474</v>
      </c>
      <c r="P587" s="74" t="s">
        <v>2484</v>
      </c>
      <c r="Q587" s="75" t="s">
        <v>2485</v>
      </c>
      <c r="R587" s="230">
        <v>6307</v>
      </c>
      <c r="S587" s="230">
        <v>1762</v>
      </c>
      <c r="T587" s="230">
        <v>8069</v>
      </c>
      <c r="U587" s="231">
        <v>3524</v>
      </c>
      <c r="V587" s="230"/>
      <c r="W587" s="230"/>
      <c r="X587" s="231"/>
      <c r="Y587" s="85">
        <v>0.25</v>
      </c>
      <c r="Z587" s="85"/>
      <c r="AA587" s="76"/>
      <c r="AB587" s="77"/>
      <c r="AC587" s="78"/>
    </row>
    <row r="588" spans="1:29" ht="53" hidden="1" customHeight="1" x14ac:dyDescent="0.2">
      <c r="A588" s="117" t="s">
        <v>2486</v>
      </c>
      <c r="B588" s="118" t="e">
        <f t="shared" si="68"/>
        <v>#VALUE!</v>
      </c>
      <c r="C588" s="118" t="s">
        <v>612</v>
      </c>
      <c r="D588" s="113">
        <v>39463</v>
      </c>
      <c r="E588" s="87">
        <v>39569</v>
      </c>
      <c r="F588" s="84">
        <f t="shared" si="69"/>
        <v>43221</v>
      </c>
      <c r="G588" s="229">
        <v>1760</v>
      </c>
      <c r="H588" s="71" t="s">
        <v>2473</v>
      </c>
      <c r="I588" s="71" t="s">
        <v>1147</v>
      </c>
      <c r="J588" s="72" t="s">
        <v>2341</v>
      </c>
      <c r="K588" s="55">
        <f t="shared" si="70"/>
        <v>2018</v>
      </c>
      <c r="L588" s="81"/>
      <c r="M588" s="81"/>
      <c r="N588" s="73"/>
      <c r="O588" s="73" t="s">
        <v>2474</v>
      </c>
      <c r="P588" s="74" t="s">
        <v>2487</v>
      </c>
      <c r="Q588" s="75" t="s">
        <v>2488</v>
      </c>
      <c r="R588" s="230">
        <v>6300</v>
      </c>
      <c r="S588" s="230">
        <v>5280</v>
      </c>
      <c r="T588" s="230">
        <v>11580</v>
      </c>
      <c r="U588" s="231">
        <v>3520</v>
      </c>
      <c r="V588" s="230"/>
      <c r="W588" s="230"/>
      <c r="X588" s="231"/>
      <c r="Y588" s="85">
        <v>0.25</v>
      </c>
      <c r="Z588" s="85"/>
      <c r="AA588" s="76"/>
      <c r="AB588" s="77"/>
      <c r="AC588" s="78"/>
    </row>
    <row r="589" spans="1:29" ht="40" hidden="1" customHeight="1" x14ac:dyDescent="0.2">
      <c r="A589" s="117" t="s">
        <v>2489</v>
      </c>
      <c r="B589" s="118" t="e">
        <f t="shared" si="68"/>
        <v>#VALUE!</v>
      </c>
      <c r="C589" s="118" t="s">
        <v>612</v>
      </c>
      <c r="D589" s="113">
        <v>39463</v>
      </c>
      <c r="E589" s="87">
        <v>39569</v>
      </c>
      <c r="F589" s="84">
        <f t="shared" si="69"/>
        <v>43221</v>
      </c>
      <c r="G589" s="229">
        <v>1560</v>
      </c>
      <c r="H589" s="71" t="s">
        <v>2473</v>
      </c>
      <c r="I589" s="71" t="s">
        <v>1147</v>
      </c>
      <c r="J589" s="72" t="s">
        <v>2341</v>
      </c>
      <c r="K589" s="55">
        <f t="shared" si="70"/>
        <v>2018</v>
      </c>
      <c r="L589" s="81"/>
      <c r="M589" s="81"/>
      <c r="N589" s="73"/>
      <c r="O589" s="73" t="s">
        <v>2474</v>
      </c>
      <c r="P589" s="74" t="s">
        <v>2490</v>
      </c>
      <c r="Q589" s="75" t="s">
        <v>2491</v>
      </c>
      <c r="R589" s="230">
        <v>5600</v>
      </c>
      <c r="S589" s="230">
        <v>1560</v>
      </c>
      <c r="T589" s="230">
        <v>7160</v>
      </c>
      <c r="U589" s="231">
        <v>3120</v>
      </c>
      <c r="V589" s="230"/>
      <c r="W589" s="230"/>
      <c r="X589" s="231"/>
      <c r="Y589" s="85">
        <v>0.25</v>
      </c>
      <c r="Z589" s="85"/>
      <c r="AA589" s="76"/>
      <c r="AB589" s="77"/>
      <c r="AC589" s="78"/>
    </row>
    <row r="590" spans="1:29" ht="53" hidden="1" customHeight="1" x14ac:dyDescent="0.2">
      <c r="A590" s="117" t="s">
        <v>2492</v>
      </c>
      <c r="B590" s="118" t="e">
        <f t="shared" si="68"/>
        <v>#VALUE!</v>
      </c>
      <c r="C590" s="118" t="s">
        <v>612</v>
      </c>
      <c r="D590" s="113">
        <v>39463</v>
      </c>
      <c r="E590" s="87">
        <v>39569</v>
      </c>
      <c r="F590" s="84">
        <f t="shared" si="69"/>
        <v>43221</v>
      </c>
      <c r="G590" s="229">
        <v>1253.5</v>
      </c>
      <c r="H590" s="71" t="s">
        <v>2473</v>
      </c>
      <c r="I590" s="71" t="s">
        <v>1147</v>
      </c>
      <c r="J590" s="72" t="s">
        <v>2341</v>
      </c>
      <c r="K590" s="55">
        <f t="shared" si="70"/>
        <v>2018</v>
      </c>
      <c r="L590" s="81"/>
      <c r="M590" s="81"/>
      <c r="N590" s="73"/>
      <c r="O590" s="73" t="s">
        <v>2493</v>
      </c>
      <c r="P590" s="74" t="s">
        <v>2494</v>
      </c>
      <c r="Q590" s="75" t="s">
        <v>2495</v>
      </c>
      <c r="R590" s="230">
        <v>4529</v>
      </c>
      <c r="S590" s="230">
        <v>1254</v>
      </c>
      <c r="T590" s="230">
        <v>5783</v>
      </c>
      <c r="U590" s="231">
        <v>2508</v>
      </c>
      <c r="V590" s="230"/>
      <c r="W590" s="230"/>
      <c r="X590" s="231"/>
      <c r="Y590" s="85">
        <v>0.25</v>
      </c>
      <c r="Z590" s="85"/>
      <c r="AA590" s="76"/>
      <c r="AB590" s="77"/>
      <c r="AC590" s="78"/>
    </row>
    <row r="591" spans="1:29" ht="66" hidden="1" customHeight="1" x14ac:dyDescent="0.2">
      <c r="A591" s="117" t="s">
        <v>2496</v>
      </c>
      <c r="B591" s="118" t="e">
        <f t="shared" si="68"/>
        <v>#VALUE!</v>
      </c>
      <c r="C591" s="118" t="s">
        <v>612</v>
      </c>
      <c r="D591" s="113">
        <v>39463</v>
      </c>
      <c r="E591" s="87">
        <v>39569</v>
      </c>
      <c r="F591" s="84">
        <f t="shared" si="69"/>
        <v>43221</v>
      </c>
      <c r="G591" s="229">
        <v>1300</v>
      </c>
      <c r="H591" s="71" t="s">
        <v>2473</v>
      </c>
      <c r="I591" s="71" t="s">
        <v>1147</v>
      </c>
      <c r="J591" s="72" t="s">
        <v>2341</v>
      </c>
      <c r="K591" s="55">
        <f t="shared" si="70"/>
        <v>2018</v>
      </c>
      <c r="L591" s="81"/>
      <c r="M591" s="81"/>
      <c r="N591" s="73"/>
      <c r="O591" s="73" t="s">
        <v>2493</v>
      </c>
      <c r="P591" s="74" t="s">
        <v>2497</v>
      </c>
      <c r="Q591" s="75" t="s">
        <v>2498</v>
      </c>
      <c r="R591" s="230">
        <v>4690</v>
      </c>
      <c r="S591" s="230">
        <v>1300</v>
      </c>
      <c r="T591" s="230">
        <v>5990</v>
      </c>
      <c r="U591" s="231">
        <v>2600</v>
      </c>
      <c r="V591" s="230"/>
      <c r="W591" s="230"/>
      <c r="X591" s="231"/>
      <c r="Y591" s="85">
        <v>0.25</v>
      </c>
      <c r="Z591" s="85"/>
      <c r="AA591" s="76"/>
      <c r="AB591" s="77"/>
      <c r="AC591" s="78"/>
    </row>
    <row r="592" spans="1:29" ht="40" hidden="1" customHeight="1" x14ac:dyDescent="0.2">
      <c r="A592" s="117" t="s">
        <v>2499</v>
      </c>
      <c r="B592" s="118" t="e">
        <f t="shared" si="68"/>
        <v>#VALUE!</v>
      </c>
      <c r="C592" s="118" t="s">
        <v>612</v>
      </c>
      <c r="D592" s="113">
        <v>39463</v>
      </c>
      <c r="E592" s="87">
        <v>39569</v>
      </c>
      <c r="F592" s="84">
        <f t="shared" si="69"/>
        <v>43221</v>
      </c>
      <c r="G592" s="229">
        <v>1560</v>
      </c>
      <c r="H592" s="71" t="s">
        <v>2473</v>
      </c>
      <c r="I592" s="71" t="s">
        <v>1147</v>
      </c>
      <c r="J592" s="72" t="s">
        <v>2341</v>
      </c>
      <c r="K592" s="55">
        <f t="shared" si="70"/>
        <v>2018</v>
      </c>
      <c r="L592" s="81"/>
      <c r="M592" s="81"/>
      <c r="N592" s="73"/>
      <c r="O592" s="73" t="s">
        <v>2493</v>
      </c>
      <c r="P592" s="74" t="s">
        <v>2500</v>
      </c>
      <c r="Q592" s="75" t="s">
        <v>2501</v>
      </c>
      <c r="R592" s="230">
        <v>5600</v>
      </c>
      <c r="S592" s="230">
        <v>4680</v>
      </c>
      <c r="T592" s="230">
        <v>10280</v>
      </c>
      <c r="U592" s="231">
        <v>3120</v>
      </c>
      <c r="V592" s="230"/>
      <c r="W592" s="230"/>
      <c r="X592" s="231"/>
      <c r="Y592" s="85">
        <v>0.25</v>
      </c>
      <c r="Z592" s="85"/>
      <c r="AA592" s="76"/>
      <c r="AB592" s="77"/>
      <c r="AC592" s="78"/>
    </row>
    <row r="593" spans="1:29" hidden="1" x14ac:dyDescent="0.2">
      <c r="A593" s="117" t="s">
        <v>2502</v>
      </c>
      <c r="B593" s="118" t="e">
        <f t="shared" si="68"/>
        <v>#VALUE!</v>
      </c>
      <c r="C593" s="118" t="s">
        <v>612</v>
      </c>
      <c r="D593" s="113">
        <v>39463</v>
      </c>
      <c r="E593" s="86">
        <v>39508</v>
      </c>
      <c r="F593" s="84">
        <f t="shared" si="69"/>
        <v>43160</v>
      </c>
      <c r="G593" s="229">
        <v>320.3</v>
      </c>
      <c r="H593" s="71" t="s">
        <v>2473</v>
      </c>
      <c r="I593" s="71" t="s">
        <v>1147</v>
      </c>
      <c r="J593" s="72"/>
      <c r="K593" s="55">
        <f t="shared" si="70"/>
        <v>2018</v>
      </c>
      <c r="L593" s="81"/>
      <c r="M593" s="81"/>
      <c r="N593" s="73"/>
      <c r="O593" s="73" t="s">
        <v>2503</v>
      </c>
      <c r="P593" s="74" t="s">
        <v>2504</v>
      </c>
      <c r="Q593" s="75" t="s">
        <v>2505</v>
      </c>
      <c r="R593" s="230">
        <v>1263.5</v>
      </c>
      <c r="S593" s="230">
        <v>321</v>
      </c>
      <c r="T593" s="230">
        <v>1584.5</v>
      </c>
      <c r="U593" s="231">
        <v>642</v>
      </c>
      <c r="V593" s="230"/>
      <c r="W593" s="230"/>
      <c r="X593" s="231"/>
      <c r="Y593" s="85">
        <v>0.25</v>
      </c>
      <c r="Z593" s="85"/>
      <c r="AA593" s="76"/>
      <c r="AB593" s="77"/>
      <c r="AC593" s="78"/>
    </row>
    <row r="594" spans="1:29" ht="66" hidden="1" customHeight="1" x14ac:dyDescent="0.2">
      <c r="A594" s="117" t="s">
        <v>2506</v>
      </c>
      <c r="B594" s="118" t="e">
        <f t="shared" si="68"/>
        <v>#VALUE!</v>
      </c>
      <c r="C594" s="118" t="s">
        <v>612</v>
      </c>
      <c r="D594" s="113">
        <v>39463</v>
      </c>
      <c r="E594" s="87">
        <v>39569</v>
      </c>
      <c r="F594" s="84">
        <f t="shared" si="69"/>
        <v>43221</v>
      </c>
      <c r="G594" s="229">
        <v>1400</v>
      </c>
      <c r="H594" s="71" t="s">
        <v>2473</v>
      </c>
      <c r="I594" s="71" t="s">
        <v>1147</v>
      </c>
      <c r="J594" s="72" t="s">
        <v>2341</v>
      </c>
      <c r="K594" s="55">
        <f t="shared" si="70"/>
        <v>2018</v>
      </c>
      <c r="L594" s="81"/>
      <c r="M594" s="81"/>
      <c r="N594" s="73"/>
      <c r="O594" s="73" t="s">
        <v>2503</v>
      </c>
      <c r="P594" s="74" t="s">
        <v>2507</v>
      </c>
      <c r="Q594" s="75" t="s">
        <v>2508</v>
      </c>
      <c r="R594" s="230">
        <v>5040</v>
      </c>
      <c r="S594" s="230">
        <v>12600</v>
      </c>
      <c r="T594" s="230">
        <v>17640</v>
      </c>
      <c r="U594" s="231">
        <v>2800</v>
      </c>
      <c r="V594" s="230"/>
      <c r="W594" s="230"/>
      <c r="X594" s="231"/>
      <c r="Y594" s="85">
        <v>0.25</v>
      </c>
      <c r="Z594" s="85"/>
      <c r="AA594" s="76"/>
      <c r="AB594" s="77"/>
      <c r="AC594" s="78"/>
    </row>
    <row r="595" spans="1:29" ht="27" hidden="1" customHeight="1" x14ac:dyDescent="0.2">
      <c r="A595" s="117" t="s">
        <v>2509</v>
      </c>
      <c r="B595" s="118" t="e">
        <f t="shared" si="68"/>
        <v>#VALUE!</v>
      </c>
      <c r="C595" s="118" t="s">
        <v>612</v>
      </c>
      <c r="D595" s="113">
        <v>39463</v>
      </c>
      <c r="E595" s="87">
        <v>39569</v>
      </c>
      <c r="F595" s="84">
        <f t="shared" si="69"/>
        <v>43221</v>
      </c>
      <c r="G595" s="229">
        <v>327.71</v>
      </c>
      <c r="H595" s="71" t="s">
        <v>2473</v>
      </c>
      <c r="I595" s="71" t="s">
        <v>1147</v>
      </c>
      <c r="J595" s="72" t="s">
        <v>2341</v>
      </c>
      <c r="K595" s="55">
        <f t="shared" si="70"/>
        <v>2018</v>
      </c>
      <c r="L595" s="81"/>
      <c r="M595" s="81"/>
      <c r="N595" s="73"/>
      <c r="O595" s="73" t="s">
        <v>2503</v>
      </c>
      <c r="P595" s="74" t="s">
        <v>2510</v>
      </c>
      <c r="Q595" s="75" t="s">
        <v>2511</v>
      </c>
      <c r="R595" s="230">
        <v>1288</v>
      </c>
      <c r="S595" s="230">
        <v>3608</v>
      </c>
      <c r="T595" s="230">
        <v>4896</v>
      </c>
      <c r="U595" s="231">
        <v>656</v>
      </c>
      <c r="V595" s="230"/>
      <c r="W595" s="230"/>
      <c r="X595" s="231"/>
      <c r="Y595" s="85">
        <v>0.25</v>
      </c>
      <c r="Z595" s="85"/>
      <c r="AA595" s="76"/>
      <c r="AB595" s="77"/>
      <c r="AC595" s="78"/>
    </row>
    <row r="596" spans="1:29" ht="27" hidden="1" customHeight="1" x14ac:dyDescent="0.2">
      <c r="A596" s="117" t="s">
        <v>2512</v>
      </c>
      <c r="B596" s="118" t="e">
        <f t="shared" si="68"/>
        <v>#VALUE!</v>
      </c>
      <c r="C596" s="118" t="s">
        <v>612</v>
      </c>
      <c r="D596" s="113">
        <v>39463</v>
      </c>
      <c r="E596" s="87">
        <v>39569</v>
      </c>
      <c r="F596" s="84">
        <f t="shared" si="69"/>
        <v>43221</v>
      </c>
      <c r="G596" s="229">
        <v>1573.16</v>
      </c>
      <c r="H596" s="71" t="s">
        <v>2473</v>
      </c>
      <c r="I596" s="71" t="s">
        <v>1147</v>
      </c>
      <c r="J596" s="72" t="s">
        <v>2341</v>
      </c>
      <c r="K596" s="55">
        <f t="shared" si="70"/>
        <v>2018</v>
      </c>
      <c r="L596" s="81"/>
      <c r="M596" s="81"/>
      <c r="N596" s="73"/>
      <c r="O596" s="73" t="s">
        <v>2513</v>
      </c>
      <c r="P596" s="74" t="s">
        <v>2514</v>
      </c>
      <c r="Q596" s="75" t="s">
        <v>2515</v>
      </c>
      <c r="R596" s="230">
        <v>5649</v>
      </c>
      <c r="S596" s="230">
        <v>33054</v>
      </c>
      <c r="T596" s="230">
        <v>38703</v>
      </c>
      <c r="U596" s="231">
        <v>3148</v>
      </c>
      <c r="V596" s="230"/>
      <c r="W596" s="230"/>
      <c r="X596" s="231"/>
      <c r="Y596" s="85">
        <v>0.25</v>
      </c>
      <c r="Z596" s="85"/>
      <c r="AA596" s="76"/>
      <c r="AB596" s="77"/>
      <c r="AC596" s="78"/>
    </row>
    <row r="597" spans="1:29" ht="27" hidden="1" customHeight="1" x14ac:dyDescent="0.2">
      <c r="A597" s="117" t="s">
        <v>2516</v>
      </c>
      <c r="B597" s="118" t="e">
        <f t="shared" si="68"/>
        <v>#VALUE!</v>
      </c>
      <c r="C597" s="118" t="s">
        <v>612</v>
      </c>
      <c r="D597" s="113">
        <v>39463</v>
      </c>
      <c r="E597" s="87">
        <v>39569</v>
      </c>
      <c r="F597" s="84">
        <f t="shared" si="69"/>
        <v>43221</v>
      </c>
      <c r="G597" s="229">
        <v>1580.44</v>
      </c>
      <c r="H597" s="71" t="s">
        <v>2473</v>
      </c>
      <c r="I597" s="71" t="s">
        <v>1147</v>
      </c>
      <c r="J597" s="72" t="s">
        <v>2341</v>
      </c>
      <c r="K597" s="55">
        <f t="shared" si="70"/>
        <v>2018</v>
      </c>
      <c r="L597" s="81"/>
      <c r="M597" s="81"/>
      <c r="N597" s="73"/>
      <c r="O597" s="73" t="s">
        <v>2513</v>
      </c>
      <c r="P597" s="74" t="s">
        <v>2517</v>
      </c>
      <c r="Q597" s="75" t="s">
        <v>2518</v>
      </c>
      <c r="R597" s="230">
        <v>5673.5</v>
      </c>
      <c r="S597" s="230">
        <v>30039</v>
      </c>
      <c r="T597" s="230">
        <v>35712.5</v>
      </c>
      <c r="U597" s="231">
        <v>3162</v>
      </c>
      <c r="V597" s="230"/>
      <c r="W597" s="230"/>
      <c r="X597" s="231"/>
      <c r="Y597" s="85">
        <v>0.25</v>
      </c>
      <c r="Z597" s="85"/>
      <c r="AA597" s="76"/>
      <c r="AB597" s="77"/>
      <c r="AC597" s="78"/>
    </row>
    <row r="598" spans="1:29" ht="66" hidden="1" customHeight="1" x14ac:dyDescent="0.2">
      <c r="A598" s="117" t="s">
        <v>2519</v>
      </c>
      <c r="B598" s="118" t="e">
        <f t="shared" si="68"/>
        <v>#VALUE!</v>
      </c>
      <c r="C598" s="118" t="s">
        <v>612</v>
      </c>
      <c r="D598" s="113">
        <v>39463</v>
      </c>
      <c r="E598" s="87">
        <v>39569</v>
      </c>
      <c r="F598" s="84">
        <f t="shared" si="69"/>
        <v>43221</v>
      </c>
      <c r="G598" s="229">
        <v>1724.8</v>
      </c>
      <c r="H598" s="71" t="s">
        <v>2473</v>
      </c>
      <c r="I598" s="71" t="s">
        <v>1147</v>
      </c>
      <c r="J598" s="72" t="s">
        <v>2341</v>
      </c>
      <c r="K598" s="55">
        <f t="shared" si="70"/>
        <v>2018</v>
      </c>
      <c r="L598" s="81"/>
      <c r="M598" s="81"/>
      <c r="N598" s="73"/>
      <c r="O598" s="73" t="s">
        <v>2513</v>
      </c>
      <c r="P598" s="74" t="s">
        <v>2520</v>
      </c>
      <c r="Q598" s="75" t="s">
        <v>2521</v>
      </c>
      <c r="R598" s="230">
        <v>6177.5</v>
      </c>
      <c r="S598" s="230">
        <v>36225</v>
      </c>
      <c r="T598" s="230">
        <v>42402.5</v>
      </c>
      <c r="U598" s="231">
        <v>3450</v>
      </c>
      <c r="V598" s="230"/>
      <c r="W598" s="230"/>
      <c r="X598" s="231"/>
      <c r="Y598" s="85">
        <v>0.25</v>
      </c>
      <c r="Z598" s="85"/>
      <c r="AA598" s="76"/>
      <c r="AB598" s="77"/>
      <c r="AC598" s="78"/>
    </row>
    <row r="599" spans="1:29" ht="53" hidden="1" customHeight="1" x14ac:dyDescent="0.2">
      <c r="A599" s="117" t="s">
        <v>2522</v>
      </c>
      <c r="B599" s="118" t="e">
        <f t="shared" si="68"/>
        <v>#VALUE!</v>
      </c>
      <c r="C599" s="118" t="s">
        <v>612</v>
      </c>
      <c r="D599" s="113">
        <v>39463</v>
      </c>
      <c r="E599" s="87">
        <v>39569</v>
      </c>
      <c r="F599" s="84">
        <f t="shared" si="69"/>
        <v>43221</v>
      </c>
      <c r="G599" s="229">
        <v>1517.4</v>
      </c>
      <c r="H599" s="71" t="s">
        <v>2473</v>
      </c>
      <c r="I599" s="71" t="s">
        <v>1147</v>
      </c>
      <c r="J599" s="72" t="s">
        <v>2341</v>
      </c>
      <c r="K599" s="55">
        <f t="shared" si="70"/>
        <v>2018</v>
      </c>
      <c r="L599" s="81"/>
      <c r="M599" s="81"/>
      <c r="N599" s="73"/>
      <c r="O599" s="73" t="s">
        <v>2523</v>
      </c>
      <c r="P599" s="74" t="s">
        <v>2524</v>
      </c>
      <c r="Q599" s="75" t="s">
        <v>2525</v>
      </c>
      <c r="R599" s="230">
        <v>5453</v>
      </c>
      <c r="S599" s="230">
        <v>1518</v>
      </c>
      <c r="T599" s="230">
        <v>6971</v>
      </c>
      <c r="U599" s="231">
        <v>3036</v>
      </c>
      <c r="V599" s="230"/>
      <c r="W599" s="230"/>
      <c r="X599" s="231"/>
      <c r="Y599" s="85">
        <v>0.25</v>
      </c>
      <c r="Z599" s="85"/>
      <c r="AA599" s="76"/>
      <c r="AB599" s="77"/>
      <c r="AC599" s="78"/>
    </row>
    <row r="600" spans="1:29" ht="53" hidden="1" customHeight="1" x14ac:dyDescent="0.2">
      <c r="A600" s="117" t="s">
        <v>2526</v>
      </c>
      <c r="B600" s="118" t="e">
        <f t="shared" si="68"/>
        <v>#VALUE!</v>
      </c>
      <c r="C600" s="118" t="s">
        <v>612</v>
      </c>
      <c r="D600" s="113">
        <v>39463</v>
      </c>
      <c r="E600" s="87">
        <v>39569</v>
      </c>
      <c r="F600" s="84">
        <f t="shared" si="69"/>
        <v>43221</v>
      </c>
      <c r="G600" s="229">
        <v>2115.0100000000002</v>
      </c>
      <c r="H600" s="71" t="s">
        <v>2473</v>
      </c>
      <c r="I600" s="71" t="s">
        <v>1147</v>
      </c>
      <c r="J600" s="72" t="s">
        <v>2341</v>
      </c>
      <c r="K600" s="55">
        <f t="shared" si="70"/>
        <v>2018</v>
      </c>
      <c r="L600" s="81"/>
      <c r="M600" s="81"/>
      <c r="N600" s="73"/>
      <c r="O600" s="73" t="s">
        <v>2523</v>
      </c>
      <c r="P600" s="74" t="s">
        <v>2527</v>
      </c>
      <c r="Q600" s="75" t="s">
        <v>2528</v>
      </c>
      <c r="R600" s="230">
        <v>7546</v>
      </c>
      <c r="S600" s="230">
        <v>6348</v>
      </c>
      <c r="T600" s="230">
        <v>13894</v>
      </c>
      <c r="U600" s="231">
        <v>4232</v>
      </c>
      <c r="V600" s="230"/>
      <c r="W600" s="230"/>
      <c r="X600" s="231"/>
      <c r="Y600" s="85">
        <v>0.25</v>
      </c>
      <c r="Z600" s="85"/>
      <c r="AA600" s="76"/>
      <c r="AB600" s="77"/>
      <c r="AC600" s="78"/>
    </row>
    <row r="601" spans="1:29" ht="27" hidden="1" customHeight="1" x14ac:dyDescent="0.2">
      <c r="A601" s="117" t="s">
        <v>2529</v>
      </c>
      <c r="B601" s="118" t="e">
        <f t="shared" si="68"/>
        <v>#VALUE!</v>
      </c>
      <c r="C601" s="118" t="s">
        <v>612</v>
      </c>
      <c r="D601" s="113">
        <v>39463</v>
      </c>
      <c r="E601" s="87">
        <v>39569</v>
      </c>
      <c r="F601" s="84">
        <f t="shared" si="69"/>
        <v>43221</v>
      </c>
      <c r="G601" s="229">
        <v>960</v>
      </c>
      <c r="H601" s="71" t="s">
        <v>2473</v>
      </c>
      <c r="I601" s="71" t="s">
        <v>1147</v>
      </c>
      <c r="J601" s="72" t="s">
        <v>2341</v>
      </c>
      <c r="K601" s="55">
        <f t="shared" si="70"/>
        <v>2018</v>
      </c>
      <c r="L601" s="81"/>
      <c r="M601" s="81"/>
      <c r="N601" s="73"/>
      <c r="O601" s="73" t="s">
        <v>2523</v>
      </c>
      <c r="P601" s="74" t="s">
        <v>2530</v>
      </c>
      <c r="Q601" s="75" t="s">
        <v>2531</v>
      </c>
      <c r="R601" s="230">
        <v>3500</v>
      </c>
      <c r="S601" s="230">
        <v>3360</v>
      </c>
      <c r="T601" s="230">
        <v>6860</v>
      </c>
      <c r="U601" s="231">
        <v>1920</v>
      </c>
      <c r="V601" s="230"/>
      <c r="W601" s="230"/>
      <c r="X601" s="231"/>
      <c r="Y601" s="85">
        <v>0.25</v>
      </c>
      <c r="Z601" s="85"/>
      <c r="AA601" s="76"/>
      <c r="AB601" s="77"/>
      <c r="AC601" s="78"/>
    </row>
    <row r="602" spans="1:29" ht="40" hidden="1" customHeight="1" x14ac:dyDescent="0.2">
      <c r="A602" s="117" t="s">
        <v>2532</v>
      </c>
      <c r="B602" s="118" t="e">
        <f t="shared" si="68"/>
        <v>#VALUE!</v>
      </c>
      <c r="C602" s="118" t="s">
        <v>612</v>
      </c>
      <c r="D602" s="113">
        <v>39463</v>
      </c>
      <c r="E602" s="87">
        <v>39569</v>
      </c>
      <c r="F602" s="84">
        <f t="shared" si="69"/>
        <v>43221</v>
      </c>
      <c r="G602" s="229">
        <v>1035.1199999999999</v>
      </c>
      <c r="H602" s="71" t="s">
        <v>2473</v>
      </c>
      <c r="I602" s="71" t="s">
        <v>1147</v>
      </c>
      <c r="J602" s="72" t="s">
        <v>2341</v>
      </c>
      <c r="K602" s="55">
        <f t="shared" si="70"/>
        <v>2018</v>
      </c>
      <c r="L602" s="81"/>
      <c r="M602" s="81"/>
      <c r="N602" s="73"/>
      <c r="O602" s="73" t="s">
        <v>2523</v>
      </c>
      <c r="P602" s="74" t="s">
        <v>2533</v>
      </c>
      <c r="Q602" s="75" t="s">
        <v>2534</v>
      </c>
      <c r="R602" s="230">
        <v>3766</v>
      </c>
      <c r="S602" s="230">
        <v>3108</v>
      </c>
      <c r="T602" s="230">
        <v>6874</v>
      </c>
      <c r="U602" s="231">
        <v>2072</v>
      </c>
      <c r="V602" s="230"/>
      <c r="W602" s="230"/>
      <c r="X602" s="231"/>
      <c r="Y602" s="85">
        <v>0.25</v>
      </c>
      <c r="Z602" s="85"/>
      <c r="AA602" s="76"/>
      <c r="AB602" s="77"/>
      <c r="AC602" s="78"/>
    </row>
    <row r="603" spans="1:29" ht="27" hidden="1" customHeight="1" x14ac:dyDescent="0.2">
      <c r="A603" s="117" t="s">
        <v>2535</v>
      </c>
      <c r="B603" s="118" t="e">
        <f t="shared" si="68"/>
        <v>#VALUE!</v>
      </c>
      <c r="C603" s="118" t="s">
        <v>612</v>
      </c>
      <c r="D603" s="113">
        <v>39463</v>
      </c>
      <c r="E603" s="87">
        <v>39569</v>
      </c>
      <c r="F603" s="84">
        <f t="shared" si="69"/>
        <v>43221</v>
      </c>
      <c r="G603" s="229">
        <v>480</v>
      </c>
      <c r="H603" s="71" t="s">
        <v>2473</v>
      </c>
      <c r="I603" s="71" t="s">
        <v>1147</v>
      </c>
      <c r="J603" s="72" t="s">
        <v>2341</v>
      </c>
      <c r="K603" s="55">
        <f t="shared" si="70"/>
        <v>2018</v>
      </c>
      <c r="L603" s="81"/>
      <c r="M603" s="81"/>
      <c r="N603" s="73"/>
      <c r="O603" s="73" t="s">
        <v>2523</v>
      </c>
      <c r="P603" s="74" t="s">
        <v>2536</v>
      </c>
      <c r="Q603" s="75" t="s">
        <v>2537</v>
      </c>
      <c r="R603" s="230">
        <v>1820</v>
      </c>
      <c r="S603" s="230">
        <v>2400</v>
      </c>
      <c r="T603" s="230">
        <v>4220</v>
      </c>
      <c r="U603" s="231">
        <v>960</v>
      </c>
      <c r="V603" s="230"/>
      <c r="W603" s="230"/>
      <c r="X603" s="231"/>
      <c r="Y603" s="85">
        <v>0.25</v>
      </c>
      <c r="Z603" s="85"/>
      <c r="AA603" s="76"/>
      <c r="AB603" s="77"/>
      <c r="AC603" s="78"/>
    </row>
    <row r="604" spans="1:29" ht="27" hidden="1" customHeight="1" x14ac:dyDescent="0.2">
      <c r="A604" s="117" t="s">
        <v>2538</v>
      </c>
      <c r="B604" s="118" t="e">
        <f t="shared" si="68"/>
        <v>#VALUE!</v>
      </c>
      <c r="C604" s="118" t="s">
        <v>612</v>
      </c>
      <c r="D604" s="113">
        <v>39463</v>
      </c>
      <c r="E604" s="87">
        <v>39569</v>
      </c>
      <c r="F604" s="84">
        <f t="shared" si="69"/>
        <v>43221</v>
      </c>
      <c r="G604" s="229">
        <v>1840</v>
      </c>
      <c r="H604" s="71" t="s">
        <v>2473</v>
      </c>
      <c r="I604" s="71" t="s">
        <v>1147</v>
      </c>
      <c r="J604" s="72" t="s">
        <v>2341</v>
      </c>
      <c r="K604" s="55">
        <f t="shared" si="70"/>
        <v>2018</v>
      </c>
      <c r="L604" s="81"/>
      <c r="M604" s="81"/>
      <c r="N604" s="73"/>
      <c r="O604" s="73" t="s">
        <v>2523</v>
      </c>
      <c r="P604" s="74" t="s">
        <v>2539</v>
      </c>
      <c r="Q604" s="75" t="s">
        <v>2540</v>
      </c>
      <c r="R604" s="230">
        <v>6580</v>
      </c>
      <c r="S604" s="230">
        <v>6440</v>
      </c>
      <c r="T604" s="230">
        <v>13020</v>
      </c>
      <c r="U604" s="231">
        <v>3680</v>
      </c>
      <c r="V604" s="230"/>
      <c r="W604" s="230"/>
      <c r="X604" s="231"/>
      <c r="Y604" s="85">
        <v>0.25</v>
      </c>
      <c r="Z604" s="85"/>
      <c r="AA604" s="76"/>
      <c r="AB604" s="77"/>
      <c r="AC604" s="78"/>
    </row>
    <row r="605" spans="1:29" ht="40" hidden="1" customHeight="1" x14ac:dyDescent="0.2">
      <c r="A605" s="117" t="s">
        <v>2541</v>
      </c>
      <c r="B605" s="118" t="e">
        <f t="shared" si="68"/>
        <v>#VALUE!</v>
      </c>
      <c r="C605" s="118" t="s">
        <v>612</v>
      </c>
      <c r="D605" s="113">
        <v>39463</v>
      </c>
      <c r="E605" s="87">
        <v>39569</v>
      </c>
      <c r="F605" s="84">
        <f t="shared" si="69"/>
        <v>43221</v>
      </c>
      <c r="G605" s="229">
        <v>1680</v>
      </c>
      <c r="H605" s="71" t="s">
        <v>2473</v>
      </c>
      <c r="I605" s="71" t="s">
        <v>1147</v>
      </c>
      <c r="J605" s="72" t="s">
        <v>2341</v>
      </c>
      <c r="K605" s="55">
        <f t="shared" si="70"/>
        <v>2018</v>
      </c>
      <c r="L605" s="81"/>
      <c r="M605" s="81"/>
      <c r="N605" s="73"/>
      <c r="O605" s="73" t="s">
        <v>2523</v>
      </c>
      <c r="P605" s="74" t="s">
        <v>2542</v>
      </c>
      <c r="Q605" s="75" t="s">
        <v>2543</v>
      </c>
      <c r="R605" s="230">
        <v>6020</v>
      </c>
      <c r="S605" s="230">
        <v>5880</v>
      </c>
      <c r="T605" s="230">
        <v>11900</v>
      </c>
      <c r="U605" s="231">
        <v>3360</v>
      </c>
      <c r="V605" s="230"/>
      <c r="W605" s="230"/>
      <c r="X605" s="231"/>
      <c r="Y605" s="85">
        <v>0.25</v>
      </c>
      <c r="Z605" s="85"/>
      <c r="AA605" s="76"/>
      <c r="AB605" s="77"/>
      <c r="AC605" s="78"/>
    </row>
    <row r="606" spans="1:29" ht="27" hidden="1" customHeight="1" x14ac:dyDescent="0.2">
      <c r="A606" s="117" t="s">
        <v>2544</v>
      </c>
      <c r="B606" s="118" t="e">
        <f t="shared" si="68"/>
        <v>#VALUE!</v>
      </c>
      <c r="C606" s="118" t="s">
        <v>612</v>
      </c>
      <c r="D606" s="113">
        <v>39463</v>
      </c>
      <c r="E606" s="87">
        <v>39569</v>
      </c>
      <c r="F606" s="84">
        <f t="shared" si="69"/>
        <v>43221</v>
      </c>
      <c r="G606" s="229">
        <v>1917.08</v>
      </c>
      <c r="H606" s="71" t="s">
        <v>2473</v>
      </c>
      <c r="I606" s="71" t="s">
        <v>1147</v>
      </c>
      <c r="J606" s="72" t="s">
        <v>2341</v>
      </c>
      <c r="K606" s="55">
        <f t="shared" si="70"/>
        <v>2018</v>
      </c>
      <c r="L606" s="81"/>
      <c r="M606" s="81"/>
      <c r="N606" s="73"/>
      <c r="O606" s="73" t="s">
        <v>2523</v>
      </c>
      <c r="P606" s="74" t="s">
        <v>2545</v>
      </c>
      <c r="Q606" s="75" t="s">
        <v>2546</v>
      </c>
      <c r="R606" s="230">
        <v>6853</v>
      </c>
      <c r="S606" s="230">
        <v>6713</v>
      </c>
      <c r="T606" s="230">
        <v>13566</v>
      </c>
      <c r="U606" s="231">
        <v>3836</v>
      </c>
      <c r="V606" s="230"/>
      <c r="W606" s="230"/>
      <c r="X606" s="231"/>
      <c r="Y606" s="85">
        <v>0.25</v>
      </c>
      <c r="Z606" s="85"/>
      <c r="AA606" s="76"/>
      <c r="AB606" s="77"/>
      <c r="AC606" s="78"/>
    </row>
    <row r="607" spans="1:29" ht="40" hidden="1" customHeight="1" x14ac:dyDescent="0.2">
      <c r="A607" s="117" t="s">
        <v>2547</v>
      </c>
      <c r="B607" s="118" t="e">
        <f t="shared" si="68"/>
        <v>#VALUE!</v>
      </c>
      <c r="C607" s="118" t="s">
        <v>612</v>
      </c>
      <c r="D607" s="113">
        <v>39463</v>
      </c>
      <c r="E607" s="87">
        <v>39569</v>
      </c>
      <c r="F607" s="84">
        <f t="shared" si="69"/>
        <v>43221</v>
      </c>
      <c r="G607" s="229">
        <v>560</v>
      </c>
      <c r="H607" s="71" t="s">
        <v>2473</v>
      </c>
      <c r="I607" s="71" t="s">
        <v>1147</v>
      </c>
      <c r="J607" s="72" t="s">
        <v>2341</v>
      </c>
      <c r="K607" s="55">
        <f t="shared" si="70"/>
        <v>2018</v>
      </c>
      <c r="L607" s="81"/>
      <c r="M607" s="81"/>
      <c r="N607" s="73"/>
      <c r="O607" s="73" t="s">
        <v>2548</v>
      </c>
      <c r="P607" s="74" t="s">
        <v>2549</v>
      </c>
      <c r="Q607" s="75" t="s">
        <v>2550</v>
      </c>
      <c r="R607" s="230">
        <v>2100</v>
      </c>
      <c r="S607" s="230">
        <v>840</v>
      </c>
      <c r="T607" s="230">
        <v>2940</v>
      </c>
      <c r="U607" s="231">
        <v>1120</v>
      </c>
      <c r="V607" s="230"/>
      <c r="W607" s="230"/>
      <c r="X607" s="231"/>
      <c r="Y607" s="85">
        <v>0.25</v>
      </c>
      <c r="Z607" s="85"/>
      <c r="AA607" s="76"/>
      <c r="AB607" s="77"/>
      <c r="AC607" s="78"/>
    </row>
    <row r="608" spans="1:29" ht="53" hidden="1" customHeight="1" x14ac:dyDescent="0.2">
      <c r="A608" s="117" t="s">
        <v>2551</v>
      </c>
      <c r="B608" s="118" t="e">
        <f t="shared" si="68"/>
        <v>#VALUE!</v>
      </c>
      <c r="C608" s="118" t="s">
        <v>612</v>
      </c>
      <c r="D608" s="113">
        <v>39463</v>
      </c>
      <c r="E608" s="87">
        <v>39569</v>
      </c>
      <c r="F608" s="84">
        <f t="shared" si="69"/>
        <v>43221</v>
      </c>
      <c r="G608" s="229">
        <v>1016.96</v>
      </c>
      <c r="H608" s="71" t="s">
        <v>2473</v>
      </c>
      <c r="I608" s="71" t="s">
        <v>1147</v>
      </c>
      <c r="J608" s="72" t="s">
        <v>2341</v>
      </c>
      <c r="K608" s="55">
        <f t="shared" si="70"/>
        <v>2018</v>
      </c>
      <c r="L608" s="81"/>
      <c r="M608" s="81"/>
      <c r="N608" s="73"/>
      <c r="O608" s="73" t="s">
        <v>2548</v>
      </c>
      <c r="P608" s="74" t="s">
        <v>2552</v>
      </c>
      <c r="Q608" s="75" t="s">
        <v>2553</v>
      </c>
      <c r="R608" s="230">
        <v>3699.5</v>
      </c>
      <c r="S608" s="230">
        <v>3559.5</v>
      </c>
      <c r="T608" s="230">
        <v>7259</v>
      </c>
      <c r="U608" s="231">
        <v>2034</v>
      </c>
      <c r="V608" s="230"/>
      <c r="W608" s="230"/>
      <c r="X608" s="231"/>
      <c r="Y608" s="85">
        <v>0.25</v>
      </c>
      <c r="Z608" s="85"/>
      <c r="AA608" s="76"/>
      <c r="AB608" s="77"/>
      <c r="AC608" s="78"/>
    </row>
    <row r="609" spans="1:29" hidden="1" x14ac:dyDescent="0.2">
      <c r="A609" s="117" t="s">
        <v>2554</v>
      </c>
      <c r="B609" s="118" t="e">
        <f t="shared" si="68"/>
        <v>#VALUE!</v>
      </c>
      <c r="C609" s="118" t="s">
        <v>612</v>
      </c>
      <c r="D609" s="113">
        <v>39463</v>
      </c>
      <c r="E609" s="87">
        <v>39569</v>
      </c>
      <c r="F609" s="84">
        <f t="shared" si="69"/>
        <v>43221</v>
      </c>
      <c r="G609" s="229">
        <v>1057.3699999999999</v>
      </c>
      <c r="H609" s="71" t="s">
        <v>2473</v>
      </c>
      <c r="I609" s="71" t="s">
        <v>1147</v>
      </c>
      <c r="J609" s="79"/>
      <c r="K609" s="55">
        <f t="shared" si="70"/>
        <v>2018</v>
      </c>
      <c r="L609" s="80"/>
      <c r="M609" s="80"/>
      <c r="N609" s="73"/>
      <c r="O609" s="73" t="s">
        <v>2548</v>
      </c>
      <c r="P609" s="74" t="s">
        <v>2514</v>
      </c>
      <c r="Q609" s="75" t="s">
        <v>2555</v>
      </c>
      <c r="R609" s="230">
        <v>3843</v>
      </c>
      <c r="S609" s="230">
        <v>5819</v>
      </c>
      <c r="T609" s="230">
        <v>9662</v>
      </c>
      <c r="U609" s="231">
        <v>2116</v>
      </c>
      <c r="V609" s="230"/>
      <c r="W609" s="230"/>
      <c r="X609" s="231"/>
      <c r="Y609" s="85">
        <v>0.25</v>
      </c>
      <c r="Z609" s="85"/>
      <c r="AA609" s="76"/>
      <c r="AB609" s="77"/>
      <c r="AC609" s="78"/>
    </row>
    <row r="610" spans="1:29" hidden="1" x14ac:dyDescent="0.2">
      <c r="A610" s="117" t="s">
        <v>2556</v>
      </c>
      <c r="B610" s="118" t="e">
        <f t="shared" si="68"/>
        <v>#VALUE!</v>
      </c>
      <c r="C610" s="118" t="s">
        <v>612</v>
      </c>
      <c r="D610" s="113">
        <v>39463</v>
      </c>
      <c r="E610" s="87">
        <v>39569</v>
      </c>
      <c r="F610" s="84">
        <f t="shared" si="69"/>
        <v>43221</v>
      </c>
      <c r="G610" s="229">
        <v>360</v>
      </c>
      <c r="H610" s="71" t="s">
        <v>2473</v>
      </c>
      <c r="I610" s="71" t="s">
        <v>1147</v>
      </c>
      <c r="J610" s="79"/>
      <c r="K610" s="55">
        <f t="shared" si="70"/>
        <v>2018</v>
      </c>
      <c r="L610" s="80"/>
      <c r="M610" s="80"/>
      <c r="N610" s="73"/>
      <c r="O610" s="73" t="s">
        <v>2548</v>
      </c>
      <c r="P610" s="74" t="s">
        <v>2557</v>
      </c>
      <c r="Q610" s="75" t="s">
        <v>2558</v>
      </c>
      <c r="R610" s="230">
        <v>1400</v>
      </c>
      <c r="S610" s="230">
        <v>540</v>
      </c>
      <c r="T610" s="230">
        <v>1940</v>
      </c>
      <c r="U610" s="231">
        <v>720</v>
      </c>
      <c r="V610" s="230"/>
      <c r="W610" s="230"/>
      <c r="X610" s="231"/>
      <c r="Y610" s="85">
        <v>0.25</v>
      </c>
      <c r="Z610" s="85"/>
      <c r="AA610" s="76"/>
      <c r="AB610" s="77"/>
      <c r="AC610" s="78"/>
    </row>
    <row r="611" spans="1:29" ht="53" hidden="1" customHeight="1" x14ac:dyDescent="0.2">
      <c r="A611" s="117" t="s">
        <v>2559</v>
      </c>
      <c r="B611" s="118" t="e">
        <f t="shared" si="68"/>
        <v>#VALUE!</v>
      </c>
      <c r="C611" s="118" t="s">
        <v>612</v>
      </c>
      <c r="D611" s="113">
        <v>39463</v>
      </c>
      <c r="E611" s="87">
        <v>39569</v>
      </c>
      <c r="F611" s="84">
        <f t="shared" si="69"/>
        <v>43221</v>
      </c>
      <c r="G611" s="229">
        <v>1120</v>
      </c>
      <c r="H611" s="71" t="s">
        <v>2473</v>
      </c>
      <c r="I611" s="71" t="s">
        <v>1147</v>
      </c>
      <c r="J611" s="79"/>
      <c r="K611" s="55">
        <f t="shared" si="70"/>
        <v>2018</v>
      </c>
      <c r="L611" s="80"/>
      <c r="M611" s="80"/>
      <c r="N611" s="73"/>
      <c r="O611" s="73" t="s">
        <v>2560</v>
      </c>
      <c r="P611" s="74" t="s">
        <v>2561</v>
      </c>
      <c r="Q611" s="75" t="s">
        <v>2562</v>
      </c>
      <c r="R611" s="230">
        <v>4060</v>
      </c>
      <c r="S611" s="230">
        <v>12880</v>
      </c>
      <c r="T611" s="230">
        <v>16940</v>
      </c>
      <c r="U611" s="231">
        <v>2240</v>
      </c>
      <c r="V611" s="230"/>
      <c r="W611" s="230"/>
      <c r="X611" s="231"/>
      <c r="Y611" s="85">
        <v>0.25</v>
      </c>
      <c r="Z611" s="85"/>
      <c r="AA611" s="76"/>
      <c r="AB611" s="77"/>
      <c r="AC611" s="78"/>
    </row>
    <row r="612" spans="1:29" hidden="1" x14ac:dyDescent="0.2">
      <c r="A612" s="117" t="s">
        <v>2563</v>
      </c>
      <c r="B612" s="118" t="e">
        <f t="shared" si="68"/>
        <v>#VALUE!</v>
      </c>
      <c r="C612" s="118" t="s">
        <v>612</v>
      </c>
      <c r="D612" s="113">
        <v>39463</v>
      </c>
      <c r="E612" s="87">
        <v>39569</v>
      </c>
      <c r="F612" s="84">
        <f t="shared" si="69"/>
        <v>43221</v>
      </c>
      <c r="G612" s="229">
        <v>2025.18</v>
      </c>
      <c r="H612" s="71" t="s">
        <v>2473</v>
      </c>
      <c r="I612" s="71" t="s">
        <v>1147</v>
      </c>
      <c r="J612" s="79"/>
      <c r="K612" s="55">
        <f t="shared" si="70"/>
        <v>2018</v>
      </c>
      <c r="L612" s="80"/>
      <c r="M612" s="80"/>
      <c r="N612" s="73"/>
      <c r="O612" s="73" t="s">
        <v>2560</v>
      </c>
      <c r="P612" s="74" t="s">
        <v>2517</v>
      </c>
      <c r="Q612" s="75" t="s">
        <v>2564</v>
      </c>
      <c r="R612" s="230">
        <v>7231</v>
      </c>
      <c r="S612" s="230">
        <v>23299</v>
      </c>
      <c r="T612" s="230">
        <v>30530</v>
      </c>
      <c r="U612" s="231">
        <v>4052</v>
      </c>
      <c r="V612" s="230"/>
      <c r="W612" s="230"/>
      <c r="X612" s="231"/>
      <c r="Y612" s="85">
        <v>0.25</v>
      </c>
      <c r="Z612" s="85"/>
      <c r="AA612" s="76"/>
      <c r="AB612" s="77"/>
      <c r="AC612" s="78"/>
    </row>
    <row r="613" spans="1:29" ht="27" hidden="1" customHeight="1" x14ac:dyDescent="0.2">
      <c r="A613" s="117" t="s">
        <v>2565</v>
      </c>
      <c r="B613" s="118" t="e">
        <f t="shared" si="68"/>
        <v>#VALUE!</v>
      </c>
      <c r="C613" s="118" t="s">
        <v>612</v>
      </c>
      <c r="D613" s="113">
        <v>39463</v>
      </c>
      <c r="E613" s="86">
        <v>39508</v>
      </c>
      <c r="F613" s="84">
        <f t="shared" si="69"/>
        <v>43160</v>
      </c>
      <c r="G613" s="229">
        <v>400</v>
      </c>
      <c r="H613" s="71" t="s">
        <v>2473</v>
      </c>
      <c r="I613" s="71" t="s">
        <v>1147</v>
      </c>
      <c r="J613" s="79"/>
      <c r="K613" s="55">
        <f t="shared" si="70"/>
        <v>2018</v>
      </c>
      <c r="L613" s="80"/>
      <c r="M613" s="80"/>
      <c r="N613" s="73"/>
      <c r="O613" s="73" t="s">
        <v>2566</v>
      </c>
      <c r="P613" s="74" t="s">
        <v>2567</v>
      </c>
      <c r="Q613" s="75" t="s">
        <v>2568</v>
      </c>
      <c r="R613" s="230">
        <v>1540</v>
      </c>
      <c r="S613" s="230">
        <v>12000</v>
      </c>
      <c r="T613" s="230">
        <v>13540</v>
      </c>
      <c r="U613" s="231">
        <v>800</v>
      </c>
      <c r="V613" s="230"/>
      <c r="W613" s="230"/>
      <c r="X613" s="231"/>
      <c r="Y613" s="85">
        <v>0.25</v>
      </c>
      <c r="Z613" s="85"/>
      <c r="AA613" s="76"/>
      <c r="AB613" s="77"/>
      <c r="AC613" s="78"/>
    </row>
    <row r="614" spans="1:29" ht="40" hidden="1" customHeight="1" x14ac:dyDescent="0.2">
      <c r="A614" s="117" t="s">
        <v>2569</v>
      </c>
      <c r="B614" s="118" t="e">
        <f t="shared" ref="B614:B643" si="71">IF(COUNTIF(GIS,A614),"YES","NO")</f>
        <v>#VALUE!</v>
      </c>
      <c r="C614" s="118" t="s">
        <v>612</v>
      </c>
      <c r="D614" s="113">
        <v>39463</v>
      </c>
      <c r="E614" s="86">
        <v>39508</v>
      </c>
      <c r="F614" s="84">
        <f t="shared" ref="F614:F643" si="72">DATE(YEAR(E614)+10,MONTH(E614),DAY(E614))</f>
        <v>43160</v>
      </c>
      <c r="G614" s="229">
        <v>868.12</v>
      </c>
      <c r="H614" s="71" t="s">
        <v>2473</v>
      </c>
      <c r="I614" s="71" t="s">
        <v>1147</v>
      </c>
      <c r="J614" s="79"/>
      <c r="K614" s="55">
        <f t="shared" ref="K614:K643" si="73">YEAR(F614)</f>
        <v>2018</v>
      </c>
      <c r="L614" s="80"/>
      <c r="M614" s="80"/>
      <c r="N614" s="73"/>
      <c r="O614" s="73" t="s">
        <v>2566</v>
      </c>
      <c r="P614" s="74" t="s">
        <v>2570</v>
      </c>
      <c r="Q614" s="75" t="s">
        <v>2571</v>
      </c>
      <c r="R614" s="230">
        <v>3181.5</v>
      </c>
      <c r="S614" s="230">
        <v>16511</v>
      </c>
      <c r="T614" s="230">
        <v>19692.5</v>
      </c>
      <c r="U614" s="231">
        <v>1738</v>
      </c>
      <c r="V614" s="230"/>
      <c r="W614" s="230"/>
      <c r="X614" s="231"/>
      <c r="Y614" s="85">
        <v>0.25</v>
      </c>
      <c r="Z614" s="85"/>
      <c r="AA614" s="76"/>
      <c r="AB614" s="77"/>
      <c r="AC614" s="78"/>
    </row>
    <row r="615" spans="1:29" ht="40" hidden="1" customHeight="1" x14ac:dyDescent="0.2">
      <c r="A615" s="117" t="s">
        <v>2572</v>
      </c>
      <c r="B615" s="118" t="e">
        <f t="shared" si="71"/>
        <v>#VALUE!</v>
      </c>
      <c r="C615" s="118" t="s">
        <v>612</v>
      </c>
      <c r="D615" s="113">
        <v>39463</v>
      </c>
      <c r="E615" s="86">
        <v>39508</v>
      </c>
      <c r="F615" s="84">
        <f t="shared" si="72"/>
        <v>43160</v>
      </c>
      <c r="G615" s="229">
        <v>547.96</v>
      </c>
      <c r="H615" s="71" t="s">
        <v>2473</v>
      </c>
      <c r="I615" s="71" t="s">
        <v>1147</v>
      </c>
      <c r="J615" s="79"/>
      <c r="K615" s="55">
        <f t="shared" si="73"/>
        <v>2018</v>
      </c>
      <c r="L615" s="80"/>
      <c r="M615" s="80"/>
      <c r="N615" s="73"/>
      <c r="O615" s="73" t="s">
        <v>2573</v>
      </c>
      <c r="P615" s="74" t="s">
        <v>2574</v>
      </c>
      <c r="Q615" s="75" t="s">
        <v>2575</v>
      </c>
      <c r="R615" s="230">
        <v>2058</v>
      </c>
      <c r="S615" s="230">
        <v>12604</v>
      </c>
      <c r="T615" s="230">
        <v>14662</v>
      </c>
      <c r="U615" s="231">
        <v>1096</v>
      </c>
      <c r="V615" s="230"/>
      <c r="W615" s="230"/>
      <c r="X615" s="231"/>
      <c r="Y615" s="85">
        <v>0.25</v>
      </c>
      <c r="Z615" s="85"/>
      <c r="AA615" s="76"/>
      <c r="AB615" s="77"/>
      <c r="AC615" s="78"/>
    </row>
    <row r="616" spans="1:29" hidden="1" x14ac:dyDescent="0.2">
      <c r="A616" s="117" t="s">
        <v>2576</v>
      </c>
      <c r="B616" s="118" t="e">
        <f t="shared" si="71"/>
        <v>#VALUE!</v>
      </c>
      <c r="C616" s="118" t="s">
        <v>612</v>
      </c>
      <c r="D616" s="113">
        <v>39463</v>
      </c>
      <c r="E616" s="86">
        <v>39508</v>
      </c>
      <c r="F616" s="84">
        <f t="shared" si="72"/>
        <v>43160</v>
      </c>
      <c r="G616" s="229">
        <v>48.18</v>
      </c>
      <c r="H616" s="71" t="s">
        <v>2473</v>
      </c>
      <c r="I616" s="71" t="s">
        <v>1147</v>
      </c>
      <c r="J616" s="79"/>
      <c r="K616" s="55">
        <f t="shared" si="73"/>
        <v>2018</v>
      </c>
      <c r="L616" s="80"/>
      <c r="M616" s="80"/>
      <c r="N616" s="73"/>
      <c r="O616" s="73" t="s">
        <v>2573</v>
      </c>
      <c r="P616" s="74" t="s">
        <v>2577</v>
      </c>
      <c r="Q616" s="75" t="s">
        <v>2578</v>
      </c>
      <c r="R616" s="230">
        <v>311.5</v>
      </c>
      <c r="S616" s="230">
        <v>1127</v>
      </c>
      <c r="T616" s="230">
        <v>1438.5</v>
      </c>
      <c r="U616" s="231">
        <v>98</v>
      </c>
      <c r="V616" s="230"/>
      <c r="W616" s="230"/>
      <c r="X616" s="231"/>
      <c r="Y616" s="85">
        <v>0.25</v>
      </c>
      <c r="Z616" s="85"/>
      <c r="AA616" s="76"/>
      <c r="AB616" s="77"/>
      <c r="AC616" s="78"/>
    </row>
    <row r="617" spans="1:29" ht="27" hidden="1" customHeight="1" x14ac:dyDescent="0.2">
      <c r="A617" s="117" t="s">
        <v>2579</v>
      </c>
      <c r="B617" s="118" t="e">
        <f t="shared" si="71"/>
        <v>#VALUE!</v>
      </c>
      <c r="C617" s="118" t="s">
        <v>612</v>
      </c>
      <c r="D617" s="113">
        <v>39463</v>
      </c>
      <c r="E617" s="87">
        <v>39569</v>
      </c>
      <c r="F617" s="84">
        <f t="shared" si="72"/>
        <v>43221</v>
      </c>
      <c r="G617" s="229">
        <v>640</v>
      </c>
      <c r="H617" s="71" t="s">
        <v>1540</v>
      </c>
      <c r="I617" s="71" t="s">
        <v>1147</v>
      </c>
      <c r="J617" s="238" t="s">
        <v>2580</v>
      </c>
      <c r="K617" s="55">
        <f t="shared" si="73"/>
        <v>2018</v>
      </c>
      <c r="L617" s="239"/>
      <c r="M617" s="239"/>
      <c r="N617" s="73"/>
      <c r="O617" s="73" t="s">
        <v>2581</v>
      </c>
      <c r="P617" s="74" t="s">
        <v>2582</v>
      </c>
      <c r="Q617" s="75" t="s">
        <v>2583</v>
      </c>
      <c r="R617" s="230">
        <v>2380</v>
      </c>
      <c r="S617" s="230">
        <v>143040</v>
      </c>
      <c r="T617" s="230">
        <v>145420</v>
      </c>
      <c r="U617" s="231">
        <v>1280</v>
      </c>
      <c r="V617" s="230"/>
      <c r="W617" s="230"/>
      <c r="X617" s="231"/>
      <c r="Y617" s="85">
        <v>0.25</v>
      </c>
      <c r="Z617" s="85"/>
      <c r="AA617" s="76"/>
      <c r="AB617" s="77" t="s">
        <v>1545</v>
      </c>
      <c r="AC617" s="78" t="s">
        <v>2584</v>
      </c>
    </row>
    <row r="618" spans="1:29" hidden="1" x14ac:dyDescent="0.2">
      <c r="A618" s="117" t="s">
        <v>2585</v>
      </c>
      <c r="B618" s="118" t="e">
        <f t="shared" si="71"/>
        <v>#VALUE!</v>
      </c>
      <c r="C618" s="118" t="s">
        <v>612</v>
      </c>
      <c r="D618" s="113">
        <v>39463</v>
      </c>
      <c r="E618" s="87">
        <v>39569</v>
      </c>
      <c r="F618" s="84">
        <f t="shared" si="72"/>
        <v>43221</v>
      </c>
      <c r="G618" s="229">
        <v>625.98</v>
      </c>
      <c r="H618" s="71" t="s">
        <v>2586</v>
      </c>
      <c r="I618" s="71" t="s">
        <v>1147</v>
      </c>
      <c r="J618" s="79"/>
      <c r="K618" s="55">
        <f t="shared" si="73"/>
        <v>2018</v>
      </c>
      <c r="L618" s="80"/>
      <c r="M618" s="80"/>
      <c r="N618" s="73"/>
      <c r="O618" s="73" t="s">
        <v>2587</v>
      </c>
      <c r="P618" s="74" t="s">
        <v>2588</v>
      </c>
      <c r="Q618" s="75" t="s">
        <v>2589</v>
      </c>
      <c r="R618" s="230">
        <v>2331</v>
      </c>
      <c r="S618" s="230">
        <v>313</v>
      </c>
      <c r="T618" s="230">
        <v>2644</v>
      </c>
      <c r="U618" s="231">
        <v>1252</v>
      </c>
      <c r="V618" s="230"/>
      <c r="W618" s="230"/>
      <c r="X618" s="231"/>
      <c r="Y618" s="85">
        <v>0.25</v>
      </c>
      <c r="Z618" s="85"/>
      <c r="AA618" s="76"/>
      <c r="AB618" s="77"/>
      <c r="AC618" s="78"/>
    </row>
    <row r="619" spans="1:29" ht="40" hidden="1" customHeight="1" x14ac:dyDescent="0.2">
      <c r="A619" s="117" t="s">
        <v>2590</v>
      </c>
      <c r="B619" s="118" t="e">
        <f t="shared" si="71"/>
        <v>#VALUE!</v>
      </c>
      <c r="C619" s="118" t="s">
        <v>612</v>
      </c>
      <c r="D619" s="113">
        <v>39463</v>
      </c>
      <c r="E619" s="87">
        <v>39569</v>
      </c>
      <c r="F619" s="84">
        <f t="shared" si="72"/>
        <v>43221</v>
      </c>
      <c r="G619" s="229">
        <v>2547.62</v>
      </c>
      <c r="H619" s="71" t="s">
        <v>2586</v>
      </c>
      <c r="I619" s="71" t="s">
        <v>1147</v>
      </c>
      <c r="J619" s="79"/>
      <c r="K619" s="55">
        <f t="shared" si="73"/>
        <v>2018</v>
      </c>
      <c r="L619" s="80"/>
      <c r="M619" s="80"/>
      <c r="N619" s="73"/>
      <c r="O619" s="73" t="s">
        <v>2591</v>
      </c>
      <c r="P619" s="74" t="s">
        <v>2592</v>
      </c>
      <c r="Q619" s="75" t="s">
        <v>2593</v>
      </c>
      <c r="R619" s="230">
        <v>9058</v>
      </c>
      <c r="S619" s="230">
        <v>1274</v>
      </c>
      <c r="T619" s="230">
        <v>10332</v>
      </c>
      <c r="U619" s="231">
        <v>5096</v>
      </c>
      <c r="V619" s="230"/>
      <c r="W619" s="230"/>
      <c r="X619" s="231"/>
      <c r="Y619" s="85">
        <v>0.25</v>
      </c>
      <c r="Z619" s="85"/>
      <c r="AA619" s="76"/>
      <c r="AB619" s="77"/>
      <c r="AC619" s="78"/>
    </row>
    <row r="620" spans="1:29" hidden="1" x14ac:dyDescent="0.2">
      <c r="A620" s="117" t="s">
        <v>2594</v>
      </c>
      <c r="B620" s="118" t="e">
        <f t="shared" si="71"/>
        <v>#VALUE!</v>
      </c>
      <c r="C620" s="118" t="s">
        <v>612</v>
      </c>
      <c r="D620" s="113">
        <v>39463</v>
      </c>
      <c r="E620" s="87">
        <v>39569</v>
      </c>
      <c r="F620" s="84">
        <f t="shared" si="72"/>
        <v>43221</v>
      </c>
      <c r="G620" s="229">
        <v>960</v>
      </c>
      <c r="H620" s="71" t="s">
        <v>2586</v>
      </c>
      <c r="I620" s="71" t="s">
        <v>1147</v>
      </c>
      <c r="J620" s="79"/>
      <c r="K620" s="55">
        <f t="shared" si="73"/>
        <v>2018</v>
      </c>
      <c r="L620" s="80"/>
      <c r="M620" s="80"/>
      <c r="N620" s="73"/>
      <c r="O620" s="73" t="s">
        <v>2591</v>
      </c>
      <c r="P620" s="74" t="s">
        <v>2595</v>
      </c>
      <c r="Q620" s="75" t="s">
        <v>2596</v>
      </c>
      <c r="R620" s="230">
        <v>3500</v>
      </c>
      <c r="S620" s="230">
        <v>480</v>
      </c>
      <c r="T620" s="230">
        <v>3980</v>
      </c>
      <c r="U620" s="231">
        <v>1920</v>
      </c>
      <c r="V620" s="230"/>
      <c r="W620" s="230"/>
      <c r="X620" s="231"/>
      <c r="Y620" s="85">
        <v>0.25</v>
      </c>
      <c r="Z620" s="85"/>
      <c r="AA620" s="76"/>
      <c r="AB620" s="77"/>
      <c r="AC620" s="78"/>
    </row>
    <row r="621" spans="1:29" ht="27" hidden="1" customHeight="1" x14ac:dyDescent="0.2">
      <c r="A621" s="117" t="s">
        <v>2597</v>
      </c>
      <c r="B621" s="118" t="e">
        <f t="shared" si="71"/>
        <v>#VALUE!</v>
      </c>
      <c r="C621" s="118" t="s">
        <v>612</v>
      </c>
      <c r="D621" s="113">
        <v>39463</v>
      </c>
      <c r="E621" s="87">
        <v>39569</v>
      </c>
      <c r="F621" s="84">
        <f t="shared" si="72"/>
        <v>43221</v>
      </c>
      <c r="G621" s="229">
        <v>1920</v>
      </c>
      <c r="H621" s="71" t="s">
        <v>2586</v>
      </c>
      <c r="I621" s="71" t="s">
        <v>1147</v>
      </c>
      <c r="J621" s="79"/>
      <c r="K621" s="55">
        <f t="shared" si="73"/>
        <v>2018</v>
      </c>
      <c r="L621" s="80"/>
      <c r="M621" s="80"/>
      <c r="N621" s="73"/>
      <c r="O621" s="73" t="s">
        <v>2591</v>
      </c>
      <c r="P621" s="74" t="s">
        <v>2598</v>
      </c>
      <c r="Q621" s="75" t="s">
        <v>2599</v>
      </c>
      <c r="R621" s="230">
        <v>6860</v>
      </c>
      <c r="S621" s="230">
        <v>960</v>
      </c>
      <c r="T621" s="230">
        <v>7820</v>
      </c>
      <c r="U621" s="231">
        <v>3840</v>
      </c>
      <c r="V621" s="230"/>
      <c r="W621" s="230"/>
      <c r="X621" s="231"/>
      <c r="Y621" s="85">
        <v>0.25</v>
      </c>
      <c r="Z621" s="85"/>
      <c r="AA621" s="76"/>
      <c r="AB621" s="77"/>
      <c r="AC621" s="78"/>
    </row>
    <row r="622" spans="1:29" ht="27" hidden="1" customHeight="1" x14ac:dyDescent="0.2">
      <c r="A622" s="117" t="s">
        <v>2600</v>
      </c>
      <c r="B622" s="118" t="e">
        <f t="shared" si="71"/>
        <v>#VALUE!</v>
      </c>
      <c r="C622" s="118" t="s">
        <v>612</v>
      </c>
      <c r="D622" s="113">
        <v>39463</v>
      </c>
      <c r="E622" s="87">
        <v>39569</v>
      </c>
      <c r="F622" s="84">
        <f t="shared" si="72"/>
        <v>43221</v>
      </c>
      <c r="G622" s="229">
        <v>654.70000000000005</v>
      </c>
      <c r="H622" s="71" t="s">
        <v>2586</v>
      </c>
      <c r="I622" s="71" t="s">
        <v>1147</v>
      </c>
      <c r="J622" s="79"/>
      <c r="K622" s="55">
        <f t="shared" si="73"/>
        <v>2018</v>
      </c>
      <c r="L622" s="80"/>
      <c r="M622" s="80"/>
      <c r="N622" s="73"/>
      <c r="O622" s="73" t="s">
        <v>2601</v>
      </c>
      <c r="P622" s="74" t="s">
        <v>2602</v>
      </c>
      <c r="Q622" s="75" t="s">
        <v>2603</v>
      </c>
      <c r="R622" s="230">
        <v>2432.5</v>
      </c>
      <c r="S622" s="230">
        <v>327.5</v>
      </c>
      <c r="T622" s="230">
        <v>2760</v>
      </c>
      <c r="U622" s="231">
        <v>1310</v>
      </c>
      <c r="V622" s="230"/>
      <c r="W622" s="230"/>
      <c r="X622" s="231"/>
      <c r="Y622" s="85">
        <v>0.25</v>
      </c>
      <c r="Z622" s="85"/>
      <c r="AA622" s="76"/>
      <c r="AB622" s="77"/>
      <c r="AC622" s="78"/>
    </row>
    <row r="623" spans="1:29" ht="27" hidden="1" customHeight="1" x14ac:dyDescent="0.2">
      <c r="A623" s="117" t="s">
        <v>2604</v>
      </c>
      <c r="B623" s="118" t="e">
        <f t="shared" si="71"/>
        <v>#VALUE!</v>
      </c>
      <c r="C623" s="118" t="s">
        <v>612</v>
      </c>
      <c r="D623" s="113">
        <v>39463</v>
      </c>
      <c r="E623" s="87">
        <v>39569</v>
      </c>
      <c r="F623" s="84">
        <f t="shared" si="72"/>
        <v>43221</v>
      </c>
      <c r="G623" s="229">
        <v>1913.76</v>
      </c>
      <c r="H623" s="71" t="s">
        <v>2586</v>
      </c>
      <c r="I623" s="71" t="s">
        <v>1147</v>
      </c>
      <c r="J623" s="79"/>
      <c r="K623" s="55">
        <f t="shared" si="73"/>
        <v>2018</v>
      </c>
      <c r="L623" s="80"/>
      <c r="M623" s="80"/>
      <c r="N623" s="73"/>
      <c r="O623" s="73" t="s">
        <v>2601</v>
      </c>
      <c r="P623" s="74" t="s">
        <v>2605</v>
      </c>
      <c r="Q623" s="75" t="s">
        <v>2606</v>
      </c>
      <c r="R623" s="230">
        <v>6839</v>
      </c>
      <c r="S623" s="230">
        <v>957</v>
      </c>
      <c r="T623" s="230">
        <v>7796</v>
      </c>
      <c r="U623" s="231">
        <v>3828</v>
      </c>
      <c r="V623" s="230"/>
      <c r="W623" s="230"/>
      <c r="X623" s="231"/>
      <c r="Y623" s="85">
        <v>0.25</v>
      </c>
      <c r="Z623" s="85"/>
      <c r="AA623" s="76"/>
      <c r="AB623" s="77"/>
      <c r="AC623" s="78"/>
    </row>
    <row r="624" spans="1:29" ht="27" hidden="1" customHeight="1" x14ac:dyDescent="0.2">
      <c r="A624" s="117" t="s">
        <v>2607</v>
      </c>
      <c r="B624" s="118" t="e">
        <f t="shared" si="71"/>
        <v>#VALUE!</v>
      </c>
      <c r="C624" s="118" t="s">
        <v>612</v>
      </c>
      <c r="D624" s="113">
        <v>39463</v>
      </c>
      <c r="E624" s="87">
        <v>39569</v>
      </c>
      <c r="F624" s="84">
        <f t="shared" si="72"/>
        <v>43221</v>
      </c>
      <c r="G624" s="229">
        <v>647.09</v>
      </c>
      <c r="H624" s="71" t="s">
        <v>2586</v>
      </c>
      <c r="I624" s="71" t="s">
        <v>1147</v>
      </c>
      <c r="J624" s="79"/>
      <c r="K624" s="55">
        <f t="shared" si="73"/>
        <v>2018</v>
      </c>
      <c r="L624" s="80"/>
      <c r="M624" s="80"/>
      <c r="N624" s="73"/>
      <c r="O624" s="73" t="s">
        <v>2601</v>
      </c>
      <c r="P624" s="74" t="s">
        <v>2608</v>
      </c>
      <c r="Q624" s="75" t="s">
        <v>2609</v>
      </c>
      <c r="R624" s="230">
        <v>2408</v>
      </c>
      <c r="S624" s="230">
        <v>324</v>
      </c>
      <c r="T624" s="230">
        <v>2732</v>
      </c>
      <c r="U624" s="231">
        <v>1296</v>
      </c>
      <c r="V624" s="230"/>
      <c r="W624" s="230"/>
      <c r="X624" s="231"/>
      <c r="Y624" s="85">
        <v>0.25</v>
      </c>
      <c r="Z624" s="85"/>
      <c r="AA624" s="76"/>
      <c r="AB624" s="77"/>
      <c r="AC624" s="78"/>
    </row>
    <row r="625" spans="1:29" ht="27" hidden="1" customHeight="1" x14ac:dyDescent="0.2">
      <c r="A625" s="117" t="s">
        <v>2610</v>
      </c>
      <c r="B625" s="118" t="e">
        <f t="shared" si="71"/>
        <v>#VALUE!</v>
      </c>
      <c r="C625" s="118" t="s">
        <v>612</v>
      </c>
      <c r="D625" s="113">
        <v>39463</v>
      </c>
      <c r="E625" s="87">
        <v>39569</v>
      </c>
      <c r="F625" s="84">
        <f t="shared" si="72"/>
        <v>43221</v>
      </c>
      <c r="G625" s="229">
        <v>2068.48</v>
      </c>
      <c r="H625" s="71" t="s">
        <v>2586</v>
      </c>
      <c r="I625" s="71" t="s">
        <v>1147</v>
      </c>
      <c r="J625" s="79"/>
      <c r="K625" s="55">
        <f t="shared" si="73"/>
        <v>2018</v>
      </c>
      <c r="L625" s="80"/>
      <c r="M625" s="80"/>
      <c r="N625" s="73"/>
      <c r="O625" s="73" t="s">
        <v>2611</v>
      </c>
      <c r="P625" s="74" t="s">
        <v>2612</v>
      </c>
      <c r="Q625" s="75" t="s">
        <v>2613</v>
      </c>
      <c r="R625" s="230">
        <v>7381.5</v>
      </c>
      <c r="S625" s="230">
        <v>1034.5</v>
      </c>
      <c r="T625" s="230">
        <v>8416</v>
      </c>
      <c r="U625" s="231">
        <v>4138</v>
      </c>
      <c r="V625" s="230"/>
      <c r="W625" s="230"/>
      <c r="X625" s="231"/>
      <c r="Y625" s="85">
        <v>0.25</v>
      </c>
      <c r="Z625" s="85"/>
      <c r="AA625" s="76"/>
      <c r="AB625" s="77"/>
      <c r="AC625" s="78"/>
    </row>
    <row r="626" spans="1:29" ht="27" hidden="1" customHeight="1" x14ac:dyDescent="0.2">
      <c r="A626" s="117" t="s">
        <v>2614</v>
      </c>
      <c r="B626" s="118" t="e">
        <f t="shared" si="71"/>
        <v>#VALUE!</v>
      </c>
      <c r="C626" s="118" t="s">
        <v>612</v>
      </c>
      <c r="D626" s="113">
        <v>39463</v>
      </c>
      <c r="E626" s="87">
        <v>39569</v>
      </c>
      <c r="F626" s="84">
        <f t="shared" si="72"/>
        <v>43221</v>
      </c>
      <c r="G626" s="229">
        <v>1920.64</v>
      </c>
      <c r="H626" s="71" t="s">
        <v>2586</v>
      </c>
      <c r="I626" s="71" t="s">
        <v>1147</v>
      </c>
      <c r="J626" s="79"/>
      <c r="K626" s="55">
        <f t="shared" si="73"/>
        <v>2018</v>
      </c>
      <c r="L626" s="80"/>
      <c r="M626" s="80"/>
      <c r="N626" s="73"/>
      <c r="O626" s="73" t="s">
        <v>2615</v>
      </c>
      <c r="P626" s="74" t="s">
        <v>2616</v>
      </c>
      <c r="Q626" s="75" t="s">
        <v>2617</v>
      </c>
      <c r="R626" s="230">
        <v>6863.5</v>
      </c>
      <c r="S626" s="230">
        <v>960.5</v>
      </c>
      <c r="T626" s="230">
        <v>7824</v>
      </c>
      <c r="U626" s="231">
        <v>3842</v>
      </c>
      <c r="V626" s="230"/>
      <c r="W626" s="230"/>
      <c r="X626" s="231"/>
      <c r="Y626" s="85">
        <v>0.25</v>
      </c>
      <c r="Z626" s="85"/>
      <c r="AA626" s="76"/>
      <c r="AB626" s="77"/>
      <c r="AC626" s="78"/>
    </row>
    <row r="627" spans="1:29" ht="27" hidden="1" customHeight="1" x14ac:dyDescent="0.2">
      <c r="A627" s="117" t="s">
        <v>2618</v>
      </c>
      <c r="B627" s="118" t="e">
        <f t="shared" si="71"/>
        <v>#VALUE!</v>
      </c>
      <c r="C627" s="118" t="s">
        <v>612</v>
      </c>
      <c r="D627" s="113">
        <v>39463</v>
      </c>
      <c r="E627" s="87">
        <v>39569</v>
      </c>
      <c r="F627" s="84">
        <f t="shared" si="72"/>
        <v>43221</v>
      </c>
      <c r="G627" s="229">
        <v>1602.54</v>
      </c>
      <c r="H627" s="71" t="s">
        <v>2586</v>
      </c>
      <c r="I627" s="71" t="s">
        <v>1147</v>
      </c>
      <c r="J627" s="79"/>
      <c r="K627" s="55">
        <f t="shared" si="73"/>
        <v>2018</v>
      </c>
      <c r="L627" s="80"/>
      <c r="M627" s="80"/>
      <c r="N627" s="73"/>
      <c r="O627" s="73" t="s">
        <v>2615</v>
      </c>
      <c r="P627" s="74" t="s">
        <v>2619</v>
      </c>
      <c r="Q627" s="75" t="s">
        <v>2620</v>
      </c>
      <c r="R627" s="230">
        <v>5750.5</v>
      </c>
      <c r="S627" s="230">
        <v>801.5</v>
      </c>
      <c r="T627" s="230">
        <v>6552</v>
      </c>
      <c r="U627" s="231">
        <v>3206</v>
      </c>
      <c r="V627" s="230"/>
      <c r="W627" s="230"/>
      <c r="X627" s="231"/>
      <c r="Y627" s="85">
        <v>0.25</v>
      </c>
      <c r="Z627" s="85"/>
      <c r="AA627" s="76"/>
      <c r="AB627" s="77"/>
      <c r="AC627" s="78"/>
    </row>
    <row r="628" spans="1:29" ht="40" hidden="1" customHeight="1" x14ac:dyDescent="0.2">
      <c r="A628" s="117" t="s">
        <v>2621</v>
      </c>
      <c r="B628" s="118" t="e">
        <f t="shared" si="71"/>
        <v>#VALUE!</v>
      </c>
      <c r="C628" s="118" t="s">
        <v>612</v>
      </c>
      <c r="D628" s="113">
        <v>39463</v>
      </c>
      <c r="E628" s="87">
        <v>39569</v>
      </c>
      <c r="F628" s="84">
        <f t="shared" si="72"/>
        <v>43221</v>
      </c>
      <c r="G628" s="229">
        <v>2541.2399999999998</v>
      </c>
      <c r="H628" s="71" t="s">
        <v>2586</v>
      </c>
      <c r="I628" s="71" t="s">
        <v>1147</v>
      </c>
      <c r="J628" s="79"/>
      <c r="K628" s="55">
        <f t="shared" si="73"/>
        <v>2018</v>
      </c>
      <c r="L628" s="80"/>
      <c r="M628" s="80"/>
      <c r="N628" s="73"/>
      <c r="O628" s="73" t="s">
        <v>2615</v>
      </c>
      <c r="P628" s="74" t="s">
        <v>2622</v>
      </c>
      <c r="Q628" s="75" t="s">
        <v>2623</v>
      </c>
      <c r="R628" s="230">
        <v>9037</v>
      </c>
      <c r="S628" s="230">
        <v>1271</v>
      </c>
      <c r="T628" s="230">
        <v>10308</v>
      </c>
      <c r="U628" s="231">
        <v>5084</v>
      </c>
      <c r="V628" s="230"/>
      <c r="W628" s="230"/>
      <c r="X628" s="231"/>
      <c r="Y628" s="85">
        <v>0.25</v>
      </c>
      <c r="Z628" s="85"/>
      <c r="AA628" s="76"/>
      <c r="AB628" s="77"/>
      <c r="AC628" s="78"/>
    </row>
    <row r="629" spans="1:29" hidden="1" x14ac:dyDescent="0.2">
      <c r="A629" s="117" t="s">
        <v>2624</v>
      </c>
      <c r="B629" s="118" t="e">
        <f t="shared" si="71"/>
        <v>#VALUE!</v>
      </c>
      <c r="C629" s="118" t="s">
        <v>612</v>
      </c>
      <c r="D629" s="113">
        <v>39463</v>
      </c>
      <c r="E629" s="87">
        <v>39569</v>
      </c>
      <c r="F629" s="84">
        <f t="shared" si="72"/>
        <v>43221</v>
      </c>
      <c r="G629" s="229">
        <v>1600</v>
      </c>
      <c r="H629" s="71" t="s">
        <v>2586</v>
      </c>
      <c r="I629" s="71" t="s">
        <v>1147</v>
      </c>
      <c r="J629" s="79"/>
      <c r="K629" s="55">
        <f t="shared" si="73"/>
        <v>2018</v>
      </c>
      <c r="L629" s="80"/>
      <c r="M629" s="80"/>
      <c r="N629" s="73"/>
      <c r="O629" s="73" t="s">
        <v>2625</v>
      </c>
      <c r="P629" s="74" t="s">
        <v>2626</v>
      </c>
      <c r="Q629" s="75" t="s">
        <v>2627</v>
      </c>
      <c r="R629" s="230">
        <v>5740</v>
      </c>
      <c r="S629" s="230">
        <v>800</v>
      </c>
      <c r="T629" s="230">
        <v>6540</v>
      </c>
      <c r="U629" s="231">
        <v>3200</v>
      </c>
      <c r="V629" s="230"/>
      <c r="W629" s="230"/>
      <c r="X629" s="231"/>
      <c r="Y629" s="85">
        <v>0.25</v>
      </c>
      <c r="Z629" s="85"/>
      <c r="AA629" s="76"/>
      <c r="AB629" s="77"/>
      <c r="AC629" s="78"/>
    </row>
    <row r="630" spans="1:29" hidden="1" x14ac:dyDescent="0.2">
      <c r="A630" s="117" t="s">
        <v>2628</v>
      </c>
      <c r="B630" s="118" t="e">
        <f t="shared" si="71"/>
        <v>#VALUE!</v>
      </c>
      <c r="C630" s="118" t="s">
        <v>612</v>
      </c>
      <c r="D630" s="113">
        <v>39463</v>
      </c>
      <c r="E630" s="87">
        <v>39569</v>
      </c>
      <c r="F630" s="84">
        <f t="shared" si="72"/>
        <v>43221</v>
      </c>
      <c r="G630" s="229">
        <v>1292.03</v>
      </c>
      <c r="H630" s="71" t="s">
        <v>2586</v>
      </c>
      <c r="I630" s="71" t="s">
        <v>1147</v>
      </c>
      <c r="J630" s="79"/>
      <c r="K630" s="55">
        <f t="shared" si="73"/>
        <v>2018</v>
      </c>
      <c r="L630" s="80"/>
      <c r="M630" s="80"/>
      <c r="N630" s="73"/>
      <c r="O630" s="73" t="s">
        <v>2625</v>
      </c>
      <c r="P630" s="74" t="s">
        <v>2629</v>
      </c>
      <c r="Q630" s="75" t="s">
        <v>2630</v>
      </c>
      <c r="R630" s="230">
        <v>4665.5</v>
      </c>
      <c r="S630" s="230">
        <v>646.5</v>
      </c>
      <c r="T630" s="230">
        <v>5312</v>
      </c>
      <c r="U630" s="231">
        <v>2586</v>
      </c>
      <c r="V630" s="230"/>
      <c r="W630" s="230"/>
      <c r="X630" s="231"/>
      <c r="Y630" s="85">
        <v>0.25</v>
      </c>
      <c r="Z630" s="85"/>
      <c r="AA630" s="76"/>
      <c r="AB630" s="77"/>
      <c r="AC630" s="78"/>
    </row>
    <row r="631" spans="1:29" hidden="1" x14ac:dyDescent="0.2">
      <c r="A631" s="117" t="s">
        <v>2631</v>
      </c>
      <c r="B631" s="118" t="e">
        <f t="shared" si="71"/>
        <v>#VALUE!</v>
      </c>
      <c r="C631" s="118" t="s">
        <v>612</v>
      </c>
      <c r="D631" s="113">
        <v>39463</v>
      </c>
      <c r="E631" s="87">
        <v>39569</v>
      </c>
      <c r="F631" s="84">
        <f t="shared" si="72"/>
        <v>43221</v>
      </c>
      <c r="G631" s="229">
        <v>1280</v>
      </c>
      <c r="H631" s="71" t="s">
        <v>2586</v>
      </c>
      <c r="I631" s="71" t="s">
        <v>1147</v>
      </c>
      <c r="J631" s="79"/>
      <c r="K631" s="55">
        <f t="shared" si="73"/>
        <v>2018</v>
      </c>
      <c r="L631" s="80"/>
      <c r="M631" s="80"/>
      <c r="N631" s="73"/>
      <c r="O631" s="73" t="s">
        <v>2625</v>
      </c>
      <c r="P631" s="74" t="s">
        <v>2632</v>
      </c>
      <c r="Q631" s="75" t="s">
        <v>2633</v>
      </c>
      <c r="R631" s="230">
        <v>4620</v>
      </c>
      <c r="S631" s="230">
        <v>640</v>
      </c>
      <c r="T631" s="230">
        <v>5260</v>
      </c>
      <c r="U631" s="231">
        <v>2560</v>
      </c>
      <c r="V631" s="230"/>
      <c r="W631" s="230"/>
      <c r="X631" s="231"/>
      <c r="Y631" s="85">
        <v>0.25</v>
      </c>
      <c r="Z631" s="85"/>
      <c r="AA631" s="76"/>
      <c r="AB631" s="77"/>
      <c r="AC631" s="78"/>
    </row>
    <row r="632" spans="1:29" ht="27" hidden="1" customHeight="1" x14ac:dyDescent="0.2">
      <c r="A632" s="117" t="s">
        <v>2634</v>
      </c>
      <c r="B632" s="118" t="e">
        <f t="shared" si="71"/>
        <v>#VALUE!</v>
      </c>
      <c r="C632" s="118" t="s">
        <v>612</v>
      </c>
      <c r="D632" s="113">
        <v>39463</v>
      </c>
      <c r="E632" s="87">
        <v>39569</v>
      </c>
      <c r="F632" s="84">
        <f t="shared" si="72"/>
        <v>43221</v>
      </c>
      <c r="G632" s="229">
        <v>1920.56</v>
      </c>
      <c r="H632" s="71" t="s">
        <v>2586</v>
      </c>
      <c r="I632" s="71" t="s">
        <v>1147</v>
      </c>
      <c r="J632" s="79"/>
      <c r="K632" s="55">
        <f t="shared" si="73"/>
        <v>2018</v>
      </c>
      <c r="L632" s="80"/>
      <c r="M632" s="80"/>
      <c r="N632" s="73"/>
      <c r="O632" s="73" t="s">
        <v>2635</v>
      </c>
      <c r="P632" s="74" t="s">
        <v>2616</v>
      </c>
      <c r="Q632" s="75" t="s">
        <v>2636</v>
      </c>
      <c r="R632" s="230">
        <v>6863.5</v>
      </c>
      <c r="S632" s="230">
        <v>960.5</v>
      </c>
      <c r="T632" s="230">
        <v>7824</v>
      </c>
      <c r="U632" s="231">
        <v>3842</v>
      </c>
      <c r="V632" s="230"/>
      <c r="W632" s="230"/>
      <c r="X632" s="231"/>
      <c r="Y632" s="85">
        <v>0.25</v>
      </c>
      <c r="Z632" s="85"/>
      <c r="AA632" s="76"/>
      <c r="AB632" s="77"/>
      <c r="AC632" s="78"/>
    </row>
    <row r="633" spans="1:29" ht="27" hidden="1" customHeight="1" x14ac:dyDescent="0.2">
      <c r="A633" s="117" t="s">
        <v>2637</v>
      </c>
      <c r="B633" s="118" t="e">
        <f t="shared" si="71"/>
        <v>#VALUE!</v>
      </c>
      <c r="C633" s="118" t="s">
        <v>612</v>
      </c>
      <c r="D633" s="113">
        <v>39463</v>
      </c>
      <c r="E633" s="87">
        <v>39569</v>
      </c>
      <c r="F633" s="84">
        <f t="shared" si="72"/>
        <v>43221</v>
      </c>
      <c r="G633" s="229">
        <v>1927.52</v>
      </c>
      <c r="H633" s="71" t="s">
        <v>2586</v>
      </c>
      <c r="I633" s="71" t="s">
        <v>1147</v>
      </c>
      <c r="J633" s="79"/>
      <c r="K633" s="55">
        <f t="shared" si="73"/>
        <v>2018</v>
      </c>
      <c r="L633" s="80"/>
      <c r="M633" s="80"/>
      <c r="N633" s="73"/>
      <c r="O633" s="73" t="s">
        <v>2635</v>
      </c>
      <c r="P633" s="74" t="s">
        <v>2638</v>
      </c>
      <c r="Q633" s="75" t="s">
        <v>2639</v>
      </c>
      <c r="R633" s="230">
        <v>6888</v>
      </c>
      <c r="S633" s="230">
        <v>964</v>
      </c>
      <c r="T633" s="230">
        <v>7852</v>
      </c>
      <c r="U633" s="231">
        <v>3856</v>
      </c>
      <c r="V633" s="230"/>
      <c r="W633" s="230"/>
      <c r="X633" s="231"/>
      <c r="Y633" s="85">
        <v>0.25</v>
      </c>
      <c r="Z633" s="85"/>
      <c r="AA633" s="76"/>
      <c r="AB633" s="77"/>
      <c r="AC633" s="78"/>
    </row>
    <row r="634" spans="1:29" hidden="1" x14ac:dyDescent="0.2">
      <c r="A634" s="117" t="s">
        <v>2640</v>
      </c>
      <c r="B634" s="118" t="e">
        <f t="shared" si="71"/>
        <v>#VALUE!</v>
      </c>
      <c r="C634" s="118" t="s">
        <v>612</v>
      </c>
      <c r="D634" s="113">
        <v>39463</v>
      </c>
      <c r="E634" s="87">
        <v>39569</v>
      </c>
      <c r="F634" s="84">
        <f t="shared" si="72"/>
        <v>43221</v>
      </c>
      <c r="G634" s="229">
        <v>640</v>
      </c>
      <c r="H634" s="71" t="s">
        <v>2586</v>
      </c>
      <c r="I634" s="71" t="s">
        <v>1147</v>
      </c>
      <c r="J634" s="79"/>
      <c r="K634" s="55">
        <f t="shared" si="73"/>
        <v>2018</v>
      </c>
      <c r="L634" s="80"/>
      <c r="M634" s="80"/>
      <c r="N634" s="73"/>
      <c r="O634" s="73" t="s">
        <v>2635</v>
      </c>
      <c r="P634" s="74" t="s">
        <v>1375</v>
      </c>
      <c r="Q634" s="75" t="s">
        <v>2641</v>
      </c>
      <c r="R634" s="230">
        <v>2380</v>
      </c>
      <c r="S634" s="230">
        <v>320</v>
      </c>
      <c r="T634" s="230">
        <v>2700</v>
      </c>
      <c r="U634" s="231">
        <v>1280</v>
      </c>
      <c r="V634" s="230"/>
      <c r="W634" s="230"/>
      <c r="X634" s="231"/>
      <c r="Y634" s="85">
        <v>0.25</v>
      </c>
      <c r="Z634" s="85"/>
      <c r="AA634" s="76"/>
      <c r="AB634" s="77"/>
      <c r="AC634" s="78"/>
    </row>
    <row r="635" spans="1:29" hidden="1" x14ac:dyDescent="0.2">
      <c r="A635" s="117" t="s">
        <v>2642</v>
      </c>
      <c r="B635" s="118" t="e">
        <f t="shared" si="71"/>
        <v>#VALUE!</v>
      </c>
      <c r="C635" s="118" t="s">
        <v>612</v>
      </c>
      <c r="D635" s="113">
        <v>39463</v>
      </c>
      <c r="E635" s="86">
        <v>39508</v>
      </c>
      <c r="F635" s="84">
        <f t="shared" si="72"/>
        <v>43160</v>
      </c>
      <c r="G635" s="229">
        <v>1120</v>
      </c>
      <c r="H635" s="71" t="s">
        <v>1200</v>
      </c>
      <c r="I635" s="71" t="s">
        <v>1147</v>
      </c>
      <c r="J635" s="79"/>
      <c r="K635" s="55">
        <f t="shared" si="73"/>
        <v>2018</v>
      </c>
      <c r="L635" s="80"/>
      <c r="M635" s="80"/>
      <c r="N635" s="73"/>
      <c r="O635" s="73" t="s">
        <v>2643</v>
      </c>
      <c r="P635" s="74" t="s">
        <v>2644</v>
      </c>
      <c r="Q635" s="75" t="s">
        <v>2645</v>
      </c>
      <c r="R635" s="230">
        <v>4060</v>
      </c>
      <c r="S635" s="230">
        <v>11200</v>
      </c>
      <c r="T635" s="230">
        <v>15260</v>
      </c>
      <c r="U635" s="231">
        <v>2240</v>
      </c>
      <c r="V635" s="230"/>
      <c r="W635" s="230"/>
      <c r="X635" s="231"/>
      <c r="Y635" s="85">
        <v>0.25</v>
      </c>
      <c r="Z635" s="85"/>
      <c r="AA635" s="76"/>
      <c r="AB635" s="77"/>
      <c r="AC635" s="78"/>
    </row>
    <row r="636" spans="1:29" hidden="1" x14ac:dyDescent="0.2">
      <c r="A636" s="117" t="s">
        <v>2646</v>
      </c>
      <c r="B636" s="118" t="e">
        <f t="shared" si="71"/>
        <v>#VALUE!</v>
      </c>
      <c r="C636" s="118" t="s">
        <v>612</v>
      </c>
      <c r="D636" s="113">
        <v>39463</v>
      </c>
      <c r="E636" s="86">
        <v>39508</v>
      </c>
      <c r="F636" s="84">
        <f t="shared" si="72"/>
        <v>43160</v>
      </c>
      <c r="G636" s="229">
        <v>637.12</v>
      </c>
      <c r="H636" s="71" t="s">
        <v>1200</v>
      </c>
      <c r="I636" s="71" t="s">
        <v>1147</v>
      </c>
      <c r="J636" s="79"/>
      <c r="K636" s="55">
        <f t="shared" si="73"/>
        <v>2018</v>
      </c>
      <c r="L636" s="80"/>
      <c r="M636" s="80"/>
      <c r="N636" s="73"/>
      <c r="O636" s="73" t="s">
        <v>2647</v>
      </c>
      <c r="P636" s="74" t="s">
        <v>2648</v>
      </c>
      <c r="Q636" s="75" t="s">
        <v>2649</v>
      </c>
      <c r="R636" s="230">
        <v>2373</v>
      </c>
      <c r="S636" s="230">
        <v>5742</v>
      </c>
      <c r="T636" s="230">
        <v>8115</v>
      </c>
      <c r="U636" s="231">
        <v>1276</v>
      </c>
      <c r="V636" s="230"/>
      <c r="W636" s="230"/>
      <c r="X636" s="231"/>
      <c r="Y636" s="85">
        <v>0.25</v>
      </c>
      <c r="Z636" s="85"/>
      <c r="AA636" s="76"/>
      <c r="AB636" s="77"/>
      <c r="AC636" s="78"/>
    </row>
    <row r="637" spans="1:29" hidden="1" x14ac:dyDescent="0.2">
      <c r="A637" s="117" t="s">
        <v>2650</v>
      </c>
      <c r="B637" s="118" t="e">
        <f t="shared" si="71"/>
        <v>#VALUE!</v>
      </c>
      <c r="C637" s="118" t="s">
        <v>612</v>
      </c>
      <c r="D637" s="113">
        <v>39463</v>
      </c>
      <c r="E637" s="87">
        <v>39569</v>
      </c>
      <c r="F637" s="84">
        <f t="shared" si="72"/>
        <v>43221</v>
      </c>
      <c r="G637" s="229">
        <v>11.12</v>
      </c>
      <c r="H637" s="71" t="s">
        <v>1634</v>
      </c>
      <c r="I637" s="71" t="s">
        <v>812</v>
      </c>
      <c r="J637" s="79"/>
      <c r="K637" s="55">
        <f t="shared" si="73"/>
        <v>2018</v>
      </c>
      <c r="L637" s="80"/>
      <c r="M637" s="80"/>
      <c r="N637" s="73"/>
      <c r="O637" s="73" t="s">
        <v>2651</v>
      </c>
      <c r="P637" s="74" t="s">
        <v>2652</v>
      </c>
      <c r="Q637" s="75" t="s">
        <v>2653</v>
      </c>
      <c r="R637" s="230">
        <v>182</v>
      </c>
      <c r="S637" s="230">
        <v>2076</v>
      </c>
      <c r="T637" s="230">
        <v>2258</v>
      </c>
      <c r="U637" s="231">
        <v>24</v>
      </c>
      <c r="V637" s="230"/>
      <c r="W637" s="230"/>
      <c r="X637" s="231"/>
      <c r="Y637" s="85">
        <v>0.25</v>
      </c>
      <c r="Z637" s="85"/>
      <c r="AA637" s="76"/>
      <c r="AB637" s="77"/>
      <c r="AC637" s="78"/>
    </row>
    <row r="638" spans="1:29" ht="27" hidden="1" customHeight="1" x14ac:dyDescent="0.2">
      <c r="A638" s="117" t="s">
        <v>2654</v>
      </c>
      <c r="B638" s="118" t="e">
        <f t="shared" si="71"/>
        <v>#VALUE!</v>
      </c>
      <c r="C638" s="118" t="s">
        <v>612</v>
      </c>
      <c r="D638" s="113">
        <v>39463</v>
      </c>
      <c r="E638" s="87">
        <v>39569</v>
      </c>
      <c r="F638" s="84">
        <f t="shared" si="72"/>
        <v>43221</v>
      </c>
      <c r="G638" s="229">
        <v>974.6</v>
      </c>
      <c r="H638" s="71" t="s">
        <v>2655</v>
      </c>
      <c r="I638" s="71" t="s">
        <v>812</v>
      </c>
      <c r="J638" s="79"/>
      <c r="K638" s="55">
        <f t="shared" si="73"/>
        <v>2018</v>
      </c>
      <c r="L638" s="80"/>
      <c r="M638" s="80"/>
      <c r="N638" s="73"/>
      <c r="O638" s="73" t="s">
        <v>2656</v>
      </c>
      <c r="P638" s="74" t="s">
        <v>2657</v>
      </c>
      <c r="Q638" s="75" t="s">
        <v>2658</v>
      </c>
      <c r="R638" s="230">
        <v>3552.5</v>
      </c>
      <c r="S638" s="230">
        <v>52162.5</v>
      </c>
      <c r="T638" s="230">
        <v>55715</v>
      </c>
      <c r="U638" s="231">
        <v>1950</v>
      </c>
      <c r="V638" s="230"/>
      <c r="W638" s="230"/>
      <c r="X638" s="231"/>
      <c r="Y638" s="85">
        <v>0.25</v>
      </c>
      <c r="Z638" s="85"/>
      <c r="AA638" s="76"/>
      <c r="AB638" s="77"/>
      <c r="AC638" s="78"/>
    </row>
    <row r="639" spans="1:29" ht="27" hidden="1" customHeight="1" x14ac:dyDescent="0.2">
      <c r="A639" s="117" t="s">
        <v>2659</v>
      </c>
      <c r="B639" s="118" t="e">
        <f t="shared" si="71"/>
        <v>#VALUE!</v>
      </c>
      <c r="C639" s="118" t="s">
        <v>612</v>
      </c>
      <c r="D639" s="113">
        <v>39463</v>
      </c>
      <c r="E639" s="86">
        <v>39508</v>
      </c>
      <c r="F639" s="84">
        <f t="shared" si="72"/>
        <v>43160</v>
      </c>
      <c r="G639" s="229">
        <v>1246.3499999999999</v>
      </c>
      <c r="H639" s="71" t="s">
        <v>2655</v>
      </c>
      <c r="I639" s="71" t="s">
        <v>812</v>
      </c>
      <c r="J639" s="79"/>
      <c r="K639" s="55">
        <f t="shared" si="73"/>
        <v>2018</v>
      </c>
      <c r="L639" s="80"/>
      <c r="M639" s="80"/>
      <c r="N639" s="73"/>
      <c r="O639" s="73" t="s">
        <v>2660</v>
      </c>
      <c r="P639" s="74" t="s">
        <v>2661</v>
      </c>
      <c r="Q639" s="75" t="s">
        <v>2662</v>
      </c>
      <c r="R639" s="230">
        <v>4504.5</v>
      </c>
      <c r="S639" s="230">
        <v>0</v>
      </c>
      <c r="T639" s="230">
        <v>4504.5</v>
      </c>
      <c r="U639" s="231">
        <v>2494</v>
      </c>
      <c r="V639" s="230"/>
      <c r="W639" s="230"/>
      <c r="X639" s="231"/>
      <c r="Y639" s="85">
        <v>0.25</v>
      </c>
      <c r="Z639" s="85"/>
      <c r="AA639" s="76"/>
      <c r="AB639" s="77"/>
      <c r="AC639" s="78"/>
    </row>
    <row r="640" spans="1:29" ht="27" hidden="1" customHeight="1" x14ac:dyDescent="0.2">
      <c r="A640" s="117" t="s">
        <v>2663</v>
      </c>
      <c r="B640" s="118" t="e">
        <f t="shared" si="71"/>
        <v>#VALUE!</v>
      </c>
      <c r="C640" s="118" t="s">
        <v>612</v>
      </c>
      <c r="D640" s="113">
        <v>39463</v>
      </c>
      <c r="E640" s="86">
        <v>39508</v>
      </c>
      <c r="F640" s="84">
        <f t="shared" si="72"/>
        <v>43160</v>
      </c>
      <c r="G640" s="229">
        <v>1959.97</v>
      </c>
      <c r="H640" s="71" t="s">
        <v>642</v>
      </c>
      <c r="I640" s="71" t="s">
        <v>614</v>
      </c>
      <c r="J640" s="79"/>
      <c r="K640" s="55">
        <f t="shared" si="73"/>
        <v>2018</v>
      </c>
      <c r="L640" s="80"/>
      <c r="M640" s="80"/>
      <c r="N640" s="73" t="s">
        <v>2664</v>
      </c>
      <c r="O640" s="73" t="s">
        <v>2665</v>
      </c>
      <c r="P640" s="74" t="s">
        <v>2666</v>
      </c>
      <c r="Q640" s="75" t="s">
        <v>2667</v>
      </c>
      <c r="R640" s="230">
        <v>7000</v>
      </c>
      <c r="S640" s="230">
        <v>74480</v>
      </c>
      <c r="T640" s="230">
        <v>81480</v>
      </c>
      <c r="U640" s="231">
        <v>3920</v>
      </c>
      <c r="V640" s="230"/>
      <c r="W640" s="230"/>
      <c r="X640" s="231"/>
      <c r="Y640" s="85">
        <v>0.25</v>
      </c>
      <c r="Z640" s="85"/>
      <c r="AA640" s="76"/>
      <c r="AB640" s="77" t="s">
        <v>1069</v>
      </c>
      <c r="AC640" s="78"/>
    </row>
    <row r="641" spans="1:29" ht="27" hidden="1" customHeight="1" x14ac:dyDescent="0.2">
      <c r="A641" s="117" t="s">
        <v>2668</v>
      </c>
      <c r="B641" s="118" t="e">
        <f t="shared" si="71"/>
        <v>#VALUE!</v>
      </c>
      <c r="C641" s="118" t="s">
        <v>612</v>
      </c>
      <c r="D641" s="113">
        <v>39463</v>
      </c>
      <c r="E641" s="86">
        <v>39508</v>
      </c>
      <c r="F641" s="84">
        <f t="shared" si="72"/>
        <v>43160</v>
      </c>
      <c r="G641" s="229">
        <v>2293.69</v>
      </c>
      <c r="H641" s="71" t="s">
        <v>642</v>
      </c>
      <c r="I641" s="71" t="s">
        <v>614</v>
      </c>
      <c r="J641" s="79"/>
      <c r="K641" s="55">
        <f t="shared" si="73"/>
        <v>2018</v>
      </c>
      <c r="L641" s="80"/>
      <c r="M641" s="80"/>
      <c r="N641" s="73" t="s">
        <v>2664</v>
      </c>
      <c r="O641" s="73" t="s">
        <v>2669</v>
      </c>
      <c r="P641" s="74" t="s">
        <v>2666</v>
      </c>
      <c r="Q641" s="75" t="s">
        <v>2670</v>
      </c>
      <c r="R641" s="230">
        <v>8169</v>
      </c>
      <c r="S641" s="230">
        <v>87172</v>
      </c>
      <c r="T641" s="230">
        <v>95341</v>
      </c>
      <c r="U641" s="231">
        <v>4588</v>
      </c>
      <c r="V641" s="230"/>
      <c r="W641" s="230"/>
      <c r="X641" s="231"/>
      <c r="Y641" s="85">
        <v>0.25</v>
      </c>
      <c r="Z641" s="85"/>
      <c r="AA641" s="76"/>
      <c r="AB641" s="77" t="s">
        <v>1069</v>
      </c>
      <c r="AC641" s="78"/>
    </row>
    <row r="642" spans="1:29" ht="27" hidden="1" customHeight="1" x14ac:dyDescent="0.2">
      <c r="A642" s="117" t="s">
        <v>2671</v>
      </c>
      <c r="B642" s="118" t="e">
        <f t="shared" si="71"/>
        <v>#VALUE!</v>
      </c>
      <c r="C642" s="118" t="s">
        <v>612</v>
      </c>
      <c r="D642" s="113">
        <v>39463</v>
      </c>
      <c r="E642" s="86">
        <v>39508</v>
      </c>
      <c r="F642" s="84">
        <f t="shared" si="72"/>
        <v>43160</v>
      </c>
      <c r="G642" s="229">
        <v>2419.69</v>
      </c>
      <c r="H642" s="71" t="s">
        <v>642</v>
      </c>
      <c r="I642" s="71" t="s">
        <v>614</v>
      </c>
      <c r="J642" s="79"/>
      <c r="K642" s="55">
        <f t="shared" si="73"/>
        <v>2018</v>
      </c>
      <c r="L642" s="80"/>
      <c r="M642" s="80"/>
      <c r="N642" s="73" t="s">
        <v>2664</v>
      </c>
      <c r="O642" s="73" t="s">
        <v>2672</v>
      </c>
      <c r="P642" s="74" t="s">
        <v>2666</v>
      </c>
      <c r="Q642" s="75" t="s">
        <v>2673</v>
      </c>
      <c r="R642" s="230">
        <v>8610</v>
      </c>
      <c r="S642" s="230">
        <v>212960</v>
      </c>
      <c r="T642" s="230">
        <v>221570</v>
      </c>
      <c r="U642" s="231">
        <v>4840</v>
      </c>
      <c r="V642" s="230"/>
      <c r="W642" s="230"/>
      <c r="X642" s="231"/>
      <c r="Y642" s="85">
        <v>0.25</v>
      </c>
      <c r="Z642" s="85"/>
      <c r="AA642" s="76"/>
      <c r="AB642" s="77" t="s">
        <v>1069</v>
      </c>
      <c r="AC642" s="78"/>
    </row>
    <row r="643" spans="1:29" ht="27" hidden="1" customHeight="1" x14ac:dyDescent="0.2">
      <c r="A643" s="117" t="s">
        <v>2674</v>
      </c>
      <c r="B643" s="118" t="e">
        <f t="shared" si="71"/>
        <v>#VALUE!</v>
      </c>
      <c r="C643" s="118" t="s">
        <v>612</v>
      </c>
      <c r="D643" s="113">
        <v>39463</v>
      </c>
      <c r="E643" s="86">
        <v>39508</v>
      </c>
      <c r="F643" s="84">
        <f t="shared" si="72"/>
        <v>43160</v>
      </c>
      <c r="G643" s="229">
        <v>316.45</v>
      </c>
      <c r="H643" s="71" t="s">
        <v>2059</v>
      </c>
      <c r="I643" s="71" t="s">
        <v>614</v>
      </c>
      <c r="J643" s="72" t="s">
        <v>1529</v>
      </c>
      <c r="K643" s="55">
        <f t="shared" si="73"/>
        <v>2018</v>
      </c>
      <c r="L643" s="81"/>
      <c r="M643" s="81"/>
      <c r="N643" s="73" t="s">
        <v>1643</v>
      </c>
      <c r="O643" s="73" t="s">
        <v>2675</v>
      </c>
      <c r="P643" s="74" t="s">
        <v>2676</v>
      </c>
      <c r="Q643" s="75" t="s">
        <v>2677</v>
      </c>
      <c r="R643" s="230">
        <v>1249.5</v>
      </c>
      <c r="S643" s="230">
        <v>15216</v>
      </c>
      <c r="T643" s="230">
        <v>16465.5</v>
      </c>
      <c r="U643" s="231">
        <v>634</v>
      </c>
      <c r="V643" s="230"/>
      <c r="W643" s="230"/>
      <c r="X643" s="231"/>
      <c r="Y643" s="85">
        <v>0.25</v>
      </c>
      <c r="Z643" s="85"/>
      <c r="AA643" s="76"/>
      <c r="AB643" s="77"/>
      <c r="AC643" s="78"/>
    </row>
    <row r="644" spans="1:29" ht="15" hidden="1" customHeight="1" thickBot="1" x14ac:dyDescent="0.25">
      <c r="A644" s="117"/>
      <c r="D644" s="113"/>
      <c r="E644" s="84"/>
      <c r="F644" s="84"/>
      <c r="G644" s="229"/>
      <c r="H644" s="71"/>
      <c r="I644" s="71"/>
      <c r="J644" s="79"/>
      <c r="K644" s="79"/>
      <c r="L644" s="80"/>
      <c r="M644" s="80"/>
      <c r="N644" s="73"/>
      <c r="O644" s="73"/>
      <c r="P644" s="74"/>
      <c r="Q644" s="75"/>
      <c r="R644" s="241">
        <v>283230.5</v>
      </c>
      <c r="S644" s="241">
        <v>885326</v>
      </c>
      <c r="T644" s="241">
        <v>1168556.5</v>
      </c>
      <c r="U644" s="231"/>
      <c r="V644" s="230"/>
      <c r="W644" s="230"/>
      <c r="X644" s="231"/>
      <c r="Y644" s="85"/>
      <c r="Z644" s="85"/>
      <c r="AA644" s="76"/>
      <c r="AB644" s="77"/>
      <c r="AC644" s="78"/>
    </row>
    <row r="645" spans="1:29" hidden="1" x14ac:dyDescent="0.2">
      <c r="A645" s="117"/>
      <c r="D645" s="113"/>
      <c r="E645" s="84"/>
      <c r="F645" s="84"/>
      <c r="G645" s="229"/>
      <c r="H645" s="71"/>
      <c r="I645" s="71"/>
      <c r="J645" s="79"/>
      <c r="K645" s="79"/>
      <c r="L645" s="80"/>
      <c r="M645" s="80"/>
      <c r="N645" s="73"/>
      <c r="O645" s="73"/>
      <c r="P645" s="74"/>
      <c r="Q645" s="75" t="s">
        <v>2678</v>
      </c>
      <c r="R645" s="230">
        <v>-184000</v>
      </c>
      <c r="S645" s="230"/>
      <c r="T645" s="230">
        <v>-184000</v>
      </c>
      <c r="U645" s="231"/>
      <c r="V645" s="230"/>
      <c r="W645" s="230"/>
      <c r="X645" s="231"/>
      <c r="Y645" s="85"/>
      <c r="Z645" s="85"/>
      <c r="AA645" s="76"/>
      <c r="AB645" s="77"/>
      <c r="AC645" s="78"/>
    </row>
    <row r="646" spans="1:29" hidden="1" x14ac:dyDescent="0.2">
      <c r="A646" s="117"/>
      <c r="D646" s="113"/>
      <c r="E646" s="84"/>
      <c r="F646" s="84"/>
      <c r="G646" s="229"/>
      <c r="H646" s="71"/>
      <c r="I646" s="71"/>
      <c r="J646" s="79"/>
      <c r="K646" s="79"/>
      <c r="L646" s="80"/>
      <c r="M646" s="80"/>
      <c r="N646" s="73"/>
      <c r="O646" s="73"/>
      <c r="P646" s="74"/>
      <c r="Q646" s="75" t="s">
        <v>2679</v>
      </c>
      <c r="R646" s="230">
        <v>-99230.5</v>
      </c>
      <c r="S646" s="230"/>
      <c r="T646" s="230">
        <v>-99230.5</v>
      </c>
      <c r="U646" s="231"/>
      <c r="V646" s="230"/>
      <c r="W646" s="230"/>
      <c r="X646" s="231"/>
      <c r="Y646" s="85"/>
      <c r="Z646" s="85"/>
      <c r="AA646" s="76"/>
      <c r="AB646" s="77"/>
      <c r="AC646" s="78"/>
    </row>
    <row r="647" spans="1:29" hidden="1" x14ac:dyDescent="0.2">
      <c r="A647" s="117"/>
      <c r="D647" s="113"/>
      <c r="E647" s="84"/>
      <c r="F647" s="84"/>
      <c r="G647" s="229"/>
      <c r="H647" s="71"/>
      <c r="I647" s="71"/>
      <c r="J647" s="79"/>
      <c r="K647" s="79"/>
      <c r="L647" s="80"/>
      <c r="M647" s="80"/>
      <c r="N647" s="73"/>
      <c r="O647" s="73"/>
      <c r="P647" s="74"/>
      <c r="Q647" s="75" t="s">
        <v>2680</v>
      </c>
      <c r="R647" s="230"/>
      <c r="S647" s="230">
        <v>-865215</v>
      </c>
      <c r="T647" s="230">
        <v>-865215</v>
      </c>
      <c r="U647" s="231"/>
      <c r="V647" s="230"/>
      <c r="W647" s="230"/>
      <c r="X647" s="231"/>
      <c r="Y647" s="85"/>
      <c r="Z647" s="85"/>
      <c r="AA647" s="76"/>
      <c r="AB647" s="77"/>
      <c r="AC647" s="78"/>
    </row>
    <row r="648" spans="1:29" hidden="1" x14ac:dyDescent="0.2">
      <c r="A648" s="117"/>
      <c r="D648" s="113"/>
      <c r="E648" s="84"/>
      <c r="F648" s="84"/>
      <c r="G648" s="229"/>
      <c r="H648" s="71"/>
      <c r="I648" s="71"/>
      <c r="J648" s="79"/>
      <c r="K648" s="79"/>
      <c r="L648" s="80"/>
      <c r="M648" s="80"/>
      <c r="N648" s="73"/>
      <c r="O648" s="73"/>
      <c r="P648" s="74"/>
      <c r="Q648" s="75"/>
      <c r="R648" s="230"/>
      <c r="S648" s="230"/>
      <c r="T648" s="230"/>
      <c r="U648" s="231"/>
      <c r="V648" s="230"/>
      <c r="W648" s="230"/>
      <c r="X648" s="231"/>
      <c r="Y648" s="85"/>
      <c r="Z648" s="85"/>
      <c r="AA648" s="76"/>
      <c r="AB648" s="77"/>
      <c r="AC648" s="78"/>
    </row>
    <row r="649" spans="1:29" hidden="1" x14ac:dyDescent="0.2">
      <c r="A649" s="117"/>
      <c r="D649" s="113"/>
      <c r="E649" s="84"/>
      <c r="F649" s="84"/>
      <c r="G649" s="229"/>
      <c r="H649" s="71"/>
      <c r="I649" s="71"/>
      <c r="J649" s="79"/>
      <c r="K649" s="79"/>
      <c r="L649" s="80"/>
      <c r="M649" s="80"/>
      <c r="N649" s="73"/>
      <c r="O649" s="73"/>
      <c r="P649" s="74"/>
      <c r="Q649" s="75"/>
      <c r="R649" s="230"/>
      <c r="S649" s="230"/>
      <c r="T649" s="230"/>
      <c r="U649" s="231"/>
      <c r="V649" s="230"/>
      <c r="W649" s="230"/>
      <c r="X649" s="231"/>
      <c r="Y649" s="85"/>
      <c r="Z649" s="85"/>
      <c r="AA649" s="76"/>
      <c r="AB649" s="77"/>
      <c r="AC649" s="78"/>
    </row>
    <row r="650" spans="1:29" hidden="1" x14ac:dyDescent="0.2">
      <c r="A650" s="117" t="s">
        <v>2681</v>
      </c>
      <c r="B650" s="118" t="e">
        <f t="shared" ref="B650:B675" si="74">IF(COUNTIF(GIS,A650),"YES","NO")</f>
        <v>#VALUE!</v>
      </c>
      <c r="C650" s="118" t="s">
        <v>612</v>
      </c>
      <c r="D650" s="113">
        <v>39554</v>
      </c>
      <c r="E650" s="84">
        <v>39661</v>
      </c>
      <c r="F650" s="84">
        <f t="shared" ref="F650:F675" si="75">DATE(YEAR(E650)+10,MONTH(E650),DAY(E650))</f>
        <v>43313</v>
      </c>
      <c r="G650" s="229">
        <v>80</v>
      </c>
      <c r="H650" s="71" t="s">
        <v>1534</v>
      </c>
      <c r="I650" s="71" t="s">
        <v>1147</v>
      </c>
      <c r="J650" s="79"/>
      <c r="K650" s="55">
        <f t="shared" ref="K650:K675" si="76">YEAR(F650)</f>
        <v>2018</v>
      </c>
      <c r="L650" s="80"/>
      <c r="M650" s="80"/>
      <c r="N650" s="73"/>
      <c r="O650" s="73" t="s">
        <v>2682</v>
      </c>
      <c r="P650" s="74" t="s">
        <v>2683</v>
      </c>
      <c r="Q650" s="75" t="s">
        <v>2684</v>
      </c>
      <c r="R650" s="230">
        <v>420</v>
      </c>
      <c r="S650" s="230">
        <v>13440</v>
      </c>
      <c r="T650" s="230">
        <v>13860</v>
      </c>
      <c r="U650" s="231">
        <v>160</v>
      </c>
      <c r="V650" s="230"/>
      <c r="W650" s="230"/>
      <c r="X650" s="231"/>
      <c r="Y650" s="85">
        <v>0</v>
      </c>
      <c r="Z650" s="85"/>
      <c r="AA650" s="76"/>
      <c r="AB650" s="77"/>
      <c r="AC650" s="78"/>
    </row>
    <row r="651" spans="1:29" hidden="1" x14ac:dyDescent="0.2">
      <c r="A651" s="117" t="s">
        <v>2685</v>
      </c>
      <c r="B651" s="118" t="e">
        <f t="shared" si="74"/>
        <v>#VALUE!</v>
      </c>
      <c r="C651" s="118" t="s">
        <v>612</v>
      </c>
      <c r="D651" s="113">
        <v>39554</v>
      </c>
      <c r="E651" s="84">
        <v>39661</v>
      </c>
      <c r="F651" s="84">
        <f t="shared" si="75"/>
        <v>43313</v>
      </c>
      <c r="G651" s="229">
        <v>480</v>
      </c>
      <c r="H651" s="71" t="s">
        <v>1540</v>
      </c>
      <c r="I651" s="71" t="s">
        <v>1147</v>
      </c>
      <c r="J651" s="238" t="s">
        <v>2686</v>
      </c>
      <c r="K651" s="55">
        <f t="shared" si="76"/>
        <v>2018</v>
      </c>
      <c r="L651" s="239"/>
      <c r="M651" s="239"/>
      <c r="N651" s="73"/>
      <c r="O651" s="73" t="s">
        <v>2687</v>
      </c>
      <c r="P651" s="74" t="s">
        <v>2688</v>
      </c>
      <c r="Q651" s="75" t="s">
        <v>2689</v>
      </c>
      <c r="R651" s="230">
        <v>1820</v>
      </c>
      <c r="S651" s="230">
        <v>123840</v>
      </c>
      <c r="T651" s="230">
        <v>125660</v>
      </c>
      <c r="U651" s="231">
        <v>960</v>
      </c>
      <c r="V651" s="230"/>
      <c r="W651" s="230"/>
      <c r="X651" s="231"/>
      <c r="Y651" s="85">
        <v>0</v>
      </c>
      <c r="Z651" s="85"/>
      <c r="AA651" s="76"/>
      <c r="AB651" s="77" t="s">
        <v>1545</v>
      </c>
      <c r="AC651" s="78" t="s">
        <v>2690</v>
      </c>
    </row>
    <row r="652" spans="1:29" ht="40" hidden="1" customHeight="1" x14ac:dyDescent="0.2">
      <c r="A652" s="117" t="s">
        <v>2691</v>
      </c>
      <c r="B652" s="118" t="e">
        <f t="shared" si="74"/>
        <v>#VALUE!</v>
      </c>
      <c r="C652" s="118" t="s">
        <v>612</v>
      </c>
      <c r="D652" s="113">
        <v>39554</v>
      </c>
      <c r="E652" s="84">
        <v>39661</v>
      </c>
      <c r="F652" s="84">
        <f t="shared" si="75"/>
        <v>43313</v>
      </c>
      <c r="G652" s="229">
        <v>799.36</v>
      </c>
      <c r="H652" s="71" t="s">
        <v>2692</v>
      </c>
      <c r="I652" s="71" t="s">
        <v>1147</v>
      </c>
      <c r="J652" s="248"/>
      <c r="K652" s="55">
        <f t="shared" si="76"/>
        <v>2018</v>
      </c>
      <c r="L652" s="249"/>
      <c r="M652" s="249"/>
      <c r="N652" s="73"/>
      <c r="O652" s="73" t="s">
        <v>2693</v>
      </c>
      <c r="P652" s="74" t="s">
        <v>2694</v>
      </c>
      <c r="Q652" s="75" t="s">
        <v>2695</v>
      </c>
      <c r="R652" s="230">
        <v>2940</v>
      </c>
      <c r="S652" s="230">
        <v>14400</v>
      </c>
      <c r="T652" s="230">
        <v>17340</v>
      </c>
      <c r="U652" s="231">
        <v>1600</v>
      </c>
      <c r="V652" s="230"/>
      <c r="W652" s="230"/>
      <c r="X652" s="231"/>
      <c r="Y652" s="85">
        <v>0</v>
      </c>
      <c r="Z652" s="85"/>
      <c r="AA652" s="76"/>
      <c r="AB652" s="77"/>
      <c r="AC652" s="78"/>
    </row>
    <row r="653" spans="1:29" ht="27" hidden="1" customHeight="1" x14ac:dyDescent="0.2">
      <c r="A653" s="117" t="s">
        <v>2696</v>
      </c>
      <c r="B653" s="118" t="e">
        <f t="shared" si="74"/>
        <v>#VALUE!</v>
      </c>
      <c r="C653" s="118" t="s">
        <v>612</v>
      </c>
      <c r="D653" s="113">
        <v>39554</v>
      </c>
      <c r="E653" s="84">
        <v>39661</v>
      </c>
      <c r="F653" s="84">
        <f t="shared" si="75"/>
        <v>43313</v>
      </c>
      <c r="G653" s="229">
        <v>359.99</v>
      </c>
      <c r="H653" s="71" t="s">
        <v>2692</v>
      </c>
      <c r="I653" s="71" t="s">
        <v>1147</v>
      </c>
      <c r="J653" s="248"/>
      <c r="K653" s="55">
        <f t="shared" si="76"/>
        <v>2018</v>
      </c>
      <c r="L653" s="249"/>
      <c r="M653" s="249"/>
      <c r="N653" s="73"/>
      <c r="O653" s="73" t="s">
        <v>2697</v>
      </c>
      <c r="P653" s="74" t="s">
        <v>2698</v>
      </c>
      <c r="Q653" s="75" t="s">
        <v>2699</v>
      </c>
      <c r="R653" s="230">
        <v>1400</v>
      </c>
      <c r="S653" s="230">
        <v>13680</v>
      </c>
      <c r="T653" s="230">
        <v>15080</v>
      </c>
      <c r="U653" s="231">
        <v>720</v>
      </c>
      <c r="V653" s="230"/>
      <c r="W653" s="230"/>
      <c r="X653" s="231"/>
      <c r="Y653" s="85">
        <v>0</v>
      </c>
      <c r="Z653" s="85"/>
      <c r="AA653" s="76"/>
      <c r="AB653" s="77"/>
      <c r="AC653" s="78"/>
    </row>
    <row r="654" spans="1:29" ht="40" hidden="1" customHeight="1" x14ac:dyDescent="0.2">
      <c r="A654" s="117" t="s">
        <v>2700</v>
      </c>
      <c r="B654" s="118" t="e">
        <f t="shared" si="74"/>
        <v>#VALUE!</v>
      </c>
      <c r="C654" s="118" t="s">
        <v>612</v>
      </c>
      <c r="D654" s="113">
        <v>39554</v>
      </c>
      <c r="E654" s="84">
        <v>39661</v>
      </c>
      <c r="F654" s="84">
        <f t="shared" si="75"/>
        <v>43313</v>
      </c>
      <c r="G654" s="229">
        <v>800</v>
      </c>
      <c r="H654" s="71" t="s">
        <v>2692</v>
      </c>
      <c r="I654" s="71" t="s">
        <v>1147</v>
      </c>
      <c r="J654" s="248"/>
      <c r="K654" s="55">
        <f t="shared" si="76"/>
        <v>2018</v>
      </c>
      <c r="L654" s="249"/>
      <c r="M654" s="249"/>
      <c r="N654" s="73"/>
      <c r="O654" s="73" t="s">
        <v>2701</v>
      </c>
      <c r="P654" s="74" t="s">
        <v>2702</v>
      </c>
      <c r="Q654" s="75" t="s">
        <v>2703</v>
      </c>
      <c r="R654" s="230">
        <v>2940</v>
      </c>
      <c r="S654" s="230">
        <v>6400</v>
      </c>
      <c r="T654" s="230">
        <v>9340</v>
      </c>
      <c r="U654" s="231">
        <v>1600</v>
      </c>
      <c r="V654" s="230"/>
      <c r="W654" s="230"/>
      <c r="X654" s="231"/>
      <c r="Y654" s="85">
        <v>0</v>
      </c>
      <c r="Z654" s="85"/>
      <c r="AA654" s="76"/>
      <c r="AB654" s="77"/>
      <c r="AC654" s="78"/>
    </row>
    <row r="655" spans="1:29" hidden="1" x14ac:dyDescent="0.2">
      <c r="A655" s="117" t="s">
        <v>2704</v>
      </c>
      <c r="B655" s="118" t="e">
        <f t="shared" si="74"/>
        <v>#VALUE!</v>
      </c>
      <c r="C655" s="118" t="s">
        <v>612</v>
      </c>
      <c r="D655" s="113">
        <v>39554</v>
      </c>
      <c r="E655" s="84">
        <v>39661</v>
      </c>
      <c r="F655" s="84">
        <f t="shared" si="75"/>
        <v>43313</v>
      </c>
      <c r="G655" s="229">
        <v>320</v>
      </c>
      <c r="H655" s="71" t="s">
        <v>1540</v>
      </c>
      <c r="I655" s="71" t="s">
        <v>1147</v>
      </c>
      <c r="J655" s="238" t="s">
        <v>2686</v>
      </c>
      <c r="K655" s="55">
        <f t="shared" si="76"/>
        <v>2018</v>
      </c>
      <c r="L655" s="239"/>
      <c r="M655" s="239"/>
      <c r="N655" s="73"/>
      <c r="O655" s="73" t="s">
        <v>2705</v>
      </c>
      <c r="P655" s="74" t="s">
        <v>2706</v>
      </c>
      <c r="Q655" s="75" t="s">
        <v>2707</v>
      </c>
      <c r="R655" s="230">
        <v>1260</v>
      </c>
      <c r="S655" s="230">
        <v>50560</v>
      </c>
      <c r="T655" s="230">
        <v>51820</v>
      </c>
      <c r="U655" s="231">
        <v>640</v>
      </c>
      <c r="V655" s="230"/>
      <c r="W655" s="230"/>
      <c r="X655" s="231"/>
      <c r="Y655" s="85">
        <v>0</v>
      </c>
      <c r="Z655" s="85"/>
      <c r="AA655" s="76"/>
      <c r="AB655" s="77" t="s">
        <v>1545</v>
      </c>
      <c r="AC655" s="78" t="s">
        <v>2708</v>
      </c>
    </row>
    <row r="656" spans="1:29" hidden="1" x14ac:dyDescent="0.2">
      <c r="A656" s="117" t="s">
        <v>2709</v>
      </c>
      <c r="B656" s="118" t="e">
        <f t="shared" si="74"/>
        <v>#VALUE!</v>
      </c>
      <c r="C656" s="118" t="s">
        <v>612</v>
      </c>
      <c r="D656" s="113">
        <v>39554</v>
      </c>
      <c r="E656" s="84">
        <v>39661</v>
      </c>
      <c r="F656" s="84">
        <f t="shared" si="75"/>
        <v>43313</v>
      </c>
      <c r="G656" s="229">
        <v>50.68</v>
      </c>
      <c r="H656" s="71" t="s">
        <v>1540</v>
      </c>
      <c r="I656" s="71" t="s">
        <v>1147</v>
      </c>
      <c r="J656" s="238" t="s">
        <v>2686</v>
      </c>
      <c r="K656" s="55">
        <f t="shared" si="76"/>
        <v>2018</v>
      </c>
      <c r="L656" s="239"/>
      <c r="M656" s="239"/>
      <c r="N656" s="73"/>
      <c r="O656" s="73" t="s">
        <v>2710</v>
      </c>
      <c r="P656" s="74" t="s">
        <v>2711</v>
      </c>
      <c r="Q656" s="75" t="s">
        <v>2712</v>
      </c>
      <c r="R656" s="230">
        <v>318.5</v>
      </c>
      <c r="S656" s="230">
        <v>26418</v>
      </c>
      <c r="T656" s="230">
        <v>26736.5</v>
      </c>
      <c r="U656" s="231">
        <v>102</v>
      </c>
      <c r="V656" s="230"/>
      <c r="W656" s="230"/>
      <c r="X656" s="231"/>
      <c r="Y656" s="85">
        <v>0</v>
      </c>
      <c r="Z656" s="85"/>
      <c r="AA656" s="76"/>
      <c r="AB656" s="77" t="s">
        <v>1545</v>
      </c>
      <c r="AC656" s="78" t="s">
        <v>2713</v>
      </c>
    </row>
    <row r="657" spans="1:29" hidden="1" x14ac:dyDescent="0.2">
      <c r="A657" s="117" t="s">
        <v>2714</v>
      </c>
      <c r="B657" s="118" t="e">
        <f t="shared" si="74"/>
        <v>#VALUE!</v>
      </c>
      <c r="C657" s="118" t="s">
        <v>612</v>
      </c>
      <c r="D657" s="113">
        <v>39554</v>
      </c>
      <c r="E657" s="84">
        <v>39661</v>
      </c>
      <c r="F657" s="84">
        <f t="shared" si="75"/>
        <v>43313</v>
      </c>
      <c r="G657" s="229">
        <v>640</v>
      </c>
      <c r="H657" s="71" t="s">
        <v>1200</v>
      </c>
      <c r="I657" s="71" t="s">
        <v>1147</v>
      </c>
      <c r="J657" s="79"/>
      <c r="K657" s="55">
        <f t="shared" si="76"/>
        <v>2018</v>
      </c>
      <c r="L657" s="80"/>
      <c r="M657" s="80"/>
      <c r="N657" s="73"/>
      <c r="O657" s="73" t="s">
        <v>2715</v>
      </c>
      <c r="P657" s="74" t="s">
        <v>1913</v>
      </c>
      <c r="Q657" s="75" t="s">
        <v>2716</v>
      </c>
      <c r="R657" s="230">
        <v>2380</v>
      </c>
      <c r="S657" s="230">
        <v>17920</v>
      </c>
      <c r="T657" s="230">
        <v>20300</v>
      </c>
      <c r="U657" s="231">
        <v>1280</v>
      </c>
      <c r="V657" s="230"/>
      <c r="W657" s="230"/>
      <c r="X657" s="231"/>
      <c r="Y657" s="85">
        <v>0</v>
      </c>
      <c r="Z657" s="85"/>
      <c r="AA657" s="76"/>
      <c r="AB657" s="77"/>
      <c r="AC657" s="78"/>
    </row>
    <row r="658" spans="1:29" hidden="1" x14ac:dyDescent="0.2">
      <c r="A658" s="117" t="s">
        <v>2717</v>
      </c>
      <c r="B658" s="118" t="e">
        <f t="shared" si="74"/>
        <v>#VALUE!</v>
      </c>
      <c r="C658" s="118" t="s">
        <v>612</v>
      </c>
      <c r="D658" s="113">
        <v>39554</v>
      </c>
      <c r="E658" s="84">
        <v>39661</v>
      </c>
      <c r="F658" s="84">
        <f t="shared" si="75"/>
        <v>43313</v>
      </c>
      <c r="G658" s="229">
        <v>480</v>
      </c>
      <c r="H658" s="71" t="s">
        <v>1200</v>
      </c>
      <c r="I658" s="71" t="s">
        <v>1147</v>
      </c>
      <c r="J658" s="79"/>
      <c r="K658" s="55">
        <f t="shared" si="76"/>
        <v>2018</v>
      </c>
      <c r="L658" s="80"/>
      <c r="M658" s="80"/>
      <c r="N658" s="73"/>
      <c r="O658" s="73" t="s">
        <v>2715</v>
      </c>
      <c r="P658" s="74" t="s">
        <v>2718</v>
      </c>
      <c r="Q658" s="75" t="s">
        <v>2719</v>
      </c>
      <c r="R658" s="230">
        <v>1820</v>
      </c>
      <c r="S658" s="230">
        <v>13440</v>
      </c>
      <c r="T658" s="230">
        <v>15260</v>
      </c>
      <c r="U658" s="231">
        <v>960</v>
      </c>
      <c r="V658" s="230"/>
      <c r="W658" s="230"/>
      <c r="X658" s="231"/>
      <c r="Y658" s="85">
        <v>0</v>
      </c>
      <c r="Z658" s="85"/>
      <c r="AA658" s="76"/>
      <c r="AB658" s="77"/>
      <c r="AC658" s="78"/>
    </row>
    <row r="659" spans="1:29" hidden="1" x14ac:dyDescent="0.2">
      <c r="A659" s="117" t="s">
        <v>2720</v>
      </c>
      <c r="B659" s="118" t="e">
        <f t="shared" si="74"/>
        <v>#VALUE!</v>
      </c>
      <c r="C659" s="118" t="s">
        <v>612</v>
      </c>
      <c r="D659" s="113">
        <v>39554</v>
      </c>
      <c r="E659" s="84">
        <v>39661</v>
      </c>
      <c r="F659" s="84">
        <f t="shared" si="75"/>
        <v>43313</v>
      </c>
      <c r="G659" s="229">
        <v>639.26</v>
      </c>
      <c r="H659" s="71" t="s">
        <v>1200</v>
      </c>
      <c r="I659" s="71" t="s">
        <v>1147</v>
      </c>
      <c r="J659" s="79"/>
      <c r="K659" s="55">
        <f t="shared" si="76"/>
        <v>2018</v>
      </c>
      <c r="L659" s="80"/>
      <c r="M659" s="80"/>
      <c r="N659" s="73"/>
      <c r="O659" s="73" t="s">
        <v>2721</v>
      </c>
      <c r="P659" s="74" t="s">
        <v>2722</v>
      </c>
      <c r="Q659" s="75" t="s">
        <v>2723</v>
      </c>
      <c r="R659" s="230">
        <v>2380</v>
      </c>
      <c r="S659" s="230">
        <v>17920</v>
      </c>
      <c r="T659" s="230">
        <v>20300</v>
      </c>
      <c r="U659" s="231">
        <v>1280</v>
      </c>
      <c r="V659" s="230"/>
      <c r="W659" s="230"/>
      <c r="X659" s="231"/>
      <c r="Y659" s="85">
        <v>0</v>
      </c>
      <c r="Z659" s="85"/>
      <c r="AA659" s="76"/>
      <c r="AB659" s="77"/>
      <c r="AC659" s="78"/>
    </row>
    <row r="660" spans="1:29" hidden="1" x14ac:dyDescent="0.2">
      <c r="A660" s="117" t="s">
        <v>2724</v>
      </c>
      <c r="B660" s="118" t="e">
        <f t="shared" si="74"/>
        <v>#VALUE!</v>
      </c>
      <c r="C660" s="118" t="s">
        <v>612</v>
      </c>
      <c r="D660" s="113">
        <v>39554</v>
      </c>
      <c r="E660" s="84">
        <v>39661</v>
      </c>
      <c r="F660" s="84">
        <f t="shared" si="75"/>
        <v>43313</v>
      </c>
      <c r="G660" s="229">
        <v>1103.79</v>
      </c>
      <c r="H660" s="71" t="s">
        <v>1200</v>
      </c>
      <c r="I660" s="71" t="s">
        <v>1147</v>
      </c>
      <c r="J660" s="79"/>
      <c r="K660" s="55">
        <f t="shared" si="76"/>
        <v>2018</v>
      </c>
      <c r="L660" s="80"/>
      <c r="M660" s="80"/>
      <c r="N660" s="73"/>
      <c r="O660" s="73" t="s">
        <v>2725</v>
      </c>
      <c r="P660" s="74" t="s">
        <v>2726</v>
      </c>
      <c r="Q660" s="75" t="s">
        <v>2727</v>
      </c>
      <c r="R660" s="230">
        <v>4004</v>
      </c>
      <c r="S660" s="230">
        <v>41952</v>
      </c>
      <c r="T660" s="230">
        <v>45956</v>
      </c>
      <c r="U660" s="231">
        <v>2208</v>
      </c>
      <c r="V660" s="230"/>
      <c r="W660" s="230"/>
      <c r="X660" s="231"/>
      <c r="Y660" s="85">
        <v>0</v>
      </c>
      <c r="Z660" s="85"/>
      <c r="AA660" s="76"/>
      <c r="AB660" s="77"/>
      <c r="AC660" s="78"/>
    </row>
    <row r="661" spans="1:29" ht="27" hidden="1" customHeight="1" x14ac:dyDescent="0.2">
      <c r="A661" s="117" t="s">
        <v>2728</v>
      </c>
      <c r="B661" s="118" t="e">
        <f t="shared" si="74"/>
        <v>#VALUE!</v>
      </c>
      <c r="C661" s="118" t="s">
        <v>612</v>
      </c>
      <c r="D661" s="113">
        <v>39554</v>
      </c>
      <c r="E661" s="84">
        <v>39661</v>
      </c>
      <c r="F661" s="84">
        <f t="shared" si="75"/>
        <v>43313</v>
      </c>
      <c r="G661" s="229">
        <v>1442.01</v>
      </c>
      <c r="H661" s="71" t="s">
        <v>1200</v>
      </c>
      <c r="I661" s="71" t="s">
        <v>1147</v>
      </c>
      <c r="J661" s="79"/>
      <c r="K661" s="55">
        <f t="shared" si="76"/>
        <v>2018</v>
      </c>
      <c r="L661" s="80"/>
      <c r="M661" s="80"/>
      <c r="N661" s="73"/>
      <c r="O661" s="73" t="s">
        <v>2725</v>
      </c>
      <c r="P661" s="74" t="s">
        <v>2729</v>
      </c>
      <c r="Q661" s="75" t="s">
        <v>2730</v>
      </c>
      <c r="R661" s="230">
        <v>5190.5</v>
      </c>
      <c r="S661" s="230">
        <v>54834</v>
      </c>
      <c r="T661" s="230">
        <v>60024.5</v>
      </c>
      <c r="U661" s="231">
        <v>2886</v>
      </c>
      <c r="V661" s="230"/>
      <c r="W661" s="230"/>
      <c r="X661" s="231"/>
      <c r="Y661" s="85">
        <v>0</v>
      </c>
      <c r="Z661" s="85"/>
      <c r="AA661" s="76"/>
      <c r="AB661" s="77"/>
      <c r="AC661" s="78"/>
    </row>
    <row r="662" spans="1:29" ht="27" hidden="1" customHeight="1" x14ac:dyDescent="0.2">
      <c r="A662" s="117" t="s">
        <v>2731</v>
      </c>
      <c r="B662" s="118" t="e">
        <f t="shared" si="74"/>
        <v>#VALUE!</v>
      </c>
      <c r="C662" s="118" t="s">
        <v>612</v>
      </c>
      <c r="D662" s="113">
        <v>39554</v>
      </c>
      <c r="E662" s="84">
        <v>39661</v>
      </c>
      <c r="F662" s="84">
        <f t="shared" si="75"/>
        <v>43313</v>
      </c>
      <c r="G662" s="229">
        <v>1914.21</v>
      </c>
      <c r="H662" s="71" t="s">
        <v>1200</v>
      </c>
      <c r="I662" s="71" t="s">
        <v>1147</v>
      </c>
      <c r="J662" s="79"/>
      <c r="K662" s="55">
        <f t="shared" si="76"/>
        <v>2018</v>
      </c>
      <c r="L662" s="80"/>
      <c r="M662" s="80"/>
      <c r="N662" s="73"/>
      <c r="O662" s="73" t="s">
        <v>2725</v>
      </c>
      <c r="P662" s="74" t="s">
        <v>2732</v>
      </c>
      <c r="Q662" s="75" t="s">
        <v>2733</v>
      </c>
      <c r="R662" s="230">
        <v>6842.5</v>
      </c>
      <c r="S662" s="230">
        <v>53620</v>
      </c>
      <c r="T662" s="230">
        <v>60462.5</v>
      </c>
      <c r="U662" s="231">
        <v>3830</v>
      </c>
      <c r="V662" s="230"/>
      <c r="W662" s="230"/>
      <c r="X662" s="231"/>
      <c r="Y662" s="85">
        <v>0</v>
      </c>
      <c r="Z662" s="85"/>
      <c r="AA662" s="76"/>
      <c r="AB662" s="77"/>
      <c r="AC662" s="78"/>
    </row>
    <row r="663" spans="1:29" hidden="1" x14ac:dyDescent="0.2">
      <c r="A663" s="117" t="s">
        <v>2734</v>
      </c>
      <c r="B663" s="118" t="e">
        <f t="shared" si="74"/>
        <v>#VALUE!</v>
      </c>
      <c r="C663" s="118" t="s">
        <v>612</v>
      </c>
      <c r="D663" s="113">
        <v>39554</v>
      </c>
      <c r="E663" s="84">
        <v>39661</v>
      </c>
      <c r="F663" s="84">
        <f t="shared" si="75"/>
        <v>43313</v>
      </c>
      <c r="G663" s="229">
        <v>480</v>
      </c>
      <c r="H663" s="71" t="s">
        <v>1157</v>
      </c>
      <c r="I663" s="71" t="s">
        <v>1147</v>
      </c>
      <c r="J663" s="79"/>
      <c r="K663" s="55">
        <f t="shared" si="76"/>
        <v>2018</v>
      </c>
      <c r="L663" s="80"/>
      <c r="M663" s="80"/>
      <c r="N663" s="73"/>
      <c r="O663" s="73" t="s">
        <v>2735</v>
      </c>
      <c r="P663" s="74" t="s">
        <v>2736</v>
      </c>
      <c r="Q663" s="75" t="s">
        <v>2737</v>
      </c>
      <c r="R663" s="230">
        <v>1820</v>
      </c>
      <c r="S663" s="230">
        <v>171840</v>
      </c>
      <c r="T663" s="230">
        <v>173660</v>
      </c>
      <c r="U663" s="231">
        <v>960</v>
      </c>
      <c r="V663" s="230"/>
      <c r="W663" s="230"/>
      <c r="X663" s="231"/>
      <c r="Y663" s="85">
        <v>0</v>
      </c>
      <c r="Z663" s="85"/>
      <c r="AA663" s="76"/>
      <c r="AB663" s="77"/>
      <c r="AC663" s="78"/>
    </row>
    <row r="664" spans="1:29" hidden="1" x14ac:dyDescent="0.2">
      <c r="A664" s="117" t="s">
        <v>2738</v>
      </c>
      <c r="B664" s="118" t="e">
        <f t="shared" si="74"/>
        <v>#VALUE!</v>
      </c>
      <c r="C664" s="118" t="s">
        <v>612</v>
      </c>
      <c r="D664" s="113">
        <v>39554</v>
      </c>
      <c r="E664" s="84">
        <v>39661</v>
      </c>
      <c r="F664" s="84">
        <f t="shared" si="75"/>
        <v>43313</v>
      </c>
      <c r="G664" s="229">
        <v>643.12</v>
      </c>
      <c r="H664" s="71" t="s">
        <v>1157</v>
      </c>
      <c r="I664" s="71" t="s">
        <v>1147</v>
      </c>
      <c r="J664" s="79"/>
      <c r="K664" s="55">
        <f t="shared" si="76"/>
        <v>2018</v>
      </c>
      <c r="L664" s="80"/>
      <c r="M664" s="80"/>
      <c r="N664" s="73"/>
      <c r="O664" s="73" t="s">
        <v>2735</v>
      </c>
      <c r="P664" s="74" t="s">
        <v>2739</v>
      </c>
      <c r="Q664" s="75" t="s">
        <v>2740</v>
      </c>
      <c r="R664" s="230">
        <v>2394</v>
      </c>
      <c r="S664" s="230">
        <v>185472</v>
      </c>
      <c r="T664" s="230">
        <v>187866</v>
      </c>
      <c r="U664" s="231">
        <v>1288</v>
      </c>
      <c r="V664" s="230"/>
      <c r="W664" s="230"/>
      <c r="X664" s="231"/>
      <c r="Y664" s="85">
        <v>0</v>
      </c>
      <c r="Z664" s="85"/>
      <c r="AA664" s="76"/>
      <c r="AB664" s="77"/>
      <c r="AC664" s="78"/>
    </row>
    <row r="665" spans="1:29" hidden="1" x14ac:dyDescent="0.2">
      <c r="A665" s="117" t="s">
        <v>2741</v>
      </c>
      <c r="B665" s="118" t="e">
        <f t="shared" si="74"/>
        <v>#VALUE!</v>
      </c>
      <c r="C665" s="118" t="s">
        <v>612</v>
      </c>
      <c r="D665" s="113">
        <v>39554</v>
      </c>
      <c r="E665" s="84">
        <v>39661</v>
      </c>
      <c r="F665" s="84">
        <f t="shared" si="75"/>
        <v>43313</v>
      </c>
      <c r="G665" s="229">
        <v>960</v>
      </c>
      <c r="H665" s="71" t="s">
        <v>1157</v>
      </c>
      <c r="I665" s="71" t="s">
        <v>1147</v>
      </c>
      <c r="J665" s="79"/>
      <c r="K665" s="55">
        <f t="shared" si="76"/>
        <v>2018</v>
      </c>
      <c r="L665" s="80"/>
      <c r="M665" s="80"/>
      <c r="N665" s="73"/>
      <c r="O665" s="73" t="s">
        <v>2742</v>
      </c>
      <c r="P665" s="74" t="s">
        <v>2743</v>
      </c>
      <c r="Q665" s="75" t="s">
        <v>2744</v>
      </c>
      <c r="R665" s="230">
        <v>3500</v>
      </c>
      <c r="S665" s="230">
        <v>36480</v>
      </c>
      <c r="T665" s="230">
        <v>39980</v>
      </c>
      <c r="U665" s="231">
        <v>1920</v>
      </c>
      <c r="V665" s="230"/>
      <c r="W665" s="230"/>
      <c r="X665" s="231"/>
      <c r="Y665" s="85">
        <v>0</v>
      </c>
      <c r="Z665" s="85"/>
      <c r="AA665" s="76"/>
      <c r="AB665" s="77"/>
      <c r="AC665" s="78"/>
    </row>
    <row r="666" spans="1:29" hidden="1" x14ac:dyDescent="0.2">
      <c r="A666" s="117" t="s">
        <v>2745</v>
      </c>
      <c r="B666" s="118" t="e">
        <f t="shared" si="74"/>
        <v>#VALUE!</v>
      </c>
      <c r="C666" s="118" t="s">
        <v>612</v>
      </c>
      <c r="D666" s="113">
        <v>39554</v>
      </c>
      <c r="E666" s="84">
        <v>39661</v>
      </c>
      <c r="F666" s="84">
        <f t="shared" si="75"/>
        <v>43313</v>
      </c>
      <c r="G666" s="229">
        <v>40</v>
      </c>
      <c r="H666" s="71" t="s">
        <v>2746</v>
      </c>
      <c r="I666" s="71" t="s">
        <v>812</v>
      </c>
      <c r="J666" s="72" t="s">
        <v>2747</v>
      </c>
      <c r="K666" s="55">
        <f t="shared" si="76"/>
        <v>2018</v>
      </c>
      <c r="L666" s="81"/>
      <c r="M666" s="81"/>
      <c r="N666" s="73"/>
      <c r="O666" s="73" t="s">
        <v>2748</v>
      </c>
      <c r="P666" s="74" t="s">
        <v>2749</v>
      </c>
      <c r="Q666" s="75" t="s">
        <v>2750</v>
      </c>
      <c r="R666" s="230">
        <v>280</v>
      </c>
      <c r="S666" s="230">
        <v>37920</v>
      </c>
      <c r="T666" s="230">
        <v>38200</v>
      </c>
      <c r="U666" s="231">
        <v>60</v>
      </c>
      <c r="V666" s="230"/>
      <c r="W666" s="230"/>
      <c r="X666" s="231"/>
      <c r="Y666" s="85">
        <v>0</v>
      </c>
      <c r="Z666" s="85"/>
      <c r="AA666" s="76"/>
      <c r="AB666" s="77"/>
      <c r="AC666" s="78"/>
    </row>
    <row r="667" spans="1:29" hidden="1" x14ac:dyDescent="0.2">
      <c r="A667" s="117" t="s">
        <v>2751</v>
      </c>
      <c r="B667" s="118" t="e">
        <f t="shared" si="74"/>
        <v>#VALUE!</v>
      </c>
      <c r="C667" s="118" t="s">
        <v>612</v>
      </c>
      <c r="D667" s="113">
        <v>39554</v>
      </c>
      <c r="E667" s="84">
        <v>39661</v>
      </c>
      <c r="F667" s="84">
        <f t="shared" si="75"/>
        <v>43313</v>
      </c>
      <c r="G667" s="229">
        <v>51.88</v>
      </c>
      <c r="H667" s="71" t="s">
        <v>2752</v>
      </c>
      <c r="I667" s="71" t="s">
        <v>812</v>
      </c>
      <c r="J667" s="79"/>
      <c r="K667" s="55">
        <f t="shared" si="76"/>
        <v>2018</v>
      </c>
      <c r="L667" s="80"/>
      <c r="M667" s="80"/>
      <c r="N667" s="73"/>
      <c r="O667" s="73" t="s">
        <v>2753</v>
      </c>
      <c r="P667" s="74" t="s">
        <v>2754</v>
      </c>
      <c r="Q667" s="75" t="s">
        <v>2755</v>
      </c>
      <c r="R667" s="230">
        <v>322</v>
      </c>
      <c r="S667" s="230">
        <v>9256</v>
      </c>
      <c r="T667" s="230">
        <v>9578</v>
      </c>
      <c r="U667" s="231">
        <v>104</v>
      </c>
      <c r="V667" s="230"/>
      <c r="W667" s="230"/>
      <c r="X667" s="231"/>
      <c r="Y667" s="85">
        <v>0</v>
      </c>
      <c r="Z667" s="85"/>
      <c r="AA667" s="76"/>
      <c r="AB667" s="77"/>
      <c r="AC667" s="78"/>
    </row>
    <row r="668" spans="1:29" ht="27" hidden="1" customHeight="1" x14ac:dyDescent="0.2">
      <c r="A668" s="117" t="s">
        <v>2756</v>
      </c>
      <c r="B668" s="118" t="e">
        <f t="shared" si="74"/>
        <v>#VALUE!</v>
      </c>
      <c r="C668" s="118" t="s">
        <v>612</v>
      </c>
      <c r="D668" s="113">
        <v>39554</v>
      </c>
      <c r="E668" s="84">
        <v>39661</v>
      </c>
      <c r="F668" s="84">
        <f t="shared" si="75"/>
        <v>43313</v>
      </c>
      <c r="G668" s="229">
        <v>1230</v>
      </c>
      <c r="H668" s="71" t="s">
        <v>2239</v>
      </c>
      <c r="I668" s="71" t="s">
        <v>812</v>
      </c>
      <c r="J668" s="79"/>
      <c r="K668" s="55">
        <f t="shared" si="76"/>
        <v>2018</v>
      </c>
      <c r="L668" s="80"/>
      <c r="M668" s="80"/>
      <c r="N668" s="73" t="s">
        <v>2757</v>
      </c>
      <c r="O668" s="73" t="s">
        <v>2758</v>
      </c>
      <c r="P668" s="74" t="s">
        <v>2759</v>
      </c>
      <c r="Q668" s="75" t="s">
        <v>2760</v>
      </c>
      <c r="R668" s="230">
        <v>4445</v>
      </c>
      <c r="S668" s="230">
        <v>2460</v>
      </c>
      <c r="T668" s="230">
        <v>6905</v>
      </c>
      <c r="U668" s="231">
        <v>2460</v>
      </c>
      <c r="V668" s="230"/>
      <c r="W668" s="230"/>
      <c r="X668" s="231"/>
      <c r="Y668" s="85">
        <v>0</v>
      </c>
      <c r="Z668" s="85"/>
      <c r="AA668" s="76"/>
      <c r="AB668" s="77"/>
      <c r="AC668" s="78"/>
    </row>
    <row r="669" spans="1:29" ht="27" hidden="1" customHeight="1" x14ac:dyDescent="0.2">
      <c r="A669" s="117" t="s">
        <v>2761</v>
      </c>
      <c r="B669" s="118" t="e">
        <f t="shared" si="74"/>
        <v>#VALUE!</v>
      </c>
      <c r="C669" s="118" t="s">
        <v>612</v>
      </c>
      <c r="D669" s="113">
        <v>39554</v>
      </c>
      <c r="E669" s="84">
        <v>39661</v>
      </c>
      <c r="F669" s="84">
        <f t="shared" si="75"/>
        <v>43313</v>
      </c>
      <c r="G669" s="229">
        <v>1720.11</v>
      </c>
      <c r="H669" s="71" t="s">
        <v>2239</v>
      </c>
      <c r="I669" s="71" t="s">
        <v>812</v>
      </c>
      <c r="J669" s="79"/>
      <c r="K669" s="55">
        <f t="shared" si="76"/>
        <v>2018</v>
      </c>
      <c r="L669" s="80"/>
      <c r="M669" s="80"/>
      <c r="N669" s="73" t="s">
        <v>2757</v>
      </c>
      <c r="O669" s="73" t="s">
        <v>2758</v>
      </c>
      <c r="P669" s="74" t="s">
        <v>2759</v>
      </c>
      <c r="Q669" s="75" t="s">
        <v>2762</v>
      </c>
      <c r="R669" s="230">
        <v>6163.5</v>
      </c>
      <c r="S669" s="230">
        <v>3442</v>
      </c>
      <c r="T669" s="230">
        <v>9605.5</v>
      </c>
      <c r="U669" s="231">
        <v>3442</v>
      </c>
      <c r="V669" s="230"/>
      <c r="W669" s="230"/>
      <c r="X669" s="231"/>
      <c r="Y669" s="85">
        <v>0</v>
      </c>
      <c r="Z669" s="85"/>
      <c r="AA669" s="76"/>
      <c r="AB669" s="77"/>
      <c r="AC669" s="78"/>
    </row>
    <row r="670" spans="1:29" ht="40" hidden="1" customHeight="1" x14ac:dyDescent="0.2">
      <c r="A670" s="117" t="s">
        <v>2763</v>
      </c>
      <c r="B670" s="118" t="e">
        <f t="shared" si="74"/>
        <v>#VALUE!</v>
      </c>
      <c r="C670" s="118" t="s">
        <v>612</v>
      </c>
      <c r="D670" s="113">
        <v>39554</v>
      </c>
      <c r="E670" s="84">
        <v>39661</v>
      </c>
      <c r="F670" s="84">
        <f t="shared" si="75"/>
        <v>43313</v>
      </c>
      <c r="G670" s="229">
        <v>913.18</v>
      </c>
      <c r="H670" s="71" t="s">
        <v>2239</v>
      </c>
      <c r="I670" s="71" t="s">
        <v>812</v>
      </c>
      <c r="J670" s="79"/>
      <c r="K670" s="55">
        <f t="shared" si="76"/>
        <v>2018</v>
      </c>
      <c r="L670" s="80"/>
      <c r="M670" s="80"/>
      <c r="N670" s="73"/>
      <c r="O670" s="73" t="s">
        <v>2764</v>
      </c>
      <c r="P670" s="74" t="s">
        <v>2765</v>
      </c>
      <c r="Q670" s="75" t="s">
        <v>2766</v>
      </c>
      <c r="R670" s="230">
        <v>3339</v>
      </c>
      <c r="S670" s="230">
        <v>1828</v>
      </c>
      <c r="T670" s="230">
        <v>5167</v>
      </c>
      <c r="U670" s="231">
        <v>1828</v>
      </c>
      <c r="V670" s="230"/>
      <c r="W670" s="230"/>
      <c r="X670" s="231"/>
      <c r="Y670" s="85">
        <v>0</v>
      </c>
      <c r="Z670" s="85"/>
      <c r="AA670" s="76"/>
      <c r="AB670" s="77"/>
      <c r="AC670" s="78"/>
    </row>
    <row r="671" spans="1:29" ht="27" hidden="1" customHeight="1" x14ac:dyDescent="0.2">
      <c r="A671" s="117" t="s">
        <v>2767</v>
      </c>
      <c r="B671" s="118" t="e">
        <f t="shared" si="74"/>
        <v>#VALUE!</v>
      </c>
      <c r="C671" s="118" t="s">
        <v>612</v>
      </c>
      <c r="D671" s="113">
        <v>39554</v>
      </c>
      <c r="E671" s="84">
        <v>39661</v>
      </c>
      <c r="F671" s="84">
        <f t="shared" si="75"/>
        <v>43313</v>
      </c>
      <c r="G671" s="229">
        <v>1558.88</v>
      </c>
      <c r="H671" s="71" t="s">
        <v>2239</v>
      </c>
      <c r="I671" s="71" t="s">
        <v>812</v>
      </c>
      <c r="J671" s="79"/>
      <c r="K671" s="55">
        <f t="shared" si="76"/>
        <v>2018</v>
      </c>
      <c r="L671" s="80"/>
      <c r="M671" s="80"/>
      <c r="N671" s="73" t="s">
        <v>2757</v>
      </c>
      <c r="O671" s="73" t="s">
        <v>2764</v>
      </c>
      <c r="P671" s="74" t="s">
        <v>2759</v>
      </c>
      <c r="Q671" s="75" t="s">
        <v>2768</v>
      </c>
      <c r="R671" s="230">
        <v>5596.5</v>
      </c>
      <c r="S671" s="230">
        <v>0</v>
      </c>
      <c r="T671" s="230">
        <v>5596.5</v>
      </c>
      <c r="U671" s="231">
        <v>3118</v>
      </c>
      <c r="V671" s="230"/>
      <c r="W671" s="230"/>
      <c r="X671" s="231"/>
      <c r="Y671" s="85">
        <v>0</v>
      </c>
      <c r="Z671" s="85"/>
      <c r="AA671" s="76"/>
      <c r="AB671" s="77"/>
      <c r="AC671" s="78"/>
    </row>
    <row r="672" spans="1:29" ht="27" hidden="1" customHeight="1" x14ac:dyDescent="0.2">
      <c r="A672" s="117" t="s">
        <v>2769</v>
      </c>
      <c r="B672" s="118" t="e">
        <f t="shared" si="74"/>
        <v>#VALUE!</v>
      </c>
      <c r="C672" s="118" t="s">
        <v>612</v>
      </c>
      <c r="D672" s="113">
        <v>39554</v>
      </c>
      <c r="E672" s="84">
        <v>39661</v>
      </c>
      <c r="F672" s="84">
        <f t="shared" si="75"/>
        <v>43313</v>
      </c>
      <c r="G672" s="229">
        <v>1817.87</v>
      </c>
      <c r="H672" s="71" t="s">
        <v>2239</v>
      </c>
      <c r="I672" s="71" t="s">
        <v>812</v>
      </c>
      <c r="J672" s="79"/>
      <c r="K672" s="55">
        <f t="shared" si="76"/>
        <v>2018</v>
      </c>
      <c r="L672" s="80"/>
      <c r="M672" s="80"/>
      <c r="N672" s="73" t="s">
        <v>2757</v>
      </c>
      <c r="O672" s="73" t="s">
        <v>2764</v>
      </c>
      <c r="P672" s="74" t="s">
        <v>2759</v>
      </c>
      <c r="Q672" s="75" t="s">
        <v>2770</v>
      </c>
      <c r="R672" s="230">
        <v>6503</v>
      </c>
      <c r="S672" s="230">
        <v>0</v>
      </c>
      <c r="T672" s="230">
        <v>6503</v>
      </c>
      <c r="U672" s="231">
        <v>3636</v>
      </c>
      <c r="V672" s="230"/>
      <c r="W672" s="230"/>
      <c r="X672" s="231"/>
      <c r="Y672" s="85">
        <v>0</v>
      </c>
      <c r="Z672" s="85"/>
      <c r="AA672" s="76"/>
      <c r="AB672" s="77"/>
      <c r="AC672" s="78"/>
    </row>
    <row r="673" spans="1:29" hidden="1" x14ac:dyDescent="0.2">
      <c r="A673" s="117" t="s">
        <v>2771</v>
      </c>
      <c r="B673" s="118" t="e">
        <f t="shared" si="74"/>
        <v>#VALUE!</v>
      </c>
      <c r="C673" s="118" t="s">
        <v>612</v>
      </c>
      <c r="D673" s="113">
        <v>39554</v>
      </c>
      <c r="E673" s="84">
        <v>39661</v>
      </c>
      <c r="F673" s="84">
        <f t="shared" si="75"/>
        <v>43313</v>
      </c>
      <c r="G673" s="229">
        <v>122</v>
      </c>
      <c r="H673" s="71" t="s">
        <v>1503</v>
      </c>
      <c r="I673" s="71" t="s">
        <v>614</v>
      </c>
      <c r="J673" s="79"/>
      <c r="K673" s="55">
        <f t="shared" si="76"/>
        <v>2018</v>
      </c>
      <c r="L673" s="80"/>
      <c r="M673" s="80"/>
      <c r="N673" s="73" t="s">
        <v>2772</v>
      </c>
      <c r="O673" s="73" t="s">
        <v>2773</v>
      </c>
      <c r="P673" s="74"/>
      <c r="Q673" s="75" t="s">
        <v>2774</v>
      </c>
      <c r="R673" s="230">
        <v>567</v>
      </c>
      <c r="S673" s="230">
        <v>26596</v>
      </c>
      <c r="T673" s="230">
        <v>27163</v>
      </c>
      <c r="U673" s="231">
        <v>244</v>
      </c>
      <c r="V673" s="230"/>
      <c r="W673" s="230"/>
      <c r="X673" s="231"/>
      <c r="Y673" s="85">
        <v>0</v>
      </c>
      <c r="Z673" s="85"/>
      <c r="AA673" s="76"/>
      <c r="AB673" s="77" t="s">
        <v>1069</v>
      </c>
      <c r="AC673" s="78"/>
    </row>
    <row r="674" spans="1:29" hidden="1" x14ac:dyDescent="0.2">
      <c r="A674" s="117" t="s">
        <v>2775</v>
      </c>
      <c r="B674" s="118" t="e">
        <f t="shared" si="74"/>
        <v>#VALUE!</v>
      </c>
      <c r="C674" s="118" t="s">
        <v>612</v>
      </c>
      <c r="D674" s="113">
        <v>39554</v>
      </c>
      <c r="E674" s="84">
        <v>39661</v>
      </c>
      <c r="F674" s="84">
        <f t="shared" si="75"/>
        <v>43313</v>
      </c>
      <c r="G674" s="229">
        <v>142</v>
      </c>
      <c r="H674" s="71" t="s">
        <v>1503</v>
      </c>
      <c r="I674" s="71" t="s">
        <v>614</v>
      </c>
      <c r="J674" s="79"/>
      <c r="K674" s="55">
        <f t="shared" si="76"/>
        <v>2018</v>
      </c>
      <c r="L674" s="80"/>
      <c r="M674" s="80"/>
      <c r="N674" s="73" t="s">
        <v>2772</v>
      </c>
      <c r="O674" s="73" t="s">
        <v>2776</v>
      </c>
      <c r="P674" s="74"/>
      <c r="Q674" s="75" t="s">
        <v>2777</v>
      </c>
      <c r="R674" s="230">
        <v>637</v>
      </c>
      <c r="S674" s="230">
        <v>29536</v>
      </c>
      <c r="T674" s="230">
        <v>30173</v>
      </c>
      <c r="U674" s="231">
        <v>284</v>
      </c>
      <c r="V674" s="230"/>
      <c r="W674" s="230"/>
      <c r="X674" s="231"/>
      <c r="Y674" s="85">
        <v>0</v>
      </c>
      <c r="Z674" s="85"/>
      <c r="AA674" s="76"/>
      <c r="AB674" s="77" t="s">
        <v>1069</v>
      </c>
      <c r="AC674" s="78"/>
    </row>
    <row r="675" spans="1:29" hidden="1" x14ac:dyDescent="0.2">
      <c r="A675" s="117" t="s">
        <v>2778</v>
      </c>
      <c r="B675" s="118" t="e">
        <f t="shared" si="74"/>
        <v>#VALUE!</v>
      </c>
      <c r="C675" s="118" t="s">
        <v>612</v>
      </c>
      <c r="D675" s="113">
        <v>39554</v>
      </c>
      <c r="E675" s="84">
        <v>39661</v>
      </c>
      <c r="F675" s="84">
        <f t="shared" si="75"/>
        <v>43313</v>
      </c>
      <c r="G675" s="229">
        <v>547</v>
      </c>
      <c r="H675" s="71" t="s">
        <v>1503</v>
      </c>
      <c r="I675" s="71" t="s">
        <v>614</v>
      </c>
      <c r="J675" s="79"/>
      <c r="K675" s="55">
        <f t="shared" si="76"/>
        <v>2018</v>
      </c>
      <c r="L675" s="80"/>
      <c r="M675" s="80"/>
      <c r="N675" s="73" t="s">
        <v>2772</v>
      </c>
      <c r="O675" s="73" t="s">
        <v>2779</v>
      </c>
      <c r="P675" s="74"/>
      <c r="Q675" s="75" t="s">
        <v>2780</v>
      </c>
      <c r="R675" s="230">
        <v>2054.5</v>
      </c>
      <c r="S675" s="230">
        <v>124716</v>
      </c>
      <c r="T675" s="230">
        <v>126770.5</v>
      </c>
      <c r="U675" s="231">
        <v>1094</v>
      </c>
      <c r="V675" s="230"/>
      <c r="W675" s="230"/>
      <c r="X675" s="231"/>
      <c r="Y675" s="85">
        <v>0</v>
      </c>
      <c r="Z675" s="85"/>
      <c r="AA675" s="76"/>
      <c r="AB675" s="77" t="s">
        <v>1069</v>
      </c>
      <c r="AC675" s="78"/>
    </row>
    <row r="676" spans="1:29" ht="15" hidden="1" customHeight="1" thickBot="1" x14ac:dyDescent="0.25">
      <c r="A676" s="117"/>
      <c r="D676" s="113"/>
      <c r="E676" s="84"/>
      <c r="F676" s="84"/>
      <c r="G676" s="229"/>
      <c r="H676" s="71"/>
      <c r="I676" s="71"/>
      <c r="J676" s="79"/>
      <c r="K676" s="79"/>
      <c r="L676" s="80"/>
      <c r="M676" s="80"/>
      <c r="N676" s="73"/>
      <c r="O676" s="73"/>
      <c r="P676" s="74"/>
      <c r="Q676" s="75"/>
      <c r="R676" s="241">
        <v>71337</v>
      </c>
      <c r="S676" s="241">
        <v>1077970</v>
      </c>
      <c r="T676" s="241">
        <v>1149307</v>
      </c>
      <c r="U676" s="231"/>
      <c r="V676" s="230"/>
      <c r="W676" s="230"/>
      <c r="X676" s="231"/>
      <c r="Y676" s="85"/>
      <c r="Z676" s="85"/>
      <c r="AA676" s="76"/>
      <c r="AB676" s="77"/>
      <c r="AC676" s="78"/>
    </row>
    <row r="677" spans="1:29" hidden="1" x14ac:dyDescent="0.2">
      <c r="A677" s="117"/>
      <c r="D677" s="113"/>
      <c r="E677" s="84"/>
      <c r="F677" s="84"/>
      <c r="G677" s="229"/>
      <c r="H677" s="71"/>
      <c r="I677" s="71"/>
      <c r="J677" s="79"/>
      <c r="K677" s="79"/>
      <c r="L677" s="80"/>
      <c r="M677" s="80"/>
      <c r="N677" s="73"/>
      <c r="O677" s="73"/>
      <c r="P677" s="74"/>
      <c r="Q677" s="75" t="s">
        <v>2679</v>
      </c>
      <c r="R677" s="230">
        <v>-71337</v>
      </c>
      <c r="S677" s="230">
        <v>-28000</v>
      </c>
      <c r="T677" s="230">
        <v>-99337</v>
      </c>
      <c r="U677" s="231"/>
      <c r="V677" s="230"/>
      <c r="W677" s="230"/>
      <c r="X677" s="231"/>
      <c r="Y677" s="85"/>
      <c r="Z677" s="85"/>
      <c r="AA677" s="76"/>
      <c r="AB677" s="77"/>
      <c r="AC677" s="78"/>
    </row>
    <row r="678" spans="1:29" hidden="1" x14ac:dyDescent="0.2">
      <c r="A678" s="117"/>
      <c r="D678" s="113"/>
      <c r="E678" s="84"/>
      <c r="F678" s="84"/>
      <c r="G678" s="229"/>
      <c r="H678" s="71"/>
      <c r="I678" s="71"/>
      <c r="J678" s="79"/>
      <c r="K678" s="79"/>
      <c r="L678" s="80"/>
      <c r="M678" s="80"/>
      <c r="N678" s="73"/>
      <c r="O678" s="73"/>
      <c r="P678" s="74"/>
      <c r="Q678" s="75" t="s">
        <v>2781</v>
      </c>
      <c r="R678" s="230"/>
      <c r="S678" s="230">
        <v>-1049970</v>
      </c>
      <c r="T678" s="230">
        <v>-1049970</v>
      </c>
      <c r="U678" s="231"/>
      <c r="V678" s="230"/>
      <c r="W678" s="230"/>
      <c r="X678" s="231"/>
      <c r="Y678" s="85"/>
      <c r="Z678" s="85"/>
      <c r="AA678" s="76"/>
      <c r="AB678" s="77"/>
      <c r="AC678" s="78"/>
    </row>
    <row r="679" spans="1:29" hidden="1" x14ac:dyDescent="0.2">
      <c r="A679" s="117"/>
      <c r="D679" s="113"/>
      <c r="E679" s="84"/>
      <c r="F679" s="84"/>
      <c r="G679" s="229"/>
      <c r="H679" s="71"/>
      <c r="I679" s="71"/>
      <c r="J679" s="79"/>
      <c r="K679" s="79"/>
      <c r="L679" s="80"/>
      <c r="M679" s="80"/>
      <c r="N679" s="73"/>
      <c r="O679" s="73"/>
      <c r="P679" s="74"/>
      <c r="Q679" s="75"/>
      <c r="R679" s="230"/>
      <c r="S679" s="230"/>
      <c r="T679" s="230"/>
      <c r="U679" s="231"/>
      <c r="V679" s="230"/>
      <c r="W679" s="230"/>
      <c r="X679" s="231"/>
      <c r="Y679" s="85"/>
      <c r="Z679" s="85"/>
      <c r="AA679" s="76"/>
      <c r="AB679" s="77"/>
      <c r="AC679" s="78"/>
    </row>
    <row r="680" spans="1:29" ht="27" hidden="1" customHeight="1" x14ac:dyDescent="0.2">
      <c r="A680" s="117" t="s">
        <v>2782</v>
      </c>
      <c r="B680" s="118" t="e">
        <f t="shared" ref="B680:B711" si="77">IF(COUNTIF(GIS,A680),"YES","NO")</f>
        <v>#VALUE!</v>
      </c>
      <c r="C680" s="118" t="s">
        <v>612</v>
      </c>
      <c r="D680" s="113">
        <v>39562</v>
      </c>
      <c r="E680" s="84"/>
      <c r="F680" s="84"/>
      <c r="G680" s="229"/>
      <c r="H680" s="71"/>
      <c r="I680" s="71"/>
      <c r="J680" s="88" t="s">
        <v>2783</v>
      </c>
      <c r="K680" s="55"/>
      <c r="L680" s="89"/>
      <c r="M680" s="89"/>
      <c r="N680" s="73"/>
      <c r="O680" s="73"/>
      <c r="P680" s="74"/>
      <c r="Q680" s="75"/>
      <c r="R680" s="230"/>
      <c r="S680" s="230"/>
      <c r="T680" s="230"/>
      <c r="U680" s="231"/>
      <c r="V680" s="230"/>
      <c r="W680" s="230"/>
      <c r="X680" s="231"/>
      <c r="Y680" s="85"/>
      <c r="Z680" s="85"/>
      <c r="AA680" s="76"/>
      <c r="AB680" s="77"/>
      <c r="AC680" s="78"/>
    </row>
    <row r="681" spans="1:29" ht="27" hidden="1" customHeight="1" x14ac:dyDescent="0.2">
      <c r="A681" s="117" t="s">
        <v>2784</v>
      </c>
      <c r="B681" s="118" t="e">
        <f t="shared" si="77"/>
        <v>#VALUE!</v>
      </c>
      <c r="C681" s="118" t="s">
        <v>612</v>
      </c>
      <c r="D681" s="113">
        <v>39562</v>
      </c>
      <c r="E681" s="84"/>
      <c r="F681" s="84"/>
      <c r="G681" s="229"/>
      <c r="H681" s="71"/>
      <c r="I681" s="71"/>
      <c r="J681" s="88" t="s">
        <v>2785</v>
      </c>
      <c r="K681" s="55"/>
      <c r="L681" s="89"/>
      <c r="M681" s="89"/>
      <c r="N681" s="73"/>
      <c r="O681" s="73"/>
      <c r="P681" s="74"/>
      <c r="Q681" s="75"/>
      <c r="R681" s="230"/>
      <c r="S681" s="230"/>
      <c r="T681" s="230"/>
      <c r="U681" s="231"/>
      <c r="V681" s="230"/>
      <c r="W681" s="230"/>
      <c r="X681" s="231"/>
      <c r="Y681" s="85"/>
      <c r="Z681" s="85"/>
      <c r="AA681" s="76"/>
      <c r="AB681" s="77"/>
      <c r="AC681" s="78"/>
    </row>
    <row r="682" spans="1:29" ht="27" hidden="1" customHeight="1" x14ac:dyDescent="0.2">
      <c r="A682" s="117" t="s">
        <v>2786</v>
      </c>
      <c r="B682" s="118" t="e">
        <f t="shared" si="77"/>
        <v>#VALUE!</v>
      </c>
      <c r="C682" s="118" t="s">
        <v>612</v>
      </c>
      <c r="D682" s="113">
        <v>39562</v>
      </c>
      <c r="F682" s="84"/>
      <c r="G682" s="229"/>
      <c r="H682" s="71"/>
      <c r="I682" s="71"/>
      <c r="J682" s="88" t="s">
        <v>2787</v>
      </c>
      <c r="K682" s="55"/>
      <c r="L682" s="89"/>
      <c r="M682" s="89"/>
      <c r="N682" s="73"/>
      <c r="O682" s="252"/>
      <c r="P682" s="253"/>
      <c r="T682" s="230"/>
      <c r="U682" s="231"/>
      <c r="V682" s="230"/>
      <c r="W682" s="230"/>
      <c r="X682" s="231"/>
      <c r="Y682" s="85"/>
      <c r="Z682" s="85"/>
      <c r="AA682" s="76"/>
      <c r="AB682" s="77"/>
      <c r="AC682" s="78"/>
    </row>
    <row r="683" spans="1:29" ht="27" hidden="1" customHeight="1" x14ac:dyDescent="0.2">
      <c r="A683" s="117" t="s">
        <v>2788</v>
      </c>
      <c r="B683" s="118" t="e">
        <f t="shared" si="77"/>
        <v>#VALUE!</v>
      </c>
      <c r="C683" s="118" t="s">
        <v>612</v>
      </c>
      <c r="D683" s="113">
        <v>39562</v>
      </c>
      <c r="F683" s="84"/>
      <c r="G683" s="229"/>
      <c r="H683" s="71"/>
      <c r="I683" s="71"/>
      <c r="J683" s="88" t="s">
        <v>2789</v>
      </c>
      <c r="K683" s="55"/>
      <c r="L683" s="89"/>
      <c r="M683" s="89"/>
      <c r="N683" s="73"/>
      <c r="O683" s="252"/>
      <c r="P683" s="253"/>
      <c r="T683" s="230"/>
      <c r="U683" s="231"/>
      <c r="V683" s="230"/>
      <c r="W683" s="230"/>
      <c r="X683" s="231"/>
      <c r="Y683" s="85"/>
      <c r="Z683" s="85"/>
      <c r="AA683" s="76"/>
      <c r="AB683" s="77"/>
      <c r="AC683" s="78"/>
    </row>
    <row r="684" spans="1:29" ht="27" hidden="1" customHeight="1" x14ac:dyDescent="0.2">
      <c r="A684" s="117" t="s">
        <v>2790</v>
      </c>
      <c r="B684" s="118" t="e">
        <f t="shared" si="77"/>
        <v>#VALUE!</v>
      </c>
      <c r="C684" s="118" t="s">
        <v>612</v>
      </c>
      <c r="D684" s="113">
        <v>39562</v>
      </c>
      <c r="F684" s="84"/>
      <c r="G684" s="229"/>
      <c r="H684" s="71"/>
      <c r="I684" s="71"/>
      <c r="J684" s="88" t="s">
        <v>2791</v>
      </c>
      <c r="K684" s="55"/>
      <c r="L684" s="89"/>
      <c r="M684" s="89"/>
      <c r="N684" s="73"/>
      <c r="O684" s="252"/>
      <c r="P684" s="253"/>
      <c r="T684" s="230"/>
      <c r="U684" s="231"/>
      <c r="V684" s="230"/>
      <c r="W684" s="230"/>
      <c r="X684" s="231"/>
      <c r="Y684" s="85"/>
      <c r="Z684" s="85"/>
      <c r="AA684" s="76"/>
      <c r="AB684" s="77"/>
      <c r="AC684" s="78"/>
    </row>
    <row r="685" spans="1:29" ht="27" hidden="1" customHeight="1" x14ac:dyDescent="0.2">
      <c r="A685" s="117" t="s">
        <v>2792</v>
      </c>
      <c r="B685" s="118" t="e">
        <f t="shared" si="77"/>
        <v>#VALUE!</v>
      </c>
      <c r="C685" s="118" t="s">
        <v>612</v>
      </c>
      <c r="D685" s="113">
        <v>39562</v>
      </c>
      <c r="F685" s="84"/>
      <c r="G685" s="229"/>
      <c r="H685" s="71"/>
      <c r="I685" s="71"/>
      <c r="J685" s="88" t="s">
        <v>2793</v>
      </c>
      <c r="K685" s="55"/>
      <c r="L685" s="89"/>
      <c r="M685" s="89"/>
      <c r="N685" s="73"/>
      <c r="O685" s="252"/>
      <c r="P685" s="253"/>
      <c r="T685" s="230"/>
      <c r="U685" s="231"/>
      <c r="V685" s="230"/>
      <c r="W685" s="230"/>
      <c r="X685" s="231"/>
      <c r="Y685" s="85"/>
      <c r="Z685" s="85"/>
      <c r="AA685" s="76"/>
      <c r="AB685" s="77"/>
      <c r="AC685" s="78"/>
    </row>
    <row r="686" spans="1:29" hidden="1" x14ac:dyDescent="0.2">
      <c r="A686" s="117" t="s">
        <v>2794</v>
      </c>
      <c r="B686" s="118" t="e">
        <f t="shared" si="77"/>
        <v>#VALUE!</v>
      </c>
      <c r="C686" s="118" t="s">
        <v>612</v>
      </c>
      <c r="D686" s="113">
        <v>39562</v>
      </c>
      <c r="F686" s="84"/>
      <c r="G686" s="229"/>
      <c r="H686" s="71"/>
      <c r="I686" s="71"/>
      <c r="J686" s="129"/>
      <c r="K686" s="55"/>
      <c r="N686" s="73"/>
      <c r="O686" s="252"/>
      <c r="P686" s="253"/>
      <c r="T686" s="230"/>
      <c r="U686" s="231"/>
      <c r="V686" s="230"/>
      <c r="W686" s="230"/>
      <c r="X686" s="231"/>
      <c r="Y686" s="85"/>
      <c r="Z686" s="85"/>
      <c r="AA686" s="76"/>
      <c r="AB686" s="77"/>
      <c r="AC686" s="78"/>
    </row>
    <row r="687" spans="1:29" hidden="1" x14ac:dyDescent="0.2">
      <c r="A687" s="117" t="s">
        <v>2795</v>
      </c>
      <c r="B687" s="118" t="e">
        <f t="shared" si="77"/>
        <v>#VALUE!</v>
      </c>
      <c r="C687" s="118" t="s">
        <v>612</v>
      </c>
      <c r="D687" s="113">
        <v>39562</v>
      </c>
      <c r="F687" s="84"/>
      <c r="G687" s="229"/>
      <c r="H687" s="71"/>
      <c r="I687" s="71"/>
      <c r="J687" s="129"/>
      <c r="K687" s="55"/>
      <c r="N687" s="73"/>
      <c r="O687" s="252"/>
      <c r="P687" s="253"/>
      <c r="T687" s="230"/>
      <c r="U687" s="231"/>
      <c r="V687" s="230"/>
      <c r="W687" s="230"/>
      <c r="X687" s="231"/>
      <c r="Y687" s="85"/>
      <c r="Z687" s="85"/>
      <c r="AA687" s="76"/>
      <c r="AB687" s="77"/>
      <c r="AC687" s="78"/>
    </row>
    <row r="688" spans="1:29" hidden="1" x14ac:dyDescent="0.2">
      <c r="A688" s="117" t="s">
        <v>2796</v>
      </c>
      <c r="B688" s="118" t="e">
        <f t="shared" si="77"/>
        <v>#VALUE!</v>
      </c>
      <c r="C688" s="118" t="s">
        <v>612</v>
      </c>
      <c r="D688" s="113">
        <v>39562</v>
      </c>
      <c r="F688" s="84"/>
      <c r="G688" s="229"/>
      <c r="H688" s="71"/>
      <c r="I688" s="71"/>
      <c r="J688" s="129"/>
      <c r="K688" s="55"/>
      <c r="N688" s="73"/>
      <c r="O688" s="252"/>
      <c r="P688" s="253"/>
      <c r="T688" s="230"/>
      <c r="U688" s="231"/>
      <c r="V688" s="230"/>
      <c r="W688" s="230"/>
      <c r="X688" s="231"/>
      <c r="Y688" s="85"/>
      <c r="Z688" s="85"/>
      <c r="AA688" s="76"/>
      <c r="AB688" s="77"/>
      <c r="AC688" s="78"/>
    </row>
    <row r="689" spans="1:29" hidden="1" x14ac:dyDescent="0.2">
      <c r="A689" s="117" t="s">
        <v>2797</v>
      </c>
      <c r="B689" s="118" t="e">
        <f t="shared" si="77"/>
        <v>#VALUE!</v>
      </c>
      <c r="C689" s="118" t="s">
        <v>612</v>
      </c>
      <c r="D689" s="113">
        <v>39562</v>
      </c>
      <c r="E689" s="84"/>
      <c r="F689" s="84"/>
      <c r="G689" s="229"/>
      <c r="H689" s="71"/>
      <c r="I689" s="71"/>
      <c r="J689" s="79"/>
      <c r="K689" s="55"/>
      <c r="L689" s="80"/>
      <c r="M689" s="80"/>
      <c r="N689" s="73"/>
      <c r="O689" s="73"/>
      <c r="P689" s="74"/>
      <c r="Q689" s="75"/>
      <c r="R689" s="230"/>
      <c r="S689" s="230"/>
      <c r="T689" s="230"/>
      <c r="U689" s="231"/>
      <c r="V689" s="230"/>
      <c r="W689" s="230"/>
      <c r="X689" s="231"/>
      <c r="Y689" s="85"/>
      <c r="Z689" s="85"/>
      <c r="AA689" s="76"/>
      <c r="AB689" s="77"/>
      <c r="AC689" s="78"/>
    </row>
    <row r="690" spans="1:29" hidden="1" x14ac:dyDescent="0.2">
      <c r="A690" s="117" t="s">
        <v>2798</v>
      </c>
      <c r="B690" s="118" t="e">
        <f t="shared" si="77"/>
        <v>#VALUE!</v>
      </c>
      <c r="C690" s="118" t="s">
        <v>612</v>
      </c>
      <c r="D690" s="113">
        <v>39562</v>
      </c>
      <c r="E690" s="84"/>
      <c r="F690" s="84"/>
      <c r="G690" s="229"/>
      <c r="H690" s="71"/>
      <c r="I690" s="71"/>
      <c r="J690" s="79"/>
      <c r="K690" s="55"/>
      <c r="L690" s="80"/>
      <c r="M690" s="80"/>
      <c r="N690" s="73"/>
      <c r="O690" s="73"/>
      <c r="P690" s="74"/>
      <c r="Q690" s="75"/>
      <c r="R690" s="230"/>
      <c r="S690" s="230"/>
      <c r="T690" s="230"/>
      <c r="U690" s="231"/>
      <c r="V690" s="230"/>
      <c r="W690" s="230"/>
      <c r="X690" s="231"/>
      <c r="Y690" s="85"/>
      <c r="Z690" s="85"/>
      <c r="AA690" s="76"/>
      <c r="AB690" s="77"/>
      <c r="AC690" s="78"/>
    </row>
    <row r="691" spans="1:29" hidden="1" x14ac:dyDescent="0.2">
      <c r="A691" s="117" t="s">
        <v>2799</v>
      </c>
      <c r="B691" s="118" t="e">
        <f t="shared" si="77"/>
        <v>#VALUE!</v>
      </c>
      <c r="C691" s="118" t="s">
        <v>612</v>
      </c>
      <c r="D691" s="113">
        <v>39562</v>
      </c>
      <c r="E691" s="84"/>
      <c r="F691" s="84"/>
      <c r="G691" s="229"/>
      <c r="H691" s="71"/>
      <c r="I691" s="71"/>
      <c r="J691" s="79"/>
      <c r="K691" s="55"/>
      <c r="L691" s="80"/>
      <c r="M691" s="80"/>
      <c r="N691" s="73"/>
      <c r="O691" s="73"/>
      <c r="P691" s="74"/>
      <c r="Q691" s="75"/>
      <c r="R691" s="230"/>
      <c r="S691" s="230"/>
      <c r="T691" s="230"/>
      <c r="U691" s="231"/>
      <c r="V691" s="230"/>
      <c r="W691" s="230"/>
      <c r="X691" s="231"/>
      <c r="Y691" s="85"/>
      <c r="Z691" s="85"/>
      <c r="AA691" s="76"/>
      <c r="AB691" s="77"/>
      <c r="AC691" s="78"/>
    </row>
    <row r="692" spans="1:29" hidden="1" x14ac:dyDescent="0.2">
      <c r="A692" s="117" t="s">
        <v>2800</v>
      </c>
      <c r="B692" s="118" t="e">
        <f t="shared" si="77"/>
        <v>#VALUE!</v>
      </c>
      <c r="C692" s="118" t="s">
        <v>612</v>
      </c>
      <c r="D692" s="113">
        <v>39562</v>
      </c>
      <c r="E692" s="84"/>
      <c r="F692" s="84"/>
      <c r="G692" s="229"/>
      <c r="H692" s="71"/>
      <c r="I692" s="71"/>
      <c r="J692" s="79"/>
      <c r="K692" s="55"/>
      <c r="L692" s="80"/>
      <c r="M692" s="80"/>
      <c r="N692" s="73"/>
      <c r="O692" s="73"/>
      <c r="P692" s="74"/>
      <c r="Q692" s="75"/>
      <c r="R692" s="230"/>
      <c r="S692" s="230"/>
      <c r="T692" s="230"/>
      <c r="U692" s="231"/>
      <c r="V692" s="230"/>
      <c r="W692" s="230"/>
      <c r="X692" s="231"/>
      <c r="Y692" s="85"/>
      <c r="Z692" s="85"/>
      <c r="AA692" s="76"/>
      <c r="AB692" s="77"/>
      <c r="AC692" s="78"/>
    </row>
    <row r="693" spans="1:29" hidden="1" x14ac:dyDescent="0.2">
      <c r="A693" s="117" t="s">
        <v>2801</v>
      </c>
      <c r="B693" s="118" t="e">
        <f t="shared" si="77"/>
        <v>#VALUE!</v>
      </c>
      <c r="C693" s="118" t="s">
        <v>612</v>
      </c>
      <c r="D693" s="113">
        <v>39562</v>
      </c>
      <c r="E693" s="84"/>
      <c r="F693" s="84"/>
      <c r="G693" s="229"/>
      <c r="H693" s="71"/>
      <c r="I693" s="71"/>
      <c r="J693" s="79"/>
      <c r="K693" s="55"/>
      <c r="L693" s="80"/>
      <c r="M693" s="80"/>
      <c r="N693" s="73"/>
      <c r="O693" s="73"/>
      <c r="P693" s="74"/>
      <c r="Q693" s="75"/>
      <c r="R693" s="230"/>
      <c r="S693" s="230"/>
      <c r="T693" s="230"/>
      <c r="U693" s="231"/>
      <c r="V693" s="230"/>
      <c r="W693" s="230"/>
      <c r="X693" s="231"/>
      <c r="Y693" s="85"/>
      <c r="Z693" s="85"/>
      <c r="AA693" s="76"/>
      <c r="AB693" s="77"/>
      <c r="AC693" s="78"/>
    </row>
    <row r="694" spans="1:29" hidden="1" x14ac:dyDescent="0.2">
      <c r="A694" s="117" t="s">
        <v>2802</v>
      </c>
      <c r="B694" s="118" t="e">
        <f t="shared" si="77"/>
        <v>#VALUE!</v>
      </c>
      <c r="C694" s="118" t="s">
        <v>612</v>
      </c>
      <c r="D694" s="113">
        <v>39562</v>
      </c>
      <c r="E694" s="84"/>
      <c r="F694" s="84"/>
      <c r="G694" s="229"/>
      <c r="H694" s="71"/>
      <c r="I694" s="71"/>
      <c r="J694" s="79"/>
      <c r="K694" s="55"/>
      <c r="L694" s="80"/>
      <c r="M694" s="80"/>
      <c r="N694" s="73"/>
      <c r="O694" s="73"/>
      <c r="P694" s="74"/>
      <c r="Q694" s="75"/>
      <c r="R694" s="230"/>
      <c r="S694" s="230"/>
      <c r="T694" s="230"/>
      <c r="U694" s="231"/>
      <c r="V694" s="230"/>
      <c r="W694" s="230"/>
      <c r="X694" s="231"/>
      <c r="Y694" s="85"/>
      <c r="Z694" s="85"/>
      <c r="AA694" s="76"/>
      <c r="AB694" s="77"/>
      <c r="AC694" s="78"/>
    </row>
    <row r="695" spans="1:29" hidden="1" x14ac:dyDescent="0.2">
      <c r="A695" s="117" t="s">
        <v>2803</v>
      </c>
      <c r="B695" s="118" t="e">
        <f t="shared" si="77"/>
        <v>#VALUE!</v>
      </c>
      <c r="C695" s="118" t="s">
        <v>612</v>
      </c>
      <c r="D695" s="113">
        <v>39562</v>
      </c>
      <c r="E695" s="84"/>
      <c r="F695" s="84"/>
      <c r="G695" s="229"/>
      <c r="H695" s="71"/>
      <c r="I695" s="71"/>
      <c r="J695" s="79"/>
      <c r="K695" s="55"/>
      <c r="L695" s="80"/>
      <c r="M695" s="80"/>
      <c r="N695" s="73"/>
      <c r="O695" s="73"/>
      <c r="P695" s="74"/>
      <c r="Q695" s="75"/>
      <c r="R695" s="230"/>
      <c r="S695" s="230"/>
      <c r="T695" s="230"/>
      <c r="U695" s="231"/>
      <c r="V695" s="230"/>
      <c r="W695" s="230"/>
      <c r="X695" s="231"/>
      <c r="Y695" s="85"/>
      <c r="Z695" s="85"/>
      <c r="AA695" s="76"/>
      <c r="AB695" s="77"/>
      <c r="AC695" s="78"/>
    </row>
    <row r="696" spans="1:29" hidden="1" x14ac:dyDescent="0.2">
      <c r="A696" s="117" t="s">
        <v>2804</v>
      </c>
      <c r="B696" s="118" t="e">
        <f t="shared" si="77"/>
        <v>#VALUE!</v>
      </c>
      <c r="C696" s="118" t="s">
        <v>612</v>
      </c>
      <c r="D696" s="113">
        <v>39562</v>
      </c>
      <c r="E696" s="84"/>
      <c r="F696" s="84"/>
      <c r="G696" s="229"/>
      <c r="H696" s="71"/>
      <c r="I696" s="71"/>
      <c r="J696" s="79"/>
      <c r="K696" s="55"/>
      <c r="L696" s="80"/>
      <c r="M696" s="80"/>
      <c r="N696" s="73"/>
      <c r="O696" s="73"/>
      <c r="P696" s="74"/>
      <c r="Q696" s="75"/>
      <c r="R696" s="230"/>
      <c r="S696" s="230"/>
      <c r="T696" s="230"/>
      <c r="U696" s="231"/>
      <c r="V696" s="230"/>
      <c r="W696" s="230"/>
      <c r="X696" s="231"/>
      <c r="Y696" s="85"/>
      <c r="Z696" s="85"/>
      <c r="AA696" s="76"/>
      <c r="AB696" s="77"/>
      <c r="AC696" s="78"/>
    </row>
    <row r="697" spans="1:29" hidden="1" x14ac:dyDescent="0.2">
      <c r="A697" s="117" t="s">
        <v>2805</v>
      </c>
      <c r="B697" s="118" t="e">
        <f t="shared" si="77"/>
        <v>#VALUE!</v>
      </c>
      <c r="C697" s="118" t="s">
        <v>612</v>
      </c>
      <c r="D697" s="113">
        <v>39562</v>
      </c>
      <c r="E697" s="84"/>
      <c r="F697" s="84"/>
      <c r="G697" s="229"/>
      <c r="H697" s="71"/>
      <c r="I697" s="71"/>
      <c r="J697" s="79"/>
      <c r="K697" s="55"/>
      <c r="L697" s="80"/>
      <c r="M697" s="80"/>
      <c r="N697" s="73"/>
      <c r="O697" s="73"/>
      <c r="P697" s="74"/>
      <c r="Q697" s="75"/>
      <c r="R697" s="230"/>
      <c r="S697" s="230"/>
      <c r="T697" s="230"/>
      <c r="U697" s="231"/>
      <c r="V697" s="230"/>
      <c r="W697" s="230"/>
      <c r="X697" s="231"/>
      <c r="Y697" s="85"/>
      <c r="Z697" s="85"/>
      <c r="AA697" s="76"/>
      <c r="AB697" s="77"/>
      <c r="AC697" s="78"/>
    </row>
    <row r="698" spans="1:29" hidden="1" x14ac:dyDescent="0.2">
      <c r="A698" s="117" t="s">
        <v>2806</v>
      </c>
      <c r="B698" s="118" t="e">
        <f t="shared" si="77"/>
        <v>#VALUE!</v>
      </c>
      <c r="C698" s="118" t="s">
        <v>612</v>
      </c>
      <c r="D698" s="113">
        <v>39562</v>
      </c>
      <c r="E698" s="84"/>
      <c r="F698" s="84"/>
      <c r="G698" s="229"/>
      <c r="H698" s="71"/>
      <c r="I698" s="71"/>
      <c r="J698" s="79"/>
      <c r="K698" s="55"/>
      <c r="L698" s="80"/>
      <c r="M698" s="80"/>
      <c r="N698" s="73"/>
      <c r="O698" s="73"/>
      <c r="P698" s="74"/>
      <c r="Q698" s="75"/>
      <c r="R698" s="230"/>
      <c r="S698" s="230"/>
      <c r="T698" s="230"/>
      <c r="U698" s="231"/>
      <c r="V698" s="230"/>
      <c r="W698" s="230"/>
      <c r="X698" s="231"/>
      <c r="Y698" s="85"/>
      <c r="Z698" s="85"/>
      <c r="AA698" s="76"/>
      <c r="AB698" s="77"/>
      <c r="AC698" s="78"/>
    </row>
    <row r="699" spans="1:29" hidden="1" x14ac:dyDescent="0.2">
      <c r="A699" s="117" t="s">
        <v>2807</v>
      </c>
      <c r="B699" s="118" t="e">
        <f t="shared" si="77"/>
        <v>#VALUE!</v>
      </c>
      <c r="C699" s="118" t="s">
        <v>612</v>
      </c>
      <c r="D699" s="113">
        <v>39562</v>
      </c>
      <c r="E699" s="84"/>
      <c r="F699" s="84"/>
      <c r="G699" s="229"/>
      <c r="H699" s="71"/>
      <c r="I699" s="71"/>
      <c r="J699" s="79"/>
      <c r="K699" s="55"/>
      <c r="L699" s="80"/>
      <c r="M699" s="80"/>
      <c r="N699" s="73"/>
      <c r="O699" s="73"/>
      <c r="P699" s="74"/>
      <c r="Q699" s="75"/>
      <c r="R699" s="230"/>
      <c r="S699" s="230"/>
      <c r="T699" s="230"/>
      <c r="U699" s="231"/>
      <c r="V699" s="230"/>
      <c r="W699" s="230"/>
      <c r="X699" s="231"/>
      <c r="Y699" s="85"/>
      <c r="Z699" s="85"/>
      <c r="AA699" s="76"/>
      <c r="AB699" s="77"/>
      <c r="AC699" s="78"/>
    </row>
    <row r="700" spans="1:29" hidden="1" x14ac:dyDescent="0.2">
      <c r="A700" s="117" t="s">
        <v>2808</v>
      </c>
      <c r="B700" s="118" t="e">
        <f t="shared" si="77"/>
        <v>#VALUE!</v>
      </c>
      <c r="C700" s="118" t="s">
        <v>612</v>
      </c>
      <c r="D700" s="113">
        <v>39562</v>
      </c>
      <c r="E700" s="84"/>
      <c r="F700" s="84"/>
      <c r="G700" s="229"/>
      <c r="H700" s="71"/>
      <c r="I700" s="71"/>
      <c r="J700" s="79"/>
      <c r="K700" s="55"/>
      <c r="L700" s="80"/>
      <c r="M700" s="80"/>
      <c r="N700" s="73"/>
      <c r="O700" s="73"/>
      <c r="P700" s="74"/>
      <c r="Q700" s="75"/>
      <c r="R700" s="230"/>
      <c r="S700" s="230"/>
      <c r="T700" s="230"/>
      <c r="U700" s="231"/>
      <c r="V700" s="230"/>
      <c r="W700" s="230"/>
      <c r="X700" s="231"/>
      <c r="Y700" s="85"/>
      <c r="Z700" s="85"/>
      <c r="AA700" s="76"/>
      <c r="AB700" s="77"/>
      <c r="AC700" s="78"/>
    </row>
    <row r="701" spans="1:29" hidden="1" x14ac:dyDescent="0.2">
      <c r="A701" s="117" t="s">
        <v>2809</v>
      </c>
      <c r="B701" s="118" t="e">
        <f t="shared" si="77"/>
        <v>#VALUE!</v>
      </c>
      <c r="C701" s="118" t="s">
        <v>612</v>
      </c>
      <c r="D701" s="113">
        <v>39562</v>
      </c>
      <c r="E701" s="84"/>
      <c r="F701" s="84"/>
      <c r="G701" s="229"/>
      <c r="H701" s="71"/>
      <c r="I701" s="71"/>
      <c r="J701" s="79"/>
      <c r="K701" s="55"/>
      <c r="L701" s="80"/>
      <c r="M701" s="80"/>
      <c r="N701" s="73"/>
      <c r="O701" s="73"/>
      <c r="P701" s="74"/>
      <c r="Q701" s="75"/>
      <c r="R701" s="230"/>
      <c r="S701" s="230"/>
      <c r="T701" s="230"/>
      <c r="U701" s="231"/>
      <c r="V701" s="230"/>
      <c r="W701" s="230"/>
      <c r="X701" s="231"/>
      <c r="Y701" s="85"/>
      <c r="Z701" s="85"/>
      <c r="AA701" s="76"/>
      <c r="AB701" s="77"/>
      <c r="AC701" s="78"/>
    </row>
    <row r="702" spans="1:29" hidden="1" x14ac:dyDescent="0.2">
      <c r="A702" s="117" t="s">
        <v>2810</v>
      </c>
      <c r="B702" s="118" t="e">
        <f t="shared" si="77"/>
        <v>#VALUE!</v>
      </c>
      <c r="C702" s="118" t="s">
        <v>612</v>
      </c>
      <c r="D702" s="113">
        <v>39562</v>
      </c>
      <c r="E702" s="84"/>
      <c r="F702" s="84"/>
      <c r="G702" s="229"/>
      <c r="H702" s="71"/>
      <c r="I702" s="71"/>
      <c r="J702" s="79"/>
      <c r="K702" s="55"/>
      <c r="L702" s="80"/>
      <c r="M702" s="80"/>
      <c r="N702" s="73"/>
      <c r="O702" s="73"/>
      <c r="P702" s="74"/>
      <c r="Q702" s="75"/>
      <c r="R702" s="230"/>
      <c r="S702" s="230"/>
      <c r="T702" s="230"/>
      <c r="U702" s="231"/>
      <c r="V702" s="230"/>
      <c r="W702" s="230"/>
      <c r="X702" s="231"/>
      <c r="Y702" s="85"/>
      <c r="Z702" s="85"/>
      <c r="AA702" s="76"/>
      <c r="AB702" s="77"/>
      <c r="AC702" s="78"/>
    </row>
    <row r="703" spans="1:29" hidden="1" x14ac:dyDescent="0.2">
      <c r="A703" s="117" t="s">
        <v>2811</v>
      </c>
      <c r="B703" s="118" t="e">
        <f t="shared" si="77"/>
        <v>#VALUE!</v>
      </c>
      <c r="C703" s="118" t="s">
        <v>612</v>
      </c>
      <c r="D703" s="113">
        <v>39562</v>
      </c>
      <c r="E703" s="84"/>
      <c r="F703" s="84"/>
      <c r="G703" s="229"/>
      <c r="H703" s="71"/>
      <c r="I703" s="71"/>
      <c r="J703" s="79"/>
      <c r="K703" s="55"/>
      <c r="L703" s="80"/>
      <c r="M703" s="80"/>
      <c r="N703" s="73"/>
      <c r="O703" s="73"/>
      <c r="P703" s="74"/>
      <c r="Q703" s="75"/>
      <c r="R703" s="230"/>
      <c r="S703" s="230"/>
      <c r="T703" s="230"/>
      <c r="U703" s="231"/>
      <c r="V703" s="230"/>
      <c r="W703" s="230"/>
      <c r="X703" s="231"/>
      <c r="Y703" s="85"/>
      <c r="Z703" s="85"/>
      <c r="AA703" s="76"/>
      <c r="AB703" s="77"/>
      <c r="AC703" s="78"/>
    </row>
    <row r="704" spans="1:29" hidden="1" x14ac:dyDescent="0.2">
      <c r="A704" s="117" t="s">
        <v>2812</v>
      </c>
      <c r="B704" s="118" t="e">
        <f t="shared" si="77"/>
        <v>#VALUE!</v>
      </c>
      <c r="C704" s="118" t="s">
        <v>612</v>
      </c>
      <c r="D704" s="113">
        <v>39562</v>
      </c>
      <c r="E704" s="84"/>
      <c r="F704" s="84"/>
      <c r="G704" s="229"/>
      <c r="H704" s="71"/>
      <c r="I704" s="71"/>
      <c r="J704" s="79"/>
      <c r="K704" s="55"/>
      <c r="L704" s="80"/>
      <c r="M704" s="80"/>
      <c r="N704" s="73"/>
      <c r="O704" s="73"/>
      <c r="P704" s="74"/>
      <c r="Q704" s="75"/>
      <c r="R704" s="230"/>
      <c r="S704" s="230"/>
      <c r="T704" s="230"/>
      <c r="U704" s="231"/>
      <c r="V704" s="230"/>
      <c r="W704" s="230"/>
      <c r="X704" s="231"/>
      <c r="Y704" s="85"/>
      <c r="Z704" s="85"/>
      <c r="AA704" s="76"/>
      <c r="AB704" s="77"/>
      <c r="AC704" s="78"/>
    </row>
    <row r="705" spans="1:29" hidden="1" x14ac:dyDescent="0.2">
      <c r="A705" s="117" t="s">
        <v>2813</v>
      </c>
      <c r="B705" s="118" t="e">
        <f t="shared" si="77"/>
        <v>#VALUE!</v>
      </c>
      <c r="C705" s="118" t="s">
        <v>612</v>
      </c>
      <c r="D705" s="113">
        <v>39562</v>
      </c>
      <c r="E705" s="84"/>
      <c r="F705" s="84"/>
      <c r="G705" s="229"/>
      <c r="H705" s="71"/>
      <c r="I705" s="71"/>
      <c r="J705" s="79"/>
      <c r="K705" s="55"/>
      <c r="L705" s="80"/>
      <c r="M705" s="80"/>
      <c r="N705" s="73"/>
      <c r="O705" s="73"/>
      <c r="P705" s="74"/>
      <c r="Q705" s="75"/>
      <c r="R705" s="230"/>
      <c r="S705" s="230"/>
      <c r="T705" s="230"/>
      <c r="U705" s="231"/>
      <c r="V705" s="230"/>
      <c r="W705" s="230"/>
      <c r="X705" s="231"/>
      <c r="Y705" s="85"/>
      <c r="Z705" s="85"/>
      <c r="AA705" s="76"/>
      <c r="AB705" s="77"/>
      <c r="AC705" s="78"/>
    </row>
    <row r="706" spans="1:29" hidden="1" x14ac:dyDescent="0.2">
      <c r="A706" s="117" t="s">
        <v>2814</v>
      </c>
      <c r="B706" s="118" t="e">
        <f t="shared" si="77"/>
        <v>#VALUE!</v>
      </c>
      <c r="C706" s="118" t="s">
        <v>612</v>
      </c>
      <c r="D706" s="113">
        <v>39562</v>
      </c>
      <c r="E706" s="84"/>
      <c r="F706" s="84"/>
      <c r="G706" s="229"/>
      <c r="H706" s="71"/>
      <c r="I706" s="71"/>
      <c r="J706" s="79"/>
      <c r="K706" s="55"/>
      <c r="L706" s="80"/>
      <c r="M706" s="80"/>
      <c r="N706" s="73"/>
      <c r="O706" s="73"/>
      <c r="P706" s="74"/>
      <c r="Q706" s="75"/>
      <c r="R706" s="230"/>
      <c r="S706" s="230"/>
      <c r="T706" s="230"/>
      <c r="U706" s="231"/>
      <c r="V706" s="230"/>
      <c r="W706" s="230"/>
      <c r="X706" s="231"/>
      <c r="Y706" s="85"/>
      <c r="Z706" s="85"/>
      <c r="AA706" s="76"/>
      <c r="AB706" s="77"/>
      <c r="AC706" s="78"/>
    </row>
    <row r="707" spans="1:29" hidden="1" x14ac:dyDescent="0.2">
      <c r="A707" s="117" t="s">
        <v>2815</v>
      </c>
      <c r="B707" s="118" t="e">
        <f t="shared" si="77"/>
        <v>#VALUE!</v>
      </c>
      <c r="C707" s="118" t="s">
        <v>612</v>
      </c>
      <c r="D707" s="113">
        <v>39562</v>
      </c>
      <c r="E707" s="84"/>
      <c r="F707" s="84"/>
      <c r="G707" s="229"/>
      <c r="H707" s="71"/>
      <c r="I707" s="71"/>
      <c r="J707" s="79"/>
      <c r="K707" s="55"/>
      <c r="L707" s="80"/>
      <c r="M707" s="80"/>
      <c r="N707" s="73"/>
      <c r="O707" s="73"/>
      <c r="P707" s="74"/>
      <c r="Q707" s="75"/>
      <c r="R707" s="230"/>
      <c r="S707" s="230"/>
      <c r="T707" s="230"/>
      <c r="U707" s="231"/>
      <c r="V707" s="230"/>
      <c r="W707" s="230"/>
      <c r="X707" s="231"/>
      <c r="Y707" s="85"/>
      <c r="Z707" s="85"/>
      <c r="AA707" s="76"/>
      <c r="AB707" s="77"/>
      <c r="AC707" s="78"/>
    </row>
    <row r="708" spans="1:29" hidden="1" x14ac:dyDescent="0.2">
      <c r="A708" s="117" t="s">
        <v>2816</v>
      </c>
      <c r="B708" s="118" t="e">
        <f t="shared" si="77"/>
        <v>#VALUE!</v>
      </c>
      <c r="C708" s="118" t="s">
        <v>612</v>
      </c>
      <c r="D708" s="113">
        <v>39562</v>
      </c>
      <c r="E708" s="84"/>
      <c r="F708" s="84"/>
      <c r="G708" s="229"/>
      <c r="H708" s="71"/>
      <c r="I708" s="71"/>
      <c r="J708" s="79"/>
      <c r="K708" s="55"/>
      <c r="L708" s="80"/>
      <c r="M708" s="80"/>
      <c r="N708" s="73"/>
      <c r="O708" s="73"/>
      <c r="P708" s="74"/>
      <c r="Q708" s="75"/>
      <c r="R708" s="230"/>
      <c r="S708" s="230"/>
      <c r="T708" s="230"/>
      <c r="U708" s="231"/>
      <c r="V708" s="230"/>
      <c r="W708" s="230"/>
      <c r="X708" s="231"/>
      <c r="Y708" s="85"/>
      <c r="Z708" s="85"/>
      <c r="AA708" s="76"/>
      <c r="AB708" s="77"/>
      <c r="AC708" s="78"/>
    </row>
    <row r="709" spans="1:29" hidden="1" x14ac:dyDescent="0.2">
      <c r="A709" s="117" t="s">
        <v>2817</v>
      </c>
      <c r="B709" s="118" t="e">
        <f t="shared" si="77"/>
        <v>#VALUE!</v>
      </c>
      <c r="C709" s="118" t="s">
        <v>612</v>
      </c>
      <c r="D709" s="113">
        <v>39562</v>
      </c>
      <c r="E709" s="84"/>
      <c r="F709" s="84"/>
      <c r="G709" s="229"/>
      <c r="H709" s="71"/>
      <c r="I709" s="71"/>
      <c r="J709" s="79"/>
      <c r="K709" s="55"/>
      <c r="L709" s="80"/>
      <c r="M709" s="80"/>
      <c r="N709" s="73"/>
      <c r="O709" s="73"/>
      <c r="P709" s="74"/>
      <c r="Q709" s="75"/>
      <c r="R709" s="230"/>
      <c r="S709" s="230"/>
      <c r="T709" s="230"/>
      <c r="U709" s="231"/>
      <c r="V709" s="230"/>
      <c r="W709" s="230"/>
      <c r="X709" s="231"/>
      <c r="Y709" s="85"/>
      <c r="Z709" s="85"/>
      <c r="AA709" s="76"/>
      <c r="AB709" s="77"/>
      <c r="AC709" s="78"/>
    </row>
    <row r="710" spans="1:29" hidden="1" x14ac:dyDescent="0.2">
      <c r="A710" s="117" t="s">
        <v>2818</v>
      </c>
      <c r="B710" s="118" t="e">
        <f t="shared" si="77"/>
        <v>#VALUE!</v>
      </c>
      <c r="C710" s="118" t="s">
        <v>612</v>
      </c>
      <c r="D710" s="113">
        <v>39562</v>
      </c>
      <c r="E710" s="84"/>
      <c r="F710" s="84"/>
      <c r="G710" s="229"/>
      <c r="H710" s="71"/>
      <c r="I710" s="71"/>
      <c r="J710" s="79"/>
      <c r="K710" s="55"/>
      <c r="L710" s="80"/>
      <c r="M710" s="80"/>
      <c r="N710" s="73"/>
      <c r="O710" s="73"/>
      <c r="P710" s="74"/>
      <c r="Q710" s="75"/>
      <c r="R710" s="230"/>
      <c r="S710" s="230"/>
      <c r="T710" s="230"/>
      <c r="U710" s="231"/>
      <c r="V710" s="230"/>
      <c r="W710" s="230"/>
      <c r="X710" s="231"/>
      <c r="Y710" s="85"/>
      <c r="Z710" s="85"/>
      <c r="AA710" s="76"/>
      <c r="AB710" s="77"/>
      <c r="AC710" s="78"/>
    </row>
    <row r="711" spans="1:29" hidden="1" x14ac:dyDescent="0.2">
      <c r="A711" s="117" t="s">
        <v>2819</v>
      </c>
      <c r="B711" s="118" t="e">
        <f t="shared" si="77"/>
        <v>#VALUE!</v>
      </c>
      <c r="C711" s="118" t="s">
        <v>612</v>
      </c>
      <c r="D711" s="113">
        <v>39562</v>
      </c>
      <c r="E711" s="90"/>
      <c r="F711" s="84"/>
      <c r="G711" s="237"/>
      <c r="H711" s="71"/>
      <c r="I711" s="71"/>
      <c r="J711" s="79"/>
      <c r="K711" s="55"/>
      <c r="L711" s="80"/>
      <c r="M711" s="80"/>
      <c r="N711" s="73"/>
      <c r="O711" s="73"/>
      <c r="P711" s="74"/>
      <c r="Q711" s="75"/>
      <c r="R711" s="230"/>
      <c r="S711" s="230"/>
      <c r="T711" s="230"/>
      <c r="U711" s="231"/>
      <c r="V711" s="230"/>
      <c r="W711" s="230"/>
      <c r="X711" s="231"/>
      <c r="Y711" s="85"/>
      <c r="Z711" s="85"/>
      <c r="AA711" s="76"/>
      <c r="AB711" s="77"/>
      <c r="AC711" s="78"/>
    </row>
    <row r="712" spans="1:29" hidden="1" x14ac:dyDescent="0.2">
      <c r="A712" s="117"/>
      <c r="D712" s="113"/>
      <c r="E712" s="84"/>
      <c r="F712" s="84"/>
      <c r="G712" s="229"/>
      <c r="H712" s="71"/>
      <c r="I712" s="71"/>
      <c r="J712" s="79"/>
      <c r="K712" s="79"/>
      <c r="L712" s="80"/>
      <c r="M712" s="80"/>
      <c r="N712" s="73"/>
      <c r="O712" s="73"/>
      <c r="P712" s="74"/>
      <c r="Q712" s="75"/>
      <c r="R712" s="230"/>
      <c r="S712" s="230"/>
      <c r="T712" s="230"/>
      <c r="U712" s="231"/>
      <c r="V712" s="230"/>
      <c r="W712" s="230"/>
      <c r="X712" s="231"/>
      <c r="Y712" s="85"/>
      <c r="Z712" s="85"/>
      <c r="AA712" s="76"/>
      <c r="AB712" s="77"/>
      <c r="AC712" s="78"/>
    </row>
    <row r="713" spans="1:29" ht="40" hidden="1" customHeight="1" x14ac:dyDescent="0.2">
      <c r="A713" s="117" t="s">
        <v>2820</v>
      </c>
      <c r="B713" s="118" t="e">
        <f t="shared" ref="B713:B726" si="78">IF(COUNTIF(GIS,A715),"YES","NO")</f>
        <v>#VALUE!</v>
      </c>
      <c r="C713" s="118" t="s">
        <v>612</v>
      </c>
      <c r="D713" s="113">
        <v>39618</v>
      </c>
      <c r="E713" s="84">
        <v>39692</v>
      </c>
      <c r="F713" s="84">
        <f t="shared" ref="F713:F729" si="79">DATE(YEAR(E713)+10,MONTH(E713),DAY(E713))</f>
        <v>43344</v>
      </c>
      <c r="G713" s="229">
        <v>550.48</v>
      </c>
      <c r="H713" s="71" t="s">
        <v>2821</v>
      </c>
      <c r="I713" s="71" t="s">
        <v>931</v>
      </c>
      <c r="J713" s="238" t="s">
        <v>2277</v>
      </c>
      <c r="K713" s="55">
        <f t="shared" ref="K713:K744" si="80">YEAR(F713)</f>
        <v>2018</v>
      </c>
      <c r="L713" s="239"/>
      <c r="M713" s="239"/>
      <c r="N713" s="73" t="s">
        <v>2822</v>
      </c>
      <c r="O713" s="73" t="s">
        <v>2823</v>
      </c>
      <c r="P713" s="74" t="s">
        <v>2824</v>
      </c>
      <c r="Q713" s="75"/>
      <c r="R713" s="230">
        <v>2068.5</v>
      </c>
      <c r="S713" s="230">
        <v>2204</v>
      </c>
      <c r="T713" s="230">
        <v>4272.5</v>
      </c>
      <c r="U713" s="231">
        <v>826.5</v>
      </c>
      <c r="V713" s="230"/>
      <c r="W713" s="230"/>
      <c r="X713" s="231"/>
      <c r="Y713" s="85">
        <v>0</v>
      </c>
      <c r="Z713" s="85"/>
      <c r="AA713" s="76"/>
      <c r="AB713" s="77"/>
      <c r="AC713" s="78"/>
    </row>
    <row r="714" spans="1:29" ht="53" hidden="1" customHeight="1" x14ac:dyDescent="0.2">
      <c r="A714" s="117" t="s">
        <v>2825</v>
      </c>
      <c r="B714" s="118" t="e">
        <f t="shared" si="78"/>
        <v>#VALUE!</v>
      </c>
      <c r="C714" s="118" t="s">
        <v>612</v>
      </c>
      <c r="D714" s="113">
        <v>39618</v>
      </c>
      <c r="E714" s="84">
        <v>39692</v>
      </c>
      <c r="F714" s="84">
        <f t="shared" si="79"/>
        <v>43344</v>
      </c>
      <c r="G714" s="229">
        <v>401.13</v>
      </c>
      <c r="H714" s="71" t="s">
        <v>2826</v>
      </c>
      <c r="I714" s="71" t="s">
        <v>676</v>
      </c>
      <c r="J714" s="248"/>
      <c r="K714" s="55">
        <f t="shared" si="80"/>
        <v>2018</v>
      </c>
      <c r="L714" s="249"/>
      <c r="M714" s="249"/>
      <c r="N714" s="73" t="s">
        <v>2827</v>
      </c>
      <c r="O714" s="73" t="s">
        <v>2828</v>
      </c>
      <c r="P714" s="74" t="s">
        <v>2829</v>
      </c>
      <c r="Q714" s="75"/>
      <c r="R714" s="230">
        <v>1547</v>
      </c>
      <c r="S714" s="230"/>
      <c r="T714" s="230">
        <v>1547</v>
      </c>
      <c r="U714" s="231">
        <v>603</v>
      </c>
      <c r="V714" s="230"/>
      <c r="W714" s="230"/>
      <c r="X714" s="231"/>
      <c r="Y714" s="85">
        <v>0</v>
      </c>
      <c r="Z714" s="85"/>
      <c r="AA714" s="76"/>
      <c r="AB714" s="77"/>
      <c r="AC714" s="78"/>
    </row>
    <row r="715" spans="1:29" ht="53" hidden="1" customHeight="1" x14ac:dyDescent="0.2">
      <c r="A715" s="117" t="s">
        <v>2830</v>
      </c>
      <c r="B715" s="118" t="e">
        <f t="shared" si="78"/>
        <v>#VALUE!</v>
      </c>
      <c r="C715" s="118" t="s">
        <v>612</v>
      </c>
      <c r="D715" s="113">
        <v>39618</v>
      </c>
      <c r="E715" s="84">
        <v>39692</v>
      </c>
      <c r="F715" s="84">
        <f t="shared" si="79"/>
        <v>43344</v>
      </c>
      <c r="G715" s="254">
        <v>590.54</v>
      </c>
      <c r="H715" s="71" t="s">
        <v>2826</v>
      </c>
      <c r="I715" s="71" t="s">
        <v>676</v>
      </c>
      <c r="J715" s="248"/>
      <c r="K715" s="55">
        <f t="shared" si="80"/>
        <v>2018</v>
      </c>
      <c r="L715" s="249"/>
      <c r="M715" s="249"/>
      <c r="N715" s="73" t="s">
        <v>2827</v>
      </c>
      <c r="O715" s="73" t="s">
        <v>2828</v>
      </c>
      <c r="P715" s="74" t="s">
        <v>2831</v>
      </c>
      <c r="Q715" s="75"/>
      <c r="R715" s="230">
        <v>2208.5</v>
      </c>
      <c r="S715" s="230"/>
      <c r="T715" s="230">
        <v>2208.5</v>
      </c>
      <c r="U715" s="231">
        <v>886.5</v>
      </c>
      <c r="V715" s="230"/>
      <c r="W715" s="230"/>
      <c r="X715" s="231"/>
      <c r="Y715" s="85">
        <v>0</v>
      </c>
      <c r="Z715" s="85"/>
      <c r="AA715" s="76"/>
      <c r="AB715" s="77"/>
      <c r="AC715" s="78"/>
    </row>
    <row r="716" spans="1:29" ht="40" hidden="1" customHeight="1" x14ac:dyDescent="0.2">
      <c r="A716" s="117" t="s">
        <v>2832</v>
      </c>
      <c r="B716" s="118" t="e">
        <f t="shared" si="78"/>
        <v>#VALUE!</v>
      </c>
      <c r="C716" s="118" t="s">
        <v>612</v>
      </c>
      <c r="D716" s="113">
        <v>39618</v>
      </c>
      <c r="E716" s="84">
        <v>39692</v>
      </c>
      <c r="F716" s="84">
        <f t="shared" si="79"/>
        <v>43344</v>
      </c>
      <c r="G716" s="229">
        <v>560</v>
      </c>
      <c r="H716" s="71" t="s">
        <v>2826</v>
      </c>
      <c r="I716" s="71" t="s">
        <v>676</v>
      </c>
      <c r="J716" s="248"/>
      <c r="K716" s="55">
        <f t="shared" si="80"/>
        <v>2018</v>
      </c>
      <c r="L716" s="249"/>
      <c r="M716" s="249"/>
      <c r="N716" s="73" t="s">
        <v>2827</v>
      </c>
      <c r="O716" s="73" t="s">
        <v>2828</v>
      </c>
      <c r="P716" s="74" t="s">
        <v>2833</v>
      </c>
      <c r="Q716" s="75"/>
      <c r="R716" s="230">
        <v>2100</v>
      </c>
      <c r="S716" s="230"/>
      <c r="T716" s="230">
        <v>2100</v>
      </c>
      <c r="U716" s="231">
        <v>840</v>
      </c>
      <c r="V716" s="230"/>
      <c r="W716" s="230"/>
      <c r="X716" s="231"/>
      <c r="Y716" s="85">
        <v>0</v>
      </c>
      <c r="Z716" s="85"/>
      <c r="AA716" s="76"/>
      <c r="AB716" s="77"/>
      <c r="AC716" s="78"/>
    </row>
    <row r="717" spans="1:29" ht="40" hidden="1" customHeight="1" x14ac:dyDescent="0.2">
      <c r="A717" s="117" t="s">
        <v>2834</v>
      </c>
      <c r="B717" s="118" t="e">
        <f t="shared" si="78"/>
        <v>#VALUE!</v>
      </c>
      <c r="C717" s="118" t="s">
        <v>612</v>
      </c>
      <c r="D717" s="113">
        <v>39618</v>
      </c>
      <c r="E717" s="84">
        <v>39692</v>
      </c>
      <c r="F717" s="84">
        <f t="shared" si="79"/>
        <v>43344</v>
      </c>
      <c r="G717" s="229">
        <v>520</v>
      </c>
      <c r="H717" s="71" t="s">
        <v>2826</v>
      </c>
      <c r="I717" s="71" t="s">
        <v>676</v>
      </c>
      <c r="J717" s="248"/>
      <c r="K717" s="55">
        <f t="shared" si="80"/>
        <v>2018</v>
      </c>
      <c r="L717" s="249"/>
      <c r="M717" s="249"/>
      <c r="N717" s="73" t="s">
        <v>2827</v>
      </c>
      <c r="O717" s="73" t="s">
        <v>2828</v>
      </c>
      <c r="P717" s="74" t="s">
        <v>2835</v>
      </c>
      <c r="Q717" s="75"/>
      <c r="R717" s="230">
        <v>1960</v>
      </c>
      <c r="S717" s="230"/>
      <c r="T717" s="230">
        <v>1960</v>
      </c>
      <c r="U717" s="231">
        <v>780</v>
      </c>
      <c r="V717" s="230"/>
      <c r="W717" s="230"/>
      <c r="X717" s="231"/>
      <c r="Y717" s="85">
        <v>0</v>
      </c>
      <c r="Z717" s="85"/>
      <c r="AA717" s="76"/>
      <c r="AB717" s="77"/>
      <c r="AC717" s="78"/>
    </row>
    <row r="718" spans="1:29" ht="40" hidden="1" customHeight="1" x14ac:dyDescent="0.2">
      <c r="A718" s="117" t="s">
        <v>2836</v>
      </c>
      <c r="B718" s="118" t="e">
        <f t="shared" si="78"/>
        <v>#VALUE!</v>
      </c>
      <c r="C718" s="118" t="s">
        <v>612</v>
      </c>
      <c r="D718" s="113">
        <v>39618</v>
      </c>
      <c r="E718" s="84">
        <v>39692</v>
      </c>
      <c r="F718" s="84">
        <f t="shared" si="79"/>
        <v>43344</v>
      </c>
      <c r="G718" s="229">
        <v>524</v>
      </c>
      <c r="H718" s="71" t="s">
        <v>2826</v>
      </c>
      <c r="I718" s="71" t="s">
        <v>676</v>
      </c>
      <c r="J718" s="248"/>
      <c r="K718" s="55">
        <f t="shared" si="80"/>
        <v>2018</v>
      </c>
      <c r="L718" s="249"/>
      <c r="M718" s="249"/>
      <c r="N718" s="73" t="s">
        <v>2827</v>
      </c>
      <c r="O718" s="73" t="s">
        <v>2828</v>
      </c>
      <c r="P718" s="74" t="s">
        <v>2837</v>
      </c>
      <c r="Q718" s="75"/>
      <c r="R718" s="230">
        <v>1974</v>
      </c>
      <c r="S718" s="230"/>
      <c r="T718" s="230">
        <v>1974</v>
      </c>
      <c r="U718" s="231">
        <v>786</v>
      </c>
      <c r="V718" s="230"/>
      <c r="W718" s="230"/>
      <c r="X718" s="231"/>
      <c r="Y718" s="85">
        <v>0</v>
      </c>
      <c r="Z718" s="85"/>
      <c r="AA718" s="76"/>
      <c r="AB718" s="77"/>
      <c r="AC718" s="78"/>
    </row>
    <row r="719" spans="1:29" ht="27" hidden="1" customHeight="1" x14ac:dyDescent="0.2">
      <c r="A719" s="117" t="s">
        <v>2838</v>
      </c>
      <c r="B719" s="118" t="e">
        <f t="shared" si="78"/>
        <v>#VALUE!</v>
      </c>
      <c r="C719" s="118" t="s">
        <v>612</v>
      </c>
      <c r="D719" s="113">
        <v>39618</v>
      </c>
      <c r="E719" s="84">
        <v>39692</v>
      </c>
      <c r="F719" s="84">
        <f t="shared" si="79"/>
        <v>43344</v>
      </c>
      <c r="G719" s="229">
        <v>640</v>
      </c>
      <c r="H719" s="71" t="s">
        <v>2826</v>
      </c>
      <c r="I719" s="71" t="s">
        <v>676</v>
      </c>
      <c r="J719" s="248"/>
      <c r="K719" s="55">
        <f t="shared" si="80"/>
        <v>2018</v>
      </c>
      <c r="L719" s="249"/>
      <c r="M719" s="249"/>
      <c r="N719" s="73" t="s">
        <v>2827</v>
      </c>
      <c r="O719" s="73" t="s">
        <v>2828</v>
      </c>
      <c r="P719" s="74" t="s">
        <v>2839</v>
      </c>
      <c r="Q719" s="75"/>
      <c r="R719" s="230">
        <v>2380</v>
      </c>
      <c r="S719" s="230"/>
      <c r="T719" s="230">
        <v>2380</v>
      </c>
      <c r="U719" s="231">
        <v>960</v>
      </c>
      <c r="V719" s="230"/>
      <c r="W719" s="230"/>
      <c r="X719" s="231"/>
      <c r="Y719" s="85">
        <v>0</v>
      </c>
      <c r="Z719" s="85"/>
      <c r="AA719" s="76"/>
      <c r="AB719" s="77"/>
      <c r="AC719" s="78"/>
    </row>
    <row r="720" spans="1:29" ht="40" hidden="1" customHeight="1" x14ac:dyDescent="0.2">
      <c r="A720" s="117" t="s">
        <v>2840</v>
      </c>
      <c r="B720" s="118" t="e">
        <f t="shared" si="78"/>
        <v>#VALUE!</v>
      </c>
      <c r="C720" s="118" t="s">
        <v>612</v>
      </c>
      <c r="D720" s="113">
        <v>39618</v>
      </c>
      <c r="E720" s="84">
        <v>39692</v>
      </c>
      <c r="F720" s="84">
        <f t="shared" si="79"/>
        <v>43344</v>
      </c>
      <c r="G720" s="229">
        <v>520</v>
      </c>
      <c r="H720" s="71" t="s">
        <v>2826</v>
      </c>
      <c r="I720" s="71" t="s">
        <v>676</v>
      </c>
      <c r="J720" s="248"/>
      <c r="K720" s="55">
        <f t="shared" si="80"/>
        <v>2018</v>
      </c>
      <c r="L720" s="249"/>
      <c r="M720" s="249"/>
      <c r="N720" s="73" t="s">
        <v>2827</v>
      </c>
      <c r="O720" s="73" t="s">
        <v>2828</v>
      </c>
      <c r="P720" s="74" t="s">
        <v>2841</v>
      </c>
      <c r="Q720" s="75"/>
      <c r="R720" s="230">
        <v>1960</v>
      </c>
      <c r="S720" s="230"/>
      <c r="T720" s="230">
        <v>1960</v>
      </c>
      <c r="U720" s="231">
        <v>780</v>
      </c>
      <c r="V720" s="230"/>
      <c r="W720" s="230"/>
      <c r="X720" s="231"/>
      <c r="Y720" s="85">
        <v>0</v>
      </c>
      <c r="Z720" s="85"/>
      <c r="AA720" s="76"/>
      <c r="AB720" s="77"/>
      <c r="AC720" s="78"/>
    </row>
    <row r="721" spans="1:29" ht="40" hidden="1" customHeight="1" x14ac:dyDescent="0.2">
      <c r="A721" s="117" t="s">
        <v>2842</v>
      </c>
      <c r="B721" s="118" t="e">
        <f t="shared" si="78"/>
        <v>#VALUE!</v>
      </c>
      <c r="C721" s="118" t="s">
        <v>612</v>
      </c>
      <c r="D721" s="113">
        <v>39618</v>
      </c>
      <c r="E721" s="84">
        <v>39692</v>
      </c>
      <c r="F721" s="84">
        <f t="shared" si="79"/>
        <v>43344</v>
      </c>
      <c r="G721" s="229">
        <v>400</v>
      </c>
      <c r="H721" s="71" t="s">
        <v>2826</v>
      </c>
      <c r="I721" s="71" t="s">
        <v>676</v>
      </c>
      <c r="J721" s="248"/>
      <c r="K721" s="55">
        <f t="shared" si="80"/>
        <v>2018</v>
      </c>
      <c r="L721" s="249"/>
      <c r="M721" s="249"/>
      <c r="N721" s="73" t="s">
        <v>2827</v>
      </c>
      <c r="O721" s="73" t="s">
        <v>2828</v>
      </c>
      <c r="P721" s="74" t="s">
        <v>2843</v>
      </c>
      <c r="Q721" s="75"/>
      <c r="R721" s="230">
        <v>1540</v>
      </c>
      <c r="S721" s="230"/>
      <c r="T721" s="230">
        <v>1540</v>
      </c>
      <c r="U721" s="231">
        <v>600</v>
      </c>
      <c r="V721" s="230"/>
      <c r="W721" s="230"/>
      <c r="X721" s="231"/>
      <c r="Y721" s="85">
        <v>0</v>
      </c>
      <c r="Z721" s="85"/>
      <c r="AA721" s="76"/>
      <c r="AB721" s="77"/>
      <c r="AC721" s="78"/>
    </row>
    <row r="722" spans="1:29" ht="40" hidden="1" customHeight="1" x14ac:dyDescent="0.2">
      <c r="A722" s="117" t="s">
        <v>2844</v>
      </c>
      <c r="B722" s="118" t="e">
        <f t="shared" si="78"/>
        <v>#VALUE!</v>
      </c>
      <c r="C722" s="118" t="s">
        <v>612</v>
      </c>
      <c r="D722" s="113">
        <v>39618</v>
      </c>
      <c r="E722" s="84">
        <v>39692</v>
      </c>
      <c r="F722" s="84">
        <f t="shared" si="79"/>
        <v>43344</v>
      </c>
      <c r="G722" s="229">
        <v>387.79</v>
      </c>
      <c r="H722" s="71" t="s">
        <v>2826</v>
      </c>
      <c r="I722" s="71" t="s">
        <v>676</v>
      </c>
      <c r="J722" s="248"/>
      <c r="K722" s="55">
        <f t="shared" si="80"/>
        <v>2018</v>
      </c>
      <c r="L722" s="249"/>
      <c r="M722" s="249"/>
      <c r="N722" s="73" t="s">
        <v>2827</v>
      </c>
      <c r="O722" s="73" t="s">
        <v>2828</v>
      </c>
      <c r="P722" s="74" t="s">
        <v>2845</v>
      </c>
      <c r="Q722" s="75"/>
      <c r="R722" s="230">
        <v>1498</v>
      </c>
      <c r="S722" s="230"/>
      <c r="T722" s="230">
        <v>1498</v>
      </c>
      <c r="U722" s="231">
        <v>582</v>
      </c>
      <c r="V722" s="230"/>
      <c r="W722" s="230"/>
      <c r="X722" s="231"/>
      <c r="Y722" s="85">
        <v>0</v>
      </c>
      <c r="Z722" s="85"/>
      <c r="AA722" s="76"/>
      <c r="AB722" s="77"/>
      <c r="AC722" s="78"/>
    </row>
    <row r="723" spans="1:29" ht="40" hidden="1" customHeight="1" x14ac:dyDescent="0.2">
      <c r="A723" s="117" t="s">
        <v>2846</v>
      </c>
      <c r="B723" s="118" t="e">
        <f t="shared" si="78"/>
        <v>#VALUE!</v>
      </c>
      <c r="C723" s="118" t="s">
        <v>612</v>
      </c>
      <c r="D723" s="113">
        <v>39618</v>
      </c>
      <c r="E723" s="84">
        <v>39692</v>
      </c>
      <c r="F723" s="84">
        <f t="shared" si="79"/>
        <v>43344</v>
      </c>
      <c r="G723" s="229">
        <v>442.03</v>
      </c>
      <c r="H723" s="71" t="s">
        <v>2826</v>
      </c>
      <c r="I723" s="71" t="s">
        <v>676</v>
      </c>
      <c r="J723" s="248"/>
      <c r="K723" s="55">
        <f t="shared" si="80"/>
        <v>2018</v>
      </c>
      <c r="L723" s="249"/>
      <c r="M723" s="249"/>
      <c r="N723" s="73" t="s">
        <v>2827</v>
      </c>
      <c r="O723" s="73" t="s">
        <v>2828</v>
      </c>
      <c r="P723" s="74" t="s">
        <v>2847</v>
      </c>
      <c r="Q723" s="75"/>
      <c r="R723" s="230">
        <v>1690.5</v>
      </c>
      <c r="S723" s="230"/>
      <c r="T723" s="230">
        <v>1690.5</v>
      </c>
      <c r="U723" s="231">
        <v>664.5</v>
      </c>
      <c r="V723" s="230"/>
      <c r="W723" s="230"/>
      <c r="X723" s="231"/>
      <c r="Y723" s="85">
        <v>0</v>
      </c>
      <c r="Z723" s="85"/>
      <c r="AA723" s="76"/>
      <c r="AB723" s="77"/>
      <c r="AC723" s="78"/>
    </row>
    <row r="724" spans="1:29" ht="40" hidden="1" customHeight="1" x14ac:dyDescent="0.2">
      <c r="A724" s="117" t="s">
        <v>2848</v>
      </c>
      <c r="B724" s="118" t="e">
        <f t="shared" si="78"/>
        <v>#VALUE!</v>
      </c>
      <c r="C724" s="118" t="s">
        <v>612</v>
      </c>
      <c r="D724" s="113">
        <v>39618</v>
      </c>
      <c r="E724" s="84">
        <v>39692</v>
      </c>
      <c r="F724" s="84">
        <f t="shared" si="79"/>
        <v>43344</v>
      </c>
      <c r="G724" s="229">
        <v>10</v>
      </c>
      <c r="H724" s="71" t="s">
        <v>2826</v>
      </c>
      <c r="I724" s="71" t="s">
        <v>676</v>
      </c>
      <c r="J724" s="248"/>
      <c r="K724" s="55">
        <f t="shared" si="80"/>
        <v>2018</v>
      </c>
      <c r="L724" s="249"/>
      <c r="M724" s="249"/>
      <c r="N724" s="73" t="s">
        <v>2827</v>
      </c>
      <c r="O724" s="73" t="s">
        <v>2828</v>
      </c>
      <c r="P724" s="74" t="s">
        <v>2849</v>
      </c>
      <c r="Q724" s="75"/>
      <c r="R724" s="230">
        <v>175</v>
      </c>
      <c r="S724" s="230"/>
      <c r="T724" s="230">
        <v>175</v>
      </c>
      <c r="U724" s="231">
        <v>15</v>
      </c>
      <c r="V724" s="230"/>
      <c r="W724" s="230"/>
      <c r="X724" s="231"/>
      <c r="Y724" s="85">
        <v>0</v>
      </c>
      <c r="Z724" s="85"/>
      <c r="AA724" s="76"/>
      <c r="AB724" s="77"/>
      <c r="AC724" s="78"/>
    </row>
    <row r="725" spans="1:29" ht="40" hidden="1" customHeight="1" x14ac:dyDescent="0.2">
      <c r="A725" s="117" t="s">
        <v>2850</v>
      </c>
      <c r="B725" s="118" t="e">
        <f t="shared" si="78"/>
        <v>#VALUE!</v>
      </c>
      <c r="C725" s="118" t="s">
        <v>612</v>
      </c>
      <c r="D725" s="113">
        <v>39618</v>
      </c>
      <c r="E725" s="84">
        <v>39692</v>
      </c>
      <c r="F725" s="84">
        <f t="shared" si="79"/>
        <v>43344</v>
      </c>
      <c r="G725" s="229">
        <v>489</v>
      </c>
      <c r="H725" s="71" t="s">
        <v>2826</v>
      </c>
      <c r="I725" s="71" t="s">
        <v>676</v>
      </c>
      <c r="J725" s="248"/>
      <c r="K725" s="55">
        <f t="shared" si="80"/>
        <v>2018</v>
      </c>
      <c r="L725" s="249"/>
      <c r="M725" s="249"/>
      <c r="N725" s="73" t="s">
        <v>2827</v>
      </c>
      <c r="O725" s="73" t="s">
        <v>2828</v>
      </c>
      <c r="P725" s="74" t="s">
        <v>2851</v>
      </c>
      <c r="Q725" s="75"/>
      <c r="R725" s="230">
        <v>1851.5</v>
      </c>
      <c r="S725" s="230"/>
      <c r="T725" s="230">
        <v>1851.5</v>
      </c>
      <c r="U725" s="231">
        <v>733.5</v>
      </c>
      <c r="V725" s="230"/>
      <c r="W725" s="230"/>
      <c r="X725" s="231"/>
      <c r="Y725" s="85">
        <v>0</v>
      </c>
      <c r="Z725" s="85"/>
      <c r="AA725" s="76"/>
      <c r="AB725" s="77"/>
      <c r="AC725" s="78"/>
    </row>
    <row r="726" spans="1:29" ht="53" hidden="1" customHeight="1" x14ac:dyDescent="0.2">
      <c r="A726" s="117" t="s">
        <v>2852</v>
      </c>
      <c r="B726" s="118" t="e">
        <f t="shared" si="78"/>
        <v>#VALUE!</v>
      </c>
      <c r="C726" s="118" t="s">
        <v>612</v>
      </c>
      <c r="D726" s="113">
        <v>39618</v>
      </c>
      <c r="E726" s="84">
        <v>39692</v>
      </c>
      <c r="F726" s="84">
        <f t="shared" si="79"/>
        <v>43344</v>
      </c>
      <c r="G726" s="229">
        <v>428.64</v>
      </c>
      <c r="H726" s="71" t="s">
        <v>2826</v>
      </c>
      <c r="I726" s="71" t="s">
        <v>676</v>
      </c>
      <c r="J726" s="248"/>
      <c r="K726" s="55">
        <f t="shared" si="80"/>
        <v>2018</v>
      </c>
      <c r="L726" s="249"/>
      <c r="M726" s="249"/>
      <c r="N726" s="73" t="s">
        <v>2827</v>
      </c>
      <c r="O726" s="73" t="s">
        <v>2828</v>
      </c>
      <c r="P726" s="74" t="s">
        <v>2853</v>
      </c>
      <c r="Q726" s="75"/>
      <c r="R726" s="230">
        <v>1641.5</v>
      </c>
      <c r="S726" s="230"/>
      <c r="T726" s="230">
        <v>1641.5</v>
      </c>
      <c r="U726" s="231">
        <v>643.5</v>
      </c>
      <c r="V726" s="230"/>
      <c r="W726" s="230"/>
      <c r="X726" s="231"/>
      <c r="Y726" s="85">
        <v>0</v>
      </c>
      <c r="Z726" s="85"/>
      <c r="AA726" s="76"/>
      <c r="AB726" s="77"/>
      <c r="AC726" s="78"/>
    </row>
    <row r="727" spans="1:29" ht="40" hidden="1" customHeight="1" x14ac:dyDescent="0.2">
      <c r="A727" s="117" t="s">
        <v>2854</v>
      </c>
      <c r="B727" s="118" t="e">
        <f t="shared" ref="B727:B758" si="81">IF(COUNTIF(GIS,A727),"YES","NO")</f>
        <v>#VALUE!</v>
      </c>
      <c r="C727" s="118" t="s">
        <v>612</v>
      </c>
      <c r="D727" s="113">
        <v>39618</v>
      </c>
      <c r="E727" s="84">
        <v>39692</v>
      </c>
      <c r="F727" s="84">
        <f t="shared" si="79"/>
        <v>43344</v>
      </c>
      <c r="G727" s="229">
        <v>120</v>
      </c>
      <c r="H727" s="71" t="s">
        <v>2826</v>
      </c>
      <c r="I727" s="71" t="s">
        <v>676</v>
      </c>
      <c r="J727" s="248"/>
      <c r="K727" s="55">
        <f t="shared" si="80"/>
        <v>2018</v>
      </c>
      <c r="L727" s="249"/>
      <c r="M727" s="249"/>
      <c r="N727" s="73" t="s">
        <v>2827</v>
      </c>
      <c r="O727" s="73" t="s">
        <v>2828</v>
      </c>
      <c r="P727" s="74" t="s">
        <v>2855</v>
      </c>
      <c r="Q727" s="75"/>
      <c r="R727" s="230">
        <v>560</v>
      </c>
      <c r="S727" s="230"/>
      <c r="T727" s="230">
        <v>560</v>
      </c>
      <c r="U727" s="231">
        <v>180</v>
      </c>
      <c r="V727" s="230"/>
      <c r="W727" s="230"/>
      <c r="X727" s="231"/>
      <c r="Y727" s="85">
        <v>0</v>
      </c>
      <c r="Z727" s="85"/>
      <c r="AA727" s="76"/>
      <c r="AB727" s="77"/>
      <c r="AC727" s="78"/>
    </row>
    <row r="728" spans="1:29" ht="40" hidden="1" customHeight="1" x14ac:dyDescent="0.2">
      <c r="A728" s="117" t="s">
        <v>2856</v>
      </c>
      <c r="B728" s="118" t="e">
        <f t="shared" si="81"/>
        <v>#VALUE!</v>
      </c>
      <c r="C728" s="118" t="s">
        <v>612</v>
      </c>
      <c r="D728" s="113">
        <v>39618</v>
      </c>
      <c r="E728" s="84">
        <v>39692</v>
      </c>
      <c r="F728" s="84">
        <f t="shared" si="79"/>
        <v>43344</v>
      </c>
      <c r="G728" s="229">
        <v>80</v>
      </c>
      <c r="H728" s="71" t="s">
        <v>2826</v>
      </c>
      <c r="I728" s="71" t="s">
        <v>676</v>
      </c>
      <c r="J728" s="248"/>
      <c r="K728" s="55">
        <f t="shared" si="80"/>
        <v>2018</v>
      </c>
      <c r="L728" s="249"/>
      <c r="M728" s="249"/>
      <c r="N728" s="73" t="s">
        <v>2827</v>
      </c>
      <c r="O728" s="73" t="s">
        <v>2828</v>
      </c>
      <c r="P728" s="74" t="s">
        <v>2857</v>
      </c>
      <c r="Q728" s="75"/>
      <c r="R728" s="230">
        <v>420</v>
      </c>
      <c r="S728" s="230">
        <v>160</v>
      </c>
      <c r="T728" s="230">
        <v>580</v>
      </c>
      <c r="U728" s="231">
        <v>120</v>
      </c>
      <c r="V728" s="230"/>
      <c r="W728" s="230"/>
      <c r="X728" s="231"/>
      <c r="Y728" s="85">
        <v>0</v>
      </c>
      <c r="Z728" s="85"/>
      <c r="AA728" s="76"/>
      <c r="AB728" s="77"/>
      <c r="AC728" s="78"/>
    </row>
    <row r="729" spans="1:29" hidden="1" x14ac:dyDescent="0.2">
      <c r="A729" s="117" t="s">
        <v>2858</v>
      </c>
      <c r="B729" s="118" t="e">
        <f t="shared" si="81"/>
        <v>#VALUE!</v>
      </c>
      <c r="C729" s="118" t="s">
        <v>612</v>
      </c>
      <c r="D729" s="113">
        <v>39618</v>
      </c>
      <c r="E729" s="84">
        <v>39692</v>
      </c>
      <c r="F729" s="84">
        <f t="shared" si="79"/>
        <v>43344</v>
      </c>
      <c r="G729" s="229">
        <v>451.97</v>
      </c>
      <c r="H729" s="71" t="s">
        <v>2859</v>
      </c>
      <c r="I729" s="71" t="s">
        <v>2860</v>
      </c>
      <c r="J729" s="238" t="s">
        <v>2861</v>
      </c>
      <c r="K729" s="55">
        <f t="shared" si="80"/>
        <v>2018</v>
      </c>
      <c r="L729" s="239"/>
      <c r="M729" s="239"/>
      <c r="N729" s="73" t="s">
        <v>2862</v>
      </c>
      <c r="O729" s="73" t="s">
        <v>2863</v>
      </c>
      <c r="P729" s="74"/>
      <c r="Q729" s="75"/>
      <c r="R729" s="230">
        <v>1722</v>
      </c>
      <c r="S729" s="230">
        <v>4068</v>
      </c>
      <c r="T729" s="230">
        <v>5790</v>
      </c>
      <c r="U729" s="231">
        <v>678</v>
      </c>
      <c r="V729" s="230"/>
      <c r="W729" s="230"/>
      <c r="X729" s="231"/>
      <c r="Y729" s="85">
        <v>0</v>
      </c>
      <c r="Z729" s="82"/>
      <c r="AA729" s="83"/>
      <c r="AB729" s="77"/>
      <c r="AC729" s="78"/>
    </row>
    <row r="730" spans="1:29" ht="53" customHeight="1" x14ac:dyDescent="0.2">
      <c r="A730" s="117" t="s">
        <v>2864</v>
      </c>
      <c r="B730" s="118" t="e">
        <f t="shared" si="81"/>
        <v>#VALUE!</v>
      </c>
      <c r="C730" s="118" t="s">
        <v>612</v>
      </c>
      <c r="D730" s="113">
        <v>39618</v>
      </c>
      <c r="E730" s="84">
        <v>39692</v>
      </c>
      <c r="F730" s="84">
        <v>44075</v>
      </c>
      <c r="G730" s="229">
        <v>480.94</v>
      </c>
      <c r="H730" s="65" t="s">
        <v>951</v>
      </c>
      <c r="I730" s="71" t="s">
        <v>684</v>
      </c>
      <c r="J730" s="79" t="s">
        <v>2865</v>
      </c>
      <c r="K730" s="55">
        <f t="shared" si="80"/>
        <v>2020</v>
      </c>
      <c r="L730" s="80"/>
      <c r="M730" s="80"/>
      <c r="N730" s="73" t="s">
        <v>2866</v>
      </c>
      <c r="O730" s="73" t="s">
        <v>2867</v>
      </c>
      <c r="P730" s="74" t="s">
        <v>2868</v>
      </c>
      <c r="Q730" s="75"/>
      <c r="R730" s="230">
        <v>1823.5</v>
      </c>
      <c r="S730" s="230"/>
      <c r="T730" s="230">
        <v>1823.5</v>
      </c>
      <c r="U730" s="231">
        <v>721.5</v>
      </c>
      <c r="V730" s="230"/>
      <c r="W730" s="230"/>
      <c r="X730" s="231"/>
      <c r="Y730" s="85">
        <v>0</v>
      </c>
      <c r="Z730" s="85"/>
      <c r="AA730" s="76"/>
      <c r="AB730" s="77"/>
      <c r="AC730" s="78"/>
    </row>
    <row r="731" spans="1:29" ht="53" customHeight="1" x14ac:dyDescent="0.2">
      <c r="A731" s="117" t="s">
        <v>2869</v>
      </c>
      <c r="B731" s="118" t="e">
        <f t="shared" si="81"/>
        <v>#VALUE!</v>
      </c>
      <c r="C731" s="118" t="s">
        <v>612</v>
      </c>
      <c r="D731" s="113">
        <v>39618</v>
      </c>
      <c r="E731" s="84">
        <v>39692</v>
      </c>
      <c r="F731" s="84">
        <v>44075</v>
      </c>
      <c r="G731" s="229">
        <v>40</v>
      </c>
      <c r="H731" s="65" t="s">
        <v>951</v>
      </c>
      <c r="I731" s="71" t="s">
        <v>684</v>
      </c>
      <c r="J731" s="79" t="s">
        <v>2865</v>
      </c>
      <c r="K731" s="55">
        <f t="shared" si="80"/>
        <v>2020</v>
      </c>
      <c r="L731" s="80"/>
      <c r="M731" s="80"/>
      <c r="N731" s="73" t="s">
        <v>2866</v>
      </c>
      <c r="O731" s="73" t="s">
        <v>2867</v>
      </c>
      <c r="P731" s="74" t="s">
        <v>2870</v>
      </c>
      <c r="Q731" s="75"/>
      <c r="R731" s="230">
        <v>280</v>
      </c>
      <c r="S731" s="230">
        <v>80</v>
      </c>
      <c r="T731" s="230">
        <v>360</v>
      </c>
      <c r="U731" s="231">
        <v>60</v>
      </c>
      <c r="V731" s="230"/>
      <c r="W731" s="230"/>
      <c r="X731" s="231"/>
      <c r="Y731" s="85">
        <v>0</v>
      </c>
      <c r="Z731" s="85"/>
      <c r="AA731" s="76"/>
      <c r="AB731" s="77"/>
      <c r="AC731" s="78"/>
    </row>
    <row r="732" spans="1:29" ht="53" customHeight="1" x14ac:dyDescent="0.2">
      <c r="A732" s="117" t="s">
        <v>2871</v>
      </c>
      <c r="B732" s="118" t="e">
        <f t="shared" si="81"/>
        <v>#VALUE!</v>
      </c>
      <c r="C732" s="118" t="s">
        <v>612</v>
      </c>
      <c r="D732" s="113">
        <v>39618</v>
      </c>
      <c r="E732" s="84">
        <v>39692</v>
      </c>
      <c r="F732" s="84">
        <v>44075</v>
      </c>
      <c r="G732" s="229">
        <v>585.41</v>
      </c>
      <c r="H732" s="65" t="s">
        <v>951</v>
      </c>
      <c r="I732" s="71" t="s">
        <v>684</v>
      </c>
      <c r="J732" s="79" t="s">
        <v>2865</v>
      </c>
      <c r="K732" s="55">
        <f t="shared" si="80"/>
        <v>2020</v>
      </c>
      <c r="L732" s="80"/>
      <c r="M732" s="80"/>
      <c r="N732" s="73" t="s">
        <v>2866</v>
      </c>
      <c r="O732" s="73" t="s">
        <v>2867</v>
      </c>
      <c r="P732" s="74" t="s">
        <v>2872</v>
      </c>
      <c r="Q732" s="75"/>
      <c r="R732" s="230">
        <v>2191</v>
      </c>
      <c r="S732" s="230"/>
      <c r="T732" s="230">
        <v>2191</v>
      </c>
      <c r="U732" s="231">
        <v>879</v>
      </c>
      <c r="V732" s="230"/>
      <c r="W732" s="230"/>
      <c r="X732" s="231"/>
      <c r="Y732" s="85">
        <v>0</v>
      </c>
      <c r="Z732" s="85"/>
      <c r="AA732" s="76"/>
      <c r="AB732" s="77"/>
      <c r="AC732" s="78"/>
    </row>
    <row r="733" spans="1:29" ht="53" customHeight="1" x14ac:dyDescent="0.2">
      <c r="A733" s="117" t="s">
        <v>2873</v>
      </c>
      <c r="B733" s="118" t="e">
        <f t="shared" si="81"/>
        <v>#VALUE!</v>
      </c>
      <c r="C733" s="118" t="s">
        <v>612</v>
      </c>
      <c r="D733" s="113">
        <v>39618</v>
      </c>
      <c r="E733" s="84">
        <v>39692</v>
      </c>
      <c r="F733" s="84">
        <v>44075</v>
      </c>
      <c r="G733" s="229">
        <v>650.48</v>
      </c>
      <c r="H733" s="65" t="s">
        <v>951</v>
      </c>
      <c r="I733" s="71" t="s">
        <v>684</v>
      </c>
      <c r="J733" s="79" t="s">
        <v>2865</v>
      </c>
      <c r="K733" s="55">
        <f t="shared" si="80"/>
        <v>2020</v>
      </c>
      <c r="L733" s="80"/>
      <c r="M733" s="80"/>
      <c r="N733" s="73" t="s">
        <v>2866</v>
      </c>
      <c r="O733" s="73" t="s">
        <v>2867</v>
      </c>
      <c r="P733" s="74" t="s">
        <v>2874</v>
      </c>
      <c r="Q733" s="75"/>
      <c r="R733" s="230">
        <v>2418.5</v>
      </c>
      <c r="S733" s="230"/>
      <c r="T733" s="230">
        <v>2418.5</v>
      </c>
      <c r="U733" s="231">
        <v>976.5</v>
      </c>
      <c r="V733" s="230"/>
      <c r="W733" s="230"/>
      <c r="X733" s="231"/>
      <c r="Y733" s="85">
        <v>0</v>
      </c>
      <c r="Z733" s="85"/>
      <c r="AA733" s="76"/>
      <c r="AB733" s="77"/>
      <c r="AC733" s="78"/>
    </row>
    <row r="734" spans="1:29" ht="53" customHeight="1" x14ac:dyDescent="0.2">
      <c r="A734" s="117" t="s">
        <v>2875</v>
      </c>
      <c r="B734" s="118" t="e">
        <f t="shared" si="81"/>
        <v>#VALUE!</v>
      </c>
      <c r="C734" s="118" t="s">
        <v>612</v>
      </c>
      <c r="D734" s="113">
        <v>39618</v>
      </c>
      <c r="E734" s="84">
        <v>39692</v>
      </c>
      <c r="F734" s="84">
        <v>44075</v>
      </c>
      <c r="G734" s="229">
        <v>648.88</v>
      </c>
      <c r="H734" s="65" t="s">
        <v>951</v>
      </c>
      <c r="I734" s="71" t="s">
        <v>684</v>
      </c>
      <c r="J734" s="79" t="s">
        <v>2865</v>
      </c>
      <c r="K734" s="55">
        <f t="shared" si="80"/>
        <v>2020</v>
      </c>
      <c r="L734" s="80"/>
      <c r="M734" s="80"/>
      <c r="N734" s="73" t="s">
        <v>2866</v>
      </c>
      <c r="O734" s="73" t="s">
        <v>2867</v>
      </c>
      <c r="P734" s="74" t="s">
        <v>2876</v>
      </c>
      <c r="Q734" s="75"/>
      <c r="R734" s="230">
        <v>2411.5</v>
      </c>
      <c r="S734" s="230"/>
      <c r="T734" s="230">
        <v>2411.5</v>
      </c>
      <c r="U734" s="231">
        <v>973.5</v>
      </c>
      <c r="V734" s="230"/>
      <c r="W734" s="230"/>
      <c r="X734" s="231"/>
      <c r="Y734" s="85">
        <v>0</v>
      </c>
      <c r="Z734" s="85"/>
      <c r="AA734" s="76"/>
      <c r="AB734" s="77"/>
      <c r="AC734" s="78"/>
    </row>
    <row r="735" spans="1:29" ht="53" customHeight="1" x14ac:dyDescent="0.2">
      <c r="A735" s="117" t="s">
        <v>2877</v>
      </c>
      <c r="B735" s="118" t="e">
        <f t="shared" si="81"/>
        <v>#VALUE!</v>
      </c>
      <c r="C735" s="118" t="s">
        <v>612</v>
      </c>
      <c r="D735" s="113">
        <v>39618</v>
      </c>
      <c r="E735" s="84">
        <v>39692</v>
      </c>
      <c r="F735" s="84">
        <v>44075</v>
      </c>
      <c r="G735" s="229">
        <v>394.48</v>
      </c>
      <c r="H735" s="65" t="s">
        <v>951</v>
      </c>
      <c r="I735" s="71" t="s">
        <v>684</v>
      </c>
      <c r="J735" s="79" t="s">
        <v>2865</v>
      </c>
      <c r="K735" s="55">
        <f t="shared" si="80"/>
        <v>2020</v>
      </c>
      <c r="L735" s="80"/>
      <c r="M735" s="80"/>
      <c r="N735" s="73" t="s">
        <v>2866</v>
      </c>
      <c r="O735" s="73" t="s">
        <v>2867</v>
      </c>
      <c r="P735" s="74" t="s">
        <v>2878</v>
      </c>
      <c r="Q735" s="75"/>
      <c r="R735" s="230">
        <v>1522.5</v>
      </c>
      <c r="S735" s="230"/>
      <c r="T735" s="230">
        <v>1522.5</v>
      </c>
      <c r="U735" s="231">
        <v>592.5</v>
      </c>
      <c r="V735" s="230"/>
      <c r="W735" s="230"/>
      <c r="X735" s="231"/>
      <c r="Y735" s="85">
        <v>0</v>
      </c>
      <c r="Z735" s="85"/>
      <c r="AA735" s="76"/>
      <c r="AB735" s="77"/>
      <c r="AC735" s="78"/>
    </row>
    <row r="736" spans="1:29" ht="66" customHeight="1" x14ac:dyDescent="0.2">
      <c r="A736" s="117" t="s">
        <v>2879</v>
      </c>
      <c r="B736" s="118" t="e">
        <f t="shared" si="81"/>
        <v>#VALUE!</v>
      </c>
      <c r="C736" s="118" t="s">
        <v>612</v>
      </c>
      <c r="D736" s="113">
        <v>39618</v>
      </c>
      <c r="E736" s="84">
        <v>39692</v>
      </c>
      <c r="F736" s="84">
        <v>44075</v>
      </c>
      <c r="G736" s="229">
        <v>540.19000000000005</v>
      </c>
      <c r="H736" s="65" t="s">
        <v>951</v>
      </c>
      <c r="I736" s="71" t="s">
        <v>684</v>
      </c>
      <c r="J736" s="79" t="s">
        <v>2865</v>
      </c>
      <c r="K736" s="55">
        <f t="shared" si="80"/>
        <v>2020</v>
      </c>
      <c r="L736" s="80"/>
      <c r="M736" s="80"/>
      <c r="N736" s="73" t="s">
        <v>2866</v>
      </c>
      <c r="O736" s="73" t="s">
        <v>2867</v>
      </c>
      <c r="P736" s="74" t="s">
        <v>2880</v>
      </c>
      <c r="Q736" s="75"/>
      <c r="R736" s="230">
        <v>2033.5</v>
      </c>
      <c r="S736" s="230">
        <v>6492</v>
      </c>
      <c r="T736" s="230">
        <v>8525.5</v>
      </c>
      <c r="U736" s="231">
        <v>811.5</v>
      </c>
      <c r="V736" s="230"/>
      <c r="W736" s="230"/>
      <c r="X736" s="231"/>
      <c r="Y736" s="85">
        <v>0</v>
      </c>
      <c r="Z736" s="85"/>
      <c r="AA736" s="76"/>
      <c r="AB736" s="77"/>
      <c r="AC736" s="78"/>
    </row>
    <row r="737" spans="1:29" ht="40" customHeight="1" x14ac:dyDescent="0.2">
      <c r="A737" s="117" t="s">
        <v>2881</v>
      </c>
      <c r="B737" s="118" t="e">
        <f t="shared" si="81"/>
        <v>#VALUE!</v>
      </c>
      <c r="C737" s="118" t="s">
        <v>612</v>
      </c>
      <c r="D737" s="113">
        <v>39618</v>
      </c>
      <c r="E737" s="84">
        <v>39692</v>
      </c>
      <c r="F737" s="84">
        <v>44075</v>
      </c>
      <c r="G737" s="229">
        <v>623.84</v>
      </c>
      <c r="H737" s="65" t="s">
        <v>951</v>
      </c>
      <c r="I737" s="71" t="s">
        <v>684</v>
      </c>
      <c r="J737" s="79" t="s">
        <v>2865</v>
      </c>
      <c r="K737" s="55">
        <f t="shared" si="80"/>
        <v>2020</v>
      </c>
      <c r="L737" s="80"/>
      <c r="M737" s="80"/>
      <c r="N737" s="73" t="s">
        <v>2866</v>
      </c>
      <c r="O737" s="73" t="s">
        <v>2867</v>
      </c>
      <c r="P737" s="74" t="s">
        <v>2882</v>
      </c>
      <c r="Q737" s="75"/>
      <c r="R737" s="230">
        <v>2324</v>
      </c>
      <c r="S737" s="230">
        <v>12480</v>
      </c>
      <c r="T737" s="230">
        <v>14804</v>
      </c>
      <c r="U737" s="231">
        <v>936</v>
      </c>
      <c r="V737" s="230"/>
      <c r="W737" s="230"/>
      <c r="X737" s="231"/>
      <c r="Y737" s="85">
        <v>0</v>
      </c>
      <c r="Z737" s="85"/>
      <c r="AA737" s="76"/>
      <c r="AB737" s="77"/>
      <c r="AC737" s="78"/>
    </row>
    <row r="738" spans="1:29" ht="53" customHeight="1" x14ac:dyDescent="0.2">
      <c r="A738" s="117" t="s">
        <v>2883</v>
      </c>
      <c r="B738" s="118" t="e">
        <f t="shared" si="81"/>
        <v>#VALUE!</v>
      </c>
      <c r="C738" s="118" t="s">
        <v>612</v>
      </c>
      <c r="D738" s="113">
        <v>39618</v>
      </c>
      <c r="E738" s="84">
        <v>39692</v>
      </c>
      <c r="F738" s="84">
        <v>44075</v>
      </c>
      <c r="G738" s="229">
        <v>687.34</v>
      </c>
      <c r="H738" s="65" t="s">
        <v>951</v>
      </c>
      <c r="I738" s="71" t="s">
        <v>684</v>
      </c>
      <c r="J738" s="79" t="s">
        <v>2865</v>
      </c>
      <c r="K738" s="55">
        <f t="shared" si="80"/>
        <v>2020</v>
      </c>
      <c r="L738" s="80"/>
      <c r="M738" s="80"/>
      <c r="N738" s="73" t="s">
        <v>2866</v>
      </c>
      <c r="O738" s="73" t="s">
        <v>2867</v>
      </c>
      <c r="P738" s="74" t="s">
        <v>2884</v>
      </c>
      <c r="Q738" s="75"/>
      <c r="R738" s="230">
        <v>2548</v>
      </c>
      <c r="S738" s="230">
        <v>8256</v>
      </c>
      <c r="T738" s="230">
        <v>10804</v>
      </c>
      <c r="U738" s="231">
        <v>1032</v>
      </c>
      <c r="V738" s="230"/>
      <c r="W738" s="230"/>
      <c r="X738" s="231"/>
      <c r="Y738" s="85">
        <v>0</v>
      </c>
      <c r="Z738" s="85"/>
      <c r="AA738" s="76"/>
      <c r="AB738" s="77"/>
      <c r="AC738" s="78"/>
    </row>
    <row r="739" spans="1:29" ht="40" customHeight="1" x14ac:dyDescent="0.2">
      <c r="A739" s="117" t="s">
        <v>2885</v>
      </c>
      <c r="B739" s="118" t="e">
        <f t="shared" si="81"/>
        <v>#VALUE!</v>
      </c>
      <c r="C739" s="118" t="s">
        <v>612</v>
      </c>
      <c r="D739" s="113">
        <v>39618</v>
      </c>
      <c r="E739" s="84">
        <v>39692</v>
      </c>
      <c r="F739" s="84">
        <v>44075</v>
      </c>
      <c r="G739" s="229">
        <v>638.91999999999996</v>
      </c>
      <c r="H739" s="65" t="s">
        <v>951</v>
      </c>
      <c r="I739" s="71" t="s">
        <v>684</v>
      </c>
      <c r="J739" s="79" t="s">
        <v>2865</v>
      </c>
      <c r="K739" s="55">
        <f t="shared" si="80"/>
        <v>2020</v>
      </c>
      <c r="L739" s="80"/>
      <c r="M739" s="80"/>
      <c r="N739" s="73" t="s">
        <v>2866</v>
      </c>
      <c r="O739" s="73" t="s">
        <v>2867</v>
      </c>
      <c r="P739" s="74" t="s">
        <v>2886</v>
      </c>
      <c r="Q739" s="75"/>
      <c r="R739" s="230">
        <v>2376.5</v>
      </c>
      <c r="S739" s="230"/>
      <c r="T739" s="230">
        <v>2376.5</v>
      </c>
      <c r="U739" s="231">
        <v>958.5</v>
      </c>
      <c r="V739" s="230"/>
      <c r="W739" s="230"/>
      <c r="X739" s="231"/>
      <c r="Y739" s="85">
        <v>0</v>
      </c>
      <c r="Z739" s="85"/>
      <c r="AA739" s="76"/>
      <c r="AB739" s="77"/>
      <c r="AC739" s="78"/>
    </row>
    <row r="740" spans="1:29" ht="40" customHeight="1" x14ac:dyDescent="0.2">
      <c r="A740" s="117" t="s">
        <v>2887</v>
      </c>
      <c r="B740" s="118" t="e">
        <f t="shared" si="81"/>
        <v>#VALUE!</v>
      </c>
      <c r="C740" s="118" t="s">
        <v>612</v>
      </c>
      <c r="D740" s="113">
        <v>39618</v>
      </c>
      <c r="E740" s="84">
        <v>39692</v>
      </c>
      <c r="F740" s="84">
        <v>44075</v>
      </c>
      <c r="G740" s="229">
        <v>690.54</v>
      </c>
      <c r="H740" s="65" t="s">
        <v>951</v>
      </c>
      <c r="I740" s="71" t="s">
        <v>684</v>
      </c>
      <c r="J740" s="79" t="s">
        <v>2865</v>
      </c>
      <c r="K740" s="55">
        <f t="shared" si="80"/>
        <v>2020</v>
      </c>
      <c r="L740" s="80"/>
      <c r="M740" s="80"/>
      <c r="N740" s="73" t="s">
        <v>2866</v>
      </c>
      <c r="O740" s="73" t="s">
        <v>2867</v>
      </c>
      <c r="P740" s="74" t="s">
        <v>2888</v>
      </c>
      <c r="Q740" s="75"/>
      <c r="R740" s="230">
        <v>2558.5</v>
      </c>
      <c r="S740" s="230">
        <v>8292</v>
      </c>
      <c r="T740" s="230">
        <v>10850.5</v>
      </c>
      <c r="U740" s="231">
        <v>1036.5</v>
      </c>
      <c r="V740" s="230"/>
      <c r="W740" s="230"/>
      <c r="X740" s="231"/>
      <c r="Y740" s="85">
        <v>0</v>
      </c>
      <c r="Z740" s="85"/>
      <c r="AA740" s="76"/>
      <c r="AB740" s="77"/>
      <c r="AC740" s="78"/>
    </row>
    <row r="741" spans="1:29" x14ac:dyDescent="0.2">
      <c r="A741" s="117" t="s">
        <v>2889</v>
      </c>
      <c r="B741" s="118" t="e">
        <f t="shared" si="81"/>
        <v>#VALUE!</v>
      </c>
      <c r="C741" s="118" t="s">
        <v>612</v>
      </c>
      <c r="D741" s="113">
        <v>39618</v>
      </c>
      <c r="E741" s="84">
        <v>39692</v>
      </c>
      <c r="F741" s="84">
        <v>44075</v>
      </c>
      <c r="G741" s="229">
        <v>687.67</v>
      </c>
      <c r="H741" s="65" t="s">
        <v>951</v>
      </c>
      <c r="I741" s="71" t="s">
        <v>684</v>
      </c>
      <c r="J741" s="79" t="s">
        <v>2865</v>
      </c>
      <c r="K741" s="55">
        <f t="shared" si="80"/>
        <v>2020</v>
      </c>
      <c r="L741" s="80"/>
      <c r="M741" s="80"/>
      <c r="N741" s="73" t="s">
        <v>2866</v>
      </c>
      <c r="O741" s="73" t="s">
        <v>2867</v>
      </c>
      <c r="P741" s="74" t="s">
        <v>2890</v>
      </c>
      <c r="Q741" s="75"/>
      <c r="R741" s="230">
        <v>2548</v>
      </c>
      <c r="S741" s="230"/>
      <c r="T741" s="230">
        <v>2548</v>
      </c>
      <c r="U741" s="231">
        <v>1032</v>
      </c>
      <c r="V741" s="230"/>
      <c r="W741" s="230"/>
      <c r="X741" s="231"/>
      <c r="Y741" s="85">
        <v>0</v>
      </c>
      <c r="Z741" s="85"/>
      <c r="AA741" s="76"/>
      <c r="AB741" s="77"/>
      <c r="AC741" s="78"/>
    </row>
    <row r="742" spans="1:29" ht="40" customHeight="1" x14ac:dyDescent="0.2">
      <c r="A742" s="117" t="s">
        <v>2891</v>
      </c>
      <c r="B742" s="118" t="e">
        <f t="shared" si="81"/>
        <v>#VALUE!</v>
      </c>
      <c r="C742" s="118" t="s">
        <v>612</v>
      </c>
      <c r="D742" s="113">
        <v>39618</v>
      </c>
      <c r="E742" s="84">
        <v>39692</v>
      </c>
      <c r="F742" s="84">
        <v>44075</v>
      </c>
      <c r="G742" s="229">
        <v>635.04</v>
      </c>
      <c r="H742" s="65" t="s">
        <v>951</v>
      </c>
      <c r="I742" s="71" t="s">
        <v>684</v>
      </c>
      <c r="J742" s="79" t="s">
        <v>2865</v>
      </c>
      <c r="K742" s="55">
        <f t="shared" si="80"/>
        <v>2020</v>
      </c>
      <c r="L742" s="80"/>
      <c r="M742" s="80"/>
      <c r="N742" s="73" t="s">
        <v>2866</v>
      </c>
      <c r="O742" s="73" t="s">
        <v>2867</v>
      </c>
      <c r="P742" s="74" t="s">
        <v>2892</v>
      </c>
      <c r="Q742" s="75"/>
      <c r="R742" s="230">
        <v>2366</v>
      </c>
      <c r="S742" s="230">
        <v>17808</v>
      </c>
      <c r="T742" s="230">
        <v>20174</v>
      </c>
      <c r="U742" s="231">
        <v>954</v>
      </c>
      <c r="V742" s="230"/>
      <c r="W742" s="230"/>
      <c r="X742" s="231"/>
      <c r="Y742" s="85">
        <v>0</v>
      </c>
      <c r="Z742" s="85"/>
      <c r="AA742" s="76"/>
      <c r="AB742" s="77"/>
      <c r="AC742" s="78"/>
    </row>
    <row r="743" spans="1:29" ht="53" customHeight="1" x14ac:dyDescent="0.2">
      <c r="A743" s="117" t="s">
        <v>2893</v>
      </c>
      <c r="B743" s="118" t="e">
        <f t="shared" si="81"/>
        <v>#VALUE!</v>
      </c>
      <c r="C743" s="118" t="s">
        <v>612</v>
      </c>
      <c r="D743" s="113">
        <v>39618</v>
      </c>
      <c r="E743" s="84">
        <v>39692</v>
      </c>
      <c r="F743" s="84">
        <v>44075</v>
      </c>
      <c r="G743" s="229">
        <v>81.209999999999994</v>
      </c>
      <c r="H743" s="65" t="s">
        <v>951</v>
      </c>
      <c r="I743" s="71" t="s">
        <v>684</v>
      </c>
      <c r="J743" s="79" t="s">
        <v>2865</v>
      </c>
      <c r="K743" s="55">
        <f t="shared" si="80"/>
        <v>2020</v>
      </c>
      <c r="L743" s="80"/>
      <c r="M743" s="80"/>
      <c r="N743" s="73" t="s">
        <v>2866</v>
      </c>
      <c r="O743" s="73" t="s">
        <v>2894</v>
      </c>
      <c r="P743" s="74" t="s">
        <v>2895</v>
      </c>
      <c r="Q743" s="75"/>
      <c r="R743" s="230">
        <v>427</v>
      </c>
      <c r="S743" s="230">
        <v>164</v>
      </c>
      <c r="T743" s="230">
        <v>591</v>
      </c>
      <c r="U743" s="231">
        <v>123</v>
      </c>
      <c r="V743" s="230"/>
      <c r="W743" s="230"/>
      <c r="X743" s="231"/>
      <c r="Y743" s="85">
        <v>0</v>
      </c>
      <c r="Z743" s="85"/>
      <c r="AA743" s="76"/>
      <c r="AB743" s="77"/>
      <c r="AC743" s="78"/>
    </row>
    <row r="744" spans="1:29" ht="40" customHeight="1" x14ac:dyDescent="0.2">
      <c r="A744" s="117" t="s">
        <v>2896</v>
      </c>
      <c r="B744" s="118" t="e">
        <f t="shared" si="81"/>
        <v>#VALUE!</v>
      </c>
      <c r="C744" s="118" t="s">
        <v>612</v>
      </c>
      <c r="D744" s="113">
        <v>39618</v>
      </c>
      <c r="E744" s="84">
        <v>39692</v>
      </c>
      <c r="F744" s="84">
        <v>44075</v>
      </c>
      <c r="G744" s="229">
        <v>80.97</v>
      </c>
      <c r="H744" s="65" t="s">
        <v>951</v>
      </c>
      <c r="I744" s="71" t="s">
        <v>684</v>
      </c>
      <c r="J744" s="79" t="s">
        <v>2865</v>
      </c>
      <c r="K744" s="55">
        <f t="shared" si="80"/>
        <v>2020</v>
      </c>
      <c r="L744" s="80"/>
      <c r="M744" s="80"/>
      <c r="N744" s="73" t="s">
        <v>2866</v>
      </c>
      <c r="O744" s="73" t="s">
        <v>2894</v>
      </c>
      <c r="P744" s="74" t="s">
        <v>2897</v>
      </c>
      <c r="Q744" s="75"/>
      <c r="R744" s="230">
        <v>423.5</v>
      </c>
      <c r="S744" s="230">
        <v>162</v>
      </c>
      <c r="T744" s="230">
        <v>585.5</v>
      </c>
      <c r="U744" s="231">
        <v>121.5</v>
      </c>
      <c r="V744" s="230"/>
      <c r="W744" s="230"/>
      <c r="X744" s="231"/>
      <c r="Y744" s="85">
        <v>0</v>
      </c>
      <c r="Z744" s="85"/>
      <c r="AA744" s="76"/>
      <c r="AB744" s="77"/>
      <c r="AC744" s="78"/>
    </row>
    <row r="745" spans="1:29" ht="53" customHeight="1" x14ac:dyDescent="0.2">
      <c r="A745" s="117" t="s">
        <v>2898</v>
      </c>
      <c r="B745" s="118" t="e">
        <f t="shared" si="81"/>
        <v>#VALUE!</v>
      </c>
      <c r="C745" s="118" t="s">
        <v>612</v>
      </c>
      <c r="D745" s="113">
        <v>39618</v>
      </c>
      <c r="E745" s="84">
        <v>39692</v>
      </c>
      <c r="F745" s="84">
        <v>44075</v>
      </c>
      <c r="G745" s="229">
        <v>630.32000000000005</v>
      </c>
      <c r="H745" s="65" t="s">
        <v>951</v>
      </c>
      <c r="I745" s="71" t="s">
        <v>684</v>
      </c>
      <c r="J745" s="79" t="s">
        <v>2865</v>
      </c>
      <c r="K745" s="55">
        <f t="shared" ref="K745:K776" si="82">YEAR(F745)</f>
        <v>2020</v>
      </c>
      <c r="L745" s="80"/>
      <c r="M745" s="80"/>
      <c r="N745" s="73" t="s">
        <v>2866</v>
      </c>
      <c r="O745" s="73" t="s">
        <v>2894</v>
      </c>
      <c r="P745" s="74" t="s">
        <v>2899</v>
      </c>
      <c r="Q745" s="75"/>
      <c r="R745" s="230">
        <v>2348.5</v>
      </c>
      <c r="S745" s="230"/>
      <c r="T745" s="230">
        <v>2348.5</v>
      </c>
      <c r="U745" s="231">
        <v>946.5</v>
      </c>
      <c r="V745" s="230"/>
      <c r="W745" s="230"/>
      <c r="X745" s="231"/>
      <c r="Y745" s="85">
        <v>0</v>
      </c>
      <c r="Z745" s="85"/>
      <c r="AA745" s="76"/>
      <c r="AB745" s="77"/>
      <c r="AC745" s="78"/>
    </row>
    <row r="746" spans="1:29" ht="40" customHeight="1" x14ac:dyDescent="0.2">
      <c r="A746" s="117" t="s">
        <v>2900</v>
      </c>
      <c r="B746" s="118" t="e">
        <f t="shared" si="81"/>
        <v>#VALUE!</v>
      </c>
      <c r="C746" s="118" t="s">
        <v>612</v>
      </c>
      <c r="D746" s="113">
        <v>39618</v>
      </c>
      <c r="E746" s="84">
        <v>39692</v>
      </c>
      <c r="F746" s="84">
        <v>44075</v>
      </c>
      <c r="G746" s="229">
        <v>632.89</v>
      </c>
      <c r="H746" s="65" t="s">
        <v>951</v>
      </c>
      <c r="I746" s="71" t="s">
        <v>684</v>
      </c>
      <c r="J746" s="79" t="s">
        <v>2865</v>
      </c>
      <c r="K746" s="55">
        <f t="shared" si="82"/>
        <v>2020</v>
      </c>
      <c r="L746" s="80"/>
      <c r="M746" s="80"/>
      <c r="N746" s="73" t="s">
        <v>2866</v>
      </c>
      <c r="O746" s="73" t="s">
        <v>2894</v>
      </c>
      <c r="P746" s="74" t="s">
        <v>2901</v>
      </c>
      <c r="Q746" s="75"/>
      <c r="R746" s="230">
        <v>2355.5</v>
      </c>
      <c r="S746" s="230"/>
      <c r="T746" s="230">
        <v>2355.5</v>
      </c>
      <c r="U746" s="231">
        <v>949.5</v>
      </c>
      <c r="V746" s="230"/>
      <c r="W746" s="230"/>
      <c r="X746" s="231"/>
      <c r="Y746" s="85">
        <v>0</v>
      </c>
      <c r="Z746" s="85"/>
      <c r="AA746" s="76"/>
      <c r="AB746" s="77"/>
      <c r="AC746" s="78"/>
    </row>
    <row r="747" spans="1:29" ht="40" customHeight="1" x14ac:dyDescent="0.2">
      <c r="A747" s="117" t="s">
        <v>2902</v>
      </c>
      <c r="B747" s="118" t="e">
        <f t="shared" si="81"/>
        <v>#VALUE!</v>
      </c>
      <c r="C747" s="118" t="s">
        <v>612</v>
      </c>
      <c r="D747" s="113">
        <v>39618</v>
      </c>
      <c r="E747" s="84">
        <v>39692</v>
      </c>
      <c r="F747" s="84">
        <v>44075</v>
      </c>
      <c r="G747" s="229">
        <v>646.22</v>
      </c>
      <c r="H747" s="65" t="s">
        <v>951</v>
      </c>
      <c r="I747" s="71" t="s">
        <v>684</v>
      </c>
      <c r="J747" s="79" t="s">
        <v>2865</v>
      </c>
      <c r="K747" s="55">
        <f t="shared" si="82"/>
        <v>2020</v>
      </c>
      <c r="L747" s="80"/>
      <c r="M747" s="80"/>
      <c r="N747" s="73" t="s">
        <v>2866</v>
      </c>
      <c r="O747" s="73" t="s">
        <v>2894</v>
      </c>
      <c r="P747" s="74" t="s">
        <v>2903</v>
      </c>
      <c r="Q747" s="75"/>
      <c r="R747" s="230">
        <v>2404.5</v>
      </c>
      <c r="S747" s="230">
        <v>1294</v>
      </c>
      <c r="T747" s="230">
        <v>3698.5</v>
      </c>
      <c r="U747" s="231">
        <v>970.5</v>
      </c>
      <c r="V747" s="230"/>
      <c r="W747" s="230"/>
      <c r="X747" s="231"/>
      <c r="Y747" s="85">
        <v>0</v>
      </c>
      <c r="Z747" s="85"/>
      <c r="AA747" s="76"/>
      <c r="AB747" s="77"/>
      <c r="AC747" s="78"/>
    </row>
    <row r="748" spans="1:29" ht="40" customHeight="1" x14ac:dyDescent="0.2">
      <c r="A748" s="117" t="s">
        <v>2904</v>
      </c>
      <c r="B748" s="118" t="e">
        <f t="shared" si="81"/>
        <v>#VALUE!</v>
      </c>
      <c r="C748" s="118" t="s">
        <v>612</v>
      </c>
      <c r="D748" s="113">
        <v>39618</v>
      </c>
      <c r="E748" s="84">
        <v>39692</v>
      </c>
      <c r="F748" s="84">
        <v>44075</v>
      </c>
      <c r="G748" s="229">
        <v>643.44000000000005</v>
      </c>
      <c r="H748" s="65" t="s">
        <v>951</v>
      </c>
      <c r="I748" s="71" t="s">
        <v>684</v>
      </c>
      <c r="J748" s="79" t="s">
        <v>2865</v>
      </c>
      <c r="K748" s="55">
        <f t="shared" si="82"/>
        <v>2020</v>
      </c>
      <c r="L748" s="80"/>
      <c r="M748" s="80"/>
      <c r="N748" s="73" t="s">
        <v>2866</v>
      </c>
      <c r="O748" s="73" t="s">
        <v>2894</v>
      </c>
      <c r="P748" s="74" t="s">
        <v>2905</v>
      </c>
      <c r="Q748" s="75"/>
      <c r="R748" s="230">
        <v>2394</v>
      </c>
      <c r="S748" s="230"/>
      <c r="T748" s="230">
        <v>2394</v>
      </c>
      <c r="U748" s="231">
        <v>966</v>
      </c>
      <c r="V748" s="230"/>
      <c r="W748" s="230"/>
      <c r="X748" s="231"/>
      <c r="Y748" s="85">
        <v>0</v>
      </c>
      <c r="Z748" s="85"/>
      <c r="AA748" s="76"/>
      <c r="AB748" s="77"/>
      <c r="AC748" s="78"/>
    </row>
    <row r="749" spans="1:29" ht="40" customHeight="1" x14ac:dyDescent="0.2">
      <c r="A749" s="117" t="s">
        <v>2906</v>
      </c>
      <c r="B749" s="118" t="e">
        <f t="shared" si="81"/>
        <v>#VALUE!</v>
      </c>
      <c r="C749" s="118" t="s">
        <v>612</v>
      </c>
      <c r="D749" s="113">
        <v>39618</v>
      </c>
      <c r="E749" s="84">
        <v>39692</v>
      </c>
      <c r="F749" s="84">
        <v>44075</v>
      </c>
      <c r="G749" s="229">
        <v>645.28</v>
      </c>
      <c r="H749" s="65" t="s">
        <v>951</v>
      </c>
      <c r="I749" s="71" t="s">
        <v>684</v>
      </c>
      <c r="J749" s="79" t="s">
        <v>2865</v>
      </c>
      <c r="K749" s="55">
        <f t="shared" si="82"/>
        <v>2020</v>
      </c>
      <c r="L749" s="80"/>
      <c r="M749" s="80"/>
      <c r="N749" s="73" t="s">
        <v>2866</v>
      </c>
      <c r="O749" s="73" t="s">
        <v>2894</v>
      </c>
      <c r="P749" s="74" t="s">
        <v>2907</v>
      </c>
      <c r="Q749" s="75"/>
      <c r="R749" s="230">
        <v>2401</v>
      </c>
      <c r="S749" s="230"/>
      <c r="T749" s="230">
        <v>2401</v>
      </c>
      <c r="U749" s="231">
        <v>969</v>
      </c>
      <c r="V749" s="230"/>
      <c r="W749" s="230"/>
      <c r="X749" s="231"/>
      <c r="Y749" s="85">
        <v>0</v>
      </c>
      <c r="Z749" s="85"/>
      <c r="AA749" s="76"/>
      <c r="AB749" s="77"/>
      <c r="AC749" s="78"/>
    </row>
    <row r="750" spans="1:29" ht="53" customHeight="1" x14ac:dyDescent="0.2">
      <c r="A750" s="117" t="s">
        <v>2908</v>
      </c>
      <c r="B750" s="118" t="e">
        <f t="shared" si="81"/>
        <v>#VALUE!</v>
      </c>
      <c r="C750" s="118" t="s">
        <v>612</v>
      </c>
      <c r="D750" s="113">
        <v>39618</v>
      </c>
      <c r="E750" s="84">
        <v>39692</v>
      </c>
      <c r="F750" s="84">
        <v>44075</v>
      </c>
      <c r="G750" s="229">
        <v>606.29</v>
      </c>
      <c r="H750" s="65" t="s">
        <v>951</v>
      </c>
      <c r="I750" s="71" t="s">
        <v>684</v>
      </c>
      <c r="J750" s="79" t="s">
        <v>2865</v>
      </c>
      <c r="K750" s="55">
        <f t="shared" si="82"/>
        <v>2020</v>
      </c>
      <c r="L750" s="80"/>
      <c r="M750" s="80"/>
      <c r="N750" s="73" t="s">
        <v>2866</v>
      </c>
      <c r="O750" s="73" t="s">
        <v>2894</v>
      </c>
      <c r="P750" s="74" t="s">
        <v>2909</v>
      </c>
      <c r="Q750" s="75"/>
      <c r="R750" s="230">
        <v>2264.5</v>
      </c>
      <c r="S750" s="230"/>
      <c r="T750" s="230">
        <v>2264.5</v>
      </c>
      <c r="U750" s="231">
        <v>910.5</v>
      </c>
      <c r="V750" s="230"/>
      <c r="W750" s="230"/>
      <c r="X750" s="231"/>
      <c r="Y750" s="85">
        <v>0</v>
      </c>
      <c r="Z750" s="85"/>
      <c r="AA750" s="76"/>
      <c r="AB750" s="77"/>
      <c r="AC750" s="78"/>
    </row>
    <row r="751" spans="1:29" ht="40" customHeight="1" x14ac:dyDescent="0.2">
      <c r="A751" s="117" t="s">
        <v>2910</v>
      </c>
      <c r="B751" s="118" t="e">
        <f t="shared" si="81"/>
        <v>#VALUE!</v>
      </c>
      <c r="C751" s="118" t="s">
        <v>612</v>
      </c>
      <c r="D751" s="113">
        <v>39618</v>
      </c>
      <c r="E751" s="84">
        <v>39692</v>
      </c>
      <c r="F751" s="84">
        <v>44075</v>
      </c>
      <c r="G751" s="229">
        <v>647.22</v>
      </c>
      <c r="H751" s="65" t="s">
        <v>951</v>
      </c>
      <c r="I751" s="71" t="s">
        <v>684</v>
      </c>
      <c r="J751" s="79" t="s">
        <v>2865</v>
      </c>
      <c r="K751" s="55">
        <f t="shared" si="82"/>
        <v>2020</v>
      </c>
      <c r="L751" s="80"/>
      <c r="M751" s="80"/>
      <c r="N751" s="73" t="s">
        <v>2866</v>
      </c>
      <c r="O751" s="73" t="s">
        <v>2894</v>
      </c>
      <c r="P751" s="74" t="s">
        <v>2911</v>
      </c>
      <c r="Q751" s="75"/>
      <c r="R751" s="230">
        <v>2408</v>
      </c>
      <c r="S751" s="230"/>
      <c r="T751" s="230">
        <v>2408</v>
      </c>
      <c r="U751" s="231">
        <v>972</v>
      </c>
      <c r="V751" s="230"/>
      <c r="W751" s="230"/>
      <c r="X751" s="231"/>
      <c r="Y751" s="85">
        <v>0</v>
      </c>
      <c r="Z751" s="85"/>
      <c r="AA751" s="76"/>
      <c r="AB751" s="77"/>
      <c r="AC751" s="78"/>
    </row>
    <row r="752" spans="1:29" ht="53" customHeight="1" x14ac:dyDescent="0.2">
      <c r="A752" s="117" t="s">
        <v>2912</v>
      </c>
      <c r="B752" s="118" t="e">
        <f t="shared" si="81"/>
        <v>#VALUE!</v>
      </c>
      <c r="C752" s="118" t="s">
        <v>612</v>
      </c>
      <c r="D752" s="113">
        <v>39618</v>
      </c>
      <c r="E752" s="84">
        <v>39692</v>
      </c>
      <c r="F752" s="84">
        <v>44075</v>
      </c>
      <c r="G752" s="229">
        <v>489.3</v>
      </c>
      <c r="H752" s="65" t="s">
        <v>951</v>
      </c>
      <c r="I752" s="71" t="s">
        <v>684</v>
      </c>
      <c r="J752" s="79" t="s">
        <v>2865</v>
      </c>
      <c r="K752" s="55">
        <f t="shared" si="82"/>
        <v>2020</v>
      </c>
      <c r="L752" s="80"/>
      <c r="M752" s="80"/>
      <c r="N752" s="73" t="s">
        <v>2866</v>
      </c>
      <c r="O752" s="73" t="s">
        <v>2894</v>
      </c>
      <c r="P752" s="74" t="s">
        <v>2913</v>
      </c>
      <c r="Q752" s="75"/>
      <c r="R752" s="230">
        <v>1855</v>
      </c>
      <c r="S752" s="230"/>
      <c r="T752" s="230">
        <v>1855</v>
      </c>
      <c r="U752" s="231">
        <v>735</v>
      </c>
      <c r="V752" s="230"/>
      <c r="W752" s="230"/>
      <c r="X752" s="231"/>
      <c r="Y752" s="85">
        <v>0</v>
      </c>
      <c r="Z752" s="85"/>
      <c r="AA752" s="76"/>
      <c r="AB752" s="77"/>
      <c r="AC752" s="78"/>
    </row>
    <row r="753" spans="1:29" ht="40" customHeight="1" x14ac:dyDescent="0.2">
      <c r="A753" s="117" t="s">
        <v>2914</v>
      </c>
      <c r="B753" s="118" t="e">
        <f t="shared" si="81"/>
        <v>#VALUE!</v>
      </c>
      <c r="C753" s="118" t="s">
        <v>612</v>
      </c>
      <c r="D753" s="113">
        <v>39618</v>
      </c>
      <c r="E753" s="84">
        <v>39692</v>
      </c>
      <c r="F753" s="84">
        <v>44075</v>
      </c>
      <c r="G753" s="229">
        <v>644.72</v>
      </c>
      <c r="H753" s="65" t="s">
        <v>951</v>
      </c>
      <c r="I753" s="71" t="s">
        <v>684</v>
      </c>
      <c r="J753" s="79" t="s">
        <v>2865</v>
      </c>
      <c r="K753" s="55">
        <f t="shared" si="82"/>
        <v>2020</v>
      </c>
      <c r="L753" s="80"/>
      <c r="M753" s="80"/>
      <c r="N753" s="73" t="s">
        <v>2866</v>
      </c>
      <c r="O753" s="73" t="s">
        <v>2894</v>
      </c>
      <c r="P753" s="74" t="s">
        <v>2915</v>
      </c>
      <c r="Q753" s="75"/>
      <c r="R753" s="230">
        <v>2397.5</v>
      </c>
      <c r="S753" s="230"/>
      <c r="T753" s="230">
        <v>2397.5</v>
      </c>
      <c r="U753" s="231">
        <v>967.5</v>
      </c>
      <c r="V753" s="230"/>
      <c r="W753" s="230"/>
      <c r="X753" s="231"/>
      <c r="Y753" s="85">
        <v>0</v>
      </c>
      <c r="Z753" s="85"/>
      <c r="AA753" s="76"/>
      <c r="AB753" s="77"/>
      <c r="AC753" s="78"/>
    </row>
    <row r="754" spans="1:29" ht="40" customHeight="1" x14ac:dyDescent="0.2">
      <c r="A754" s="117" t="s">
        <v>2916</v>
      </c>
      <c r="B754" s="118" t="e">
        <f t="shared" si="81"/>
        <v>#VALUE!</v>
      </c>
      <c r="C754" s="118" t="s">
        <v>612</v>
      </c>
      <c r="D754" s="113">
        <v>39618</v>
      </c>
      <c r="E754" s="84">
        <v>39692</v>
      </c>
      <c r="F754" s="84">
        <v>44075</v>
      </c>
      <c r="G754" s="229">
        <v>648.96</v>
      </c>
      <c r="H754" s="65" t="s">
        <v>951</v>
      </c>
      <c r="I754" s="71" t="s">
        <v>684</v>
      </c>
      <c r="J754" s="79" t="s">
        <v>2865</v>
      </c>
      <c r="K754" s="55">
        <f t="shared" si="82"/>
        <v>2020</v>
      </c>
      <c r="L754" s="80"/>
      <c r="M754" s="80"/>
      <c r="N754" s="73" t="s">
        <v>2866</v>
      </c>
      <c r="O754" s="73" t="s">
        <v>2894</v>
      </c>
      <c r="P754" s="74" t="s">
        <v>2917</v>
      </c>
      <c r="Q754" s="75"/>
      <c r="R754" s="230">
        <v>2411.5</v>
      </c>
      <c r="S754" s="230"/>
      <c r="T754" s="230">
        <v>2411.5</v>
      </c>
      <c r="U754" s="231">
        <v>973.5</v>
      </c>
      <c r="V754" s="230"/>
      <c r="W754" s="230"/>
      <c r="X754" s="231"/>
      <c r="Y754" s="85">
        <v>0</v>
      </c>
      <c r="Z754" s="85"/>
      <c r="AA754" s="76"/>
      <c r="AB754" s="77"/>
      <c r="AC754" s="78"/>
    </row>
    <row r="755" spans="1:29" ht="40" customHeight="1" x14ac:dyDescent="0.2">
      <c r="A755" s="117" t="s">
        <v>2918</v>
      </c>
      <c r="B755" s="118" t="e">
        <f t="shared" si="81"/>
        <v>#VALUE!</v>
      </c>
      <c r="C755" s="118" t="s">
        <v>612</v>
      </c>
      <c r="D755" s="113">
        <v>39618</v>
      </c>
      <c r="E755" s="84">
        <v>39692</v>
      </c>
      <c r="F755" s="84">
        <v>44075</v>
      </c>
      <c r="G755" s="229">
        <v>641.12</v>
      </c>
      <c r="H755" s="65" t="s">
        <v>951</v>
      </c>
      <c r="I755" s="71" t="s">
        <v>684</v>
      </c>
      <c r="J755" s="79" t="s">
        <v>2865</v>
      </c>
      <c r="K755" s="55">
        <f t="shared" si="82"/>
        <v>2020</v>
      </c>
      <c r="L755" s="80"/>
      <c r="M755" s="80"/>
      <c r="N755" s="73" t="s">
        <v>2866</v>
      </c>
      <c r="O755" s="73" t="s">
        <v>2894</v>
      </c>
      <c r="P755" s="74" t="s">
        <v>2919</v>
      </c>
      <c r="Q755" s="75"/>
      <c r="R755" s="230">
        <v>2387</v>
      </c>
      <c r="S755" s="230">
        <v>5136</v>
      </c>
      <c r="T755" s="230">
        <v>7523</v>
      </c>
      <c r="U755" s="231">
        <v>963</v>
      </c>
      <c r="V755" s="230"/>
      <c r="W755" s="230"/>
      <c r="X755" s="231"/>
      <c r="Y755" s="85">
        <v>0</v>
      </c>
      <c r="Z755" s="85"/>
      <c r="AA755" s="76"/>
      <c r="AB755" s="77"/>
      <c r="AC755" s="78"/>
    </row>
    <row r="756" spans="1:29" ht="40" customHeight="1" x14ac:dyDescent="0.2">
      <c r="A756" s="117" t="s">
        <v>2920</v>
      </c>
      <c r="B756" s="118" t="e">
        <f t="shared" si="81"/>
        <v>#VALUE!</v>
      </c>
      <c r="C756" s="118" t="s">
        <v>612</v>
      </c>
      <c r="D756" s="113">
        <v>39618</v>
      </c>
      <c r="E756" s="84">
        <v>39692</v>
      </c>
      <c r="F756" s="84">
        <v>44075</v>
      </c>
      <c r="G756" s="229">
        <v>646</v>
      </c>
      <c r="H756" s="65" t="s">
        <v>951</v>
      </c>
      <c r="I756" s="71" t="s">
        <v>684</v>
      </c>
      <c r="J756" s="79" t="s">
        <v>2865</v>
      </c>
      <c r="K756" s="55">
        <f t="shared" si="82"/>
        <v>2020</v>
      </c>
      <c r="L756" s="80"/>
      <c r="M756" s="80"/>
      <c r="N756" s="73" t="s">
        <v>2866</v>
      </c>
      <c r="O756" s="73" t="s">
        <v>2894</v>
      </c>
      <c r="P756" s="74" t="s">
        <v>2921</v>
      </c>
      <c r="Q756" s="75"/>
      <c r="R756" s="230">
        <v>2401</v>
      </c>
      <c r="S756" s="230">
        <v>4522</v>
      </c>
      <c r="T756" s="230">
        <v>6923</v>
      </c>
      <c r="U756" s="231">
        <v>969</v>
      </c>
      <c r="V756" s="230"/>
      <c r="W756" s="230"/>
      <c r="X756" s="231"/>
      <c r="Y756" s="85">
        <v>0</v>
      </c>
      <c r="Z756" s="85"/>
      <c r="AA756" s="76"/>
      <c r="AB756" s="77"/>
      <c r="AC756" s="78"/>
    </row>
    <row r="757" spans="1:29" ht="40" customHeight="1" x14ac:dyDescent="0.2">
      <c r="A757" s="117" t="s">
        <v>2922</v>
      </c>
      <c r="B757" s="118" t="e">
        <f t="shared" si="81"/>
        <v>#VALUE!</v>
      </c>
      <c r="C757" s="118" t="s">
        <v>612</v>
      </c>
      <c r="D757" s="113">
        <v>39618</v>
      </c>
      <c r="E757" s="84">
        <v>39692</v>
      </c>
      <c r="F757" s="84">
        <v>44075</v>
      </c>
      <c r="G757" s="229">
        <v>482.34</v>
      </c>
      <c r="H757" s="65" t="s">
        <v>951</v>
      </c>
      <c r="I757" s="71" t="s">
        <v>684</v>
      </c>
      <c r="J757" s="79" t="s">
        <v>2865</v>
      </c>
      <c r="K757" s="55">
        <f t="shared" si="82"/>
        <v>2020</v>
      </c>
      <c r="L757" s="80"/>
      <c r="M757" s="80"/>
      <c r="N757" s="73" t="s">
        <v>2866</v>
      </c>
      <c r="O757" s="73" t="s">
        <v>2894</v>
      </c>
      <c r="P757" s="74" t="s">
        <v>2923</v>
      </c>
      <c r="Q757" s="75"/>
      <c r="R757" s="230">
        <v>1830.5</v>
      </c>
      <c r="S757" s="230">
        <v>1932</v>
      </c>
      <c r="T757" s="230">
        <v>3762.5</v>
      </c>
      <c r="U757" s="231">
        <v>724.5</v>
      </c>
      <c r="V757" s="230"/>
      <c r="W757" s="230"/>
      <c r="X757" s="231"/>
      <c r="Y757" s="85">
        <v>0</v>
      </c>
      <c r="Z757" s="85"/>
      <c r="AA757" s="76"/>
      <c r="AB757" s="77"/>
      <c r="AC757" s="78"/>
    </row>
    <row r="758" spans="1:29" ht="40" customHeight="1" x14ac:dyDescent="0.2">
      <c r="A758" s="117" t="s">
        <v>2924</v>
      </c>
      <c r="B758" s="118" t="e">
        <f t="shared" si="81"/>
        <v>#VALUE!</v>
      </c>
      <c r="C758" s="118" t="s">
        <v>612</v>
      </c>
      <c r="D758" s="113">
        <v>39618</v>
      </c>
      <c r="E758" s="84">
        <v>39692</v>
      </c>
      <c r="F758" s="84">
        <v>44075</v>
      </c>
      <c r="G758" s="229">
        <v>641.44000000000005</v>
      </c>
      <c r="H758" s="65" t="s">
        <v>951</v>
      </c>
      <c r="I758" s="71" t="s">
        <v>684</v>
      </c>
      <c r="J758" s="79" t="s">
        <v>2865</v>
      </c>
      <c r="K758" s="55">
        <f t="shared" si="82"/>
        <v>2020</v>
      </c>
      <c r="L758" s="80"/>
      <c r="M758" s="80"/>
      <c r="N758" s="73" t="s">
        <v>2866</v>
      </c>
      <c r="O758" s="73" t="s">
        <v>2894</v>
      </c>
      <c r="P758" s="74" t="s">
        <v>2925</v>
      </c>
      <c r="Q758" s="75"/>
      <c r="R758" s="230">
        <v>2387</v>
      </c>
      <c r="S758" s="230">
        <v>3210</v>
      </c>
      <c r="T758" s="230">
        <v>5597</v>
      </c>
      <c r="U758" s="231">
        <v>963</v>
      </c>
      <c r="V758" s="230"/>
      <c r="W758" s="230"/>
      <c r="X758" s="231"/>
      <c r="Y758" s="85">
        <v>0</v>
      </c>
      <c r="Z758" s="85"/>
      <c r="AA758" s="76"/>
      <c r="AB758" s="77"/>
      <c r="AC758" s="78"/>
    </row>
    <row r="759" spans="1:29" ht="40" customHeight="1" x14ac:dyDescent="0.2">
      <c r="A759" s="117" t="s">
        <v>2926</v>
      </c>
      <c r="B759" s="118" t="e">
        <f t="shared" ref="B759:B784" si="83">IF(COUNTIF(GIS,A759),"YES","NO")</f>
        <v>#VALUE!</v>
      </c>
      <c r="C759" s="118" t="s">
        <v>612</v>
      </c>
      <c r="D759" s="113">
        <v>39618</v>
      </c>
      <c r="E759" s="84">
        <v>39692</v>
      </c>
      <c r="F759" s="84">
        <v>44075</v>
      </c>
      <c r="G759" s="229">
        <v>649.76</v>
      </c>
      <c r="H759" s="65" t="s">
        <v>951</v>
      </c>
      <c r="I759" s="71" t="s">
        <v>684</v>
      </c>
      <c r="J759" s="79" t="s">
        <v>2865</v>
      </c>
      <c r="K759" s="55">
        <f t="shared" si="82"/>
        <v>2020</v>
      </c>
      <c r="L759" s="80"/>
      <c r="M759" s="80"/>
      <c r="N759" s="73" t="s">
        <v>2866</v>
      </c>
      <c r="O759" s="73" t="s">
        <v>2894</v>
      </c>
      <c r="P759" s="74" t="s">
        <v>2927</v>
      </c>
      <c r="Q759" s="75"/>
      <c r="R759" s="230">
        <v>2415</v>
      </c>
      <c r="S759" s="230">
        <v>2600</v>
      </c>
      <c r="T759" s="230">
        <v>5015</v>
      </c>
      <c r="U759" s="231">
        <v>975</v>
      </c>
      <c r="V759" s="230"/>
      <c r="W759" s="230"/>
      <c r="X759" s="231"/>
      <c r="Y759" s="85">
        <v>0</v>
      </c>
      <c r="Z759" s="85"/>
      <c r="AA759" s="76"/>
      <c r="AB759" s="77"/>
      <c r="AC759" s="78"/>
    </row>
    <row r="760" spans="1:29" ht="40" customHeight="1" x14ac:dyDescent="0.2">
      <c r="A760" s="117" t="s">
        <v>2928</v>
      </c>
      <c r="B760" s="118" t="e">
        <f t="shared" si="83"/>
        <v>#VALUE!</v>
      </c>
      <c r="C760" s="118" t="s">
        <v>612</v>
      </c>
      <c r="D760" s="113">
        <v>39618</v>
      </c>
      <c r="E760" s="84">
        <v>39692</v>
      </c>
      <c r="F760" s="84">
        <v>44075</v>
      </c>
      <c r="G760" s="229">
        <v>642.64</v>
      </c>
      <c r="H760" s="65" t="s">
        <v>951</v>
      </c>
      <c r="I760" s="71" t="s">
        <v>684</v>
      </c>
      <c r="J760" s="79" t="s">
        <v>2865</v>
      </c>
      <c r="K760" s="55">
        <f t="shared" si="82"/>
        <v>2020</v>
      </c>
      <c r="L760" s="80"/>
      <c r="M760" s="80"/>
      <c r="N760" s="73" t="s">
        <v>2866</v>
      </c>
      <c r="O760" s="73" t="s">
        <v>2894</v>
      </c>
      <c r="P760" s="74" t="s">
        <v>2929</v>
      </c>
      <c r="Q760" s="75"/>
      <c r="R760" s="230">
        <v>2390.5</v>
      </c>
      <c r="S760" s="230"/>
      <c r="T760" s="230">
        <v>2390.5</v>
      </c>
      <c r="U760" s="231">
        <v>964.5</v>
      </c>
      <c r="V760" s="230"/>
      <c r="W760" s="230"/>
      <c r="X760" s="231"/>
      <c r="Y760" s="85">
        <v>0</v>
      </c>
      <c r="Z760" s="85"/>
      <c r="AA760" s="76"/>
      <c r="AB760" s="77"/>
      <c r="AC760" s="78"/>
    </row>
    <row r="761" spans="1:29" ht="40" customHeight="1" x14ac:dyDescent="0.2">
      <c r="A761" s="117" t="s">
        <v>2930</v>
      </c>
      <c r="B761" s="118" t="e">
        <f t="shared" si="83"/>
        <v>#VALUE!</v>
      </c>
      <c r="C761" s="118" t="s">
        <v>612</v>
      </c>
      <c r="D761" s="113">
        <v>39618</v>
      </c>
      <c r="E761" s="84">
        <v>39692</v>
      </c>
      <c r="F761" s="84">
        <v>44075</v>
      </c>
      <c r="G761" s="229">
        <v>643.52</v>
      </c>
      <c r="H761" s="65" t="s">
        <v>951</v>
      </c>
      <c r="I761" s="71" t="s">
        <v>684</v>
      </c>
      <c r="J761" s="79" t="s">
        <v>2865</v>
      </c>
      <c r="K761" s="55">
        <f t="shared" si="82"/>
        <v>2020</v>
      </c>
      <c r="L761" s="80"/>
      <c r="M761" s="80"/>
      <c r="N761" s="73" t="s">
        <v>2866</v>
      </c>
      <c r="O761" s="73" t="s">
        <v>2894</v>
      </c>
      <c r="P761" s="74" t="s">
        <v>2931</v>
      </c>
      <c r="Q761" s="75"/>
      <c r="R761" s="230">
        <v>2394</v>
      </c>
      <c r="S761" s="230"/>
      <c r="T761" s="230">
        <v>2394</v>
      </c>
      <c r="U761" s="231">
        <v>966</v>
      </c>
      <c r="V761" s="230"/>
      <c r="W761" s="230"/>
      <c r="X761" s="231"/>
      <c r="Y761" s="85">
        <v>0</v>
      </c>
      <c r="Z761" s="85"/>
      <c r="AA761" s="76"/>
      <c r="AB761" s="77"/>
      <c r="AC761" s="78"/>
    </row>
    <row r="762" spans="1:29" ht="53" customHeight="1" x14ac:dyDescent="0.2">
      <c r="A762" s="117" t="s">
        <v>2932</v>
      </c>
      <c r="B762" s="118" t="e">
        <f t="shared" si="83"/>
        <v>#VALUE!</v>
      </c>
      <c r="C762" s="118" t="s">
        <v>612</v>
      </c>
      <c r="D762" s="113">
        <v>39618</v>
      </c>
      <c r="E762" s="84">
        <v>39692</v>
      </c>
      <c r="F762" s="84">
        <v>44075</v>
      </c>
      <c r="G762" s="229">
        <v>601.12</v>
      </c>
      <c r="H762" s="65" t="s">
        <v>951</v>
      </c>
      <c r="I762" s="71" t="s">
        <v>684</v>
      </c>
      <c r="J762" s="79" t="s">
        <v>2865</v>
      </c>
      <c r="K762" s="55">
        <f t="shared" si="82"/>
        <v>2020</v>
      </c>
      <c r="L762" s="80"/>
      <c r="M762" s="80"/>
      <c r="N762" s="73" t="s">
        <v>2866</v>
      </c>
      <c r="O762" s="73" t="s">
        <v>2894</v>
      </c>
      <c r="P762" s="74" t="s">
        <v>2933</v>
      </c>
      <c r="Q762" s="75"/>
      <c r="R762" s="230">
        <v>2247</v>
      </c>
      <c r="S762" s="230"/>
      <c r="T762" s="230">
        <v>2247</v>
      </c>
      <c r="U762" s="231">
        <v>903</v>
      </c>
      <c r="V762" s="230"/>
      <c r="W762" s="230"/>
      <c r="X762" s="231"/>
      <c r="Y762" s="85">
        <v>0</v>
      </c>
      <c r="Z762" s="85"/>
      <c r="AA762" s="76"/>
      <c r="AB762" s="77"/>
      <c r="AC762" s="78"/>
    </row>
    <row r="763" spans="1:29" ht="40" customHeight="1" x14ac:dyDescent="0.2">
      <c r="A763" s="117" t="s">
        <v>2934</v>
      </c>
      <c r="B763" s="118" t="e">
        <f t="shared" si="83"/>
        <v>#VALUE!</v>
      </c>
      <c r="C763" s="118" t="s">
        <v>612</v>
      </c>
      <c r="D763" s="113">
        <v>39618</v>
      </c>
      <c r="E763" s="84">
        <v>39692</v>
      </c>
      <c r="F763" s="84">
        <v>44075</v>
      </c>
      <c r="G763" s="229">
        <v>639.6</v>
      </c>
      <c r="H763" s="65" t="s">
        <v>951</v>
      </c>
      <c r="I763" s="71" t="s">
        <v>684</v>
      </c>
      <c r="J763" s="79" t="s">
        <v>2865</v>
      </c>
      <c r="K763" s="55">
        <f t="shared" si="82"/>
        <v>2020</v>
      </c>
      <c r="L763" s="80"/>
      <c r="M763" s="80"/>
      <c r="N763" s="73" t="s">
        <v>2866</v>
      </c>
      <c r="O763" s="73" t="s">
        <v>2894</v>
      </c>
      <c r="P763" s="74" t="s">
        <v>2935</v>
      </c>
      <c r="Q763" s="75"/>
      <c r="R763" s="230">
        <v>2380</v>
      </c>
      <c r="S763" s="230"/>
      <c r="T763" s="230">
        <v>2380</v>
      </c>
      <c r="U763" s="231">
        <v>960</v>
      </c>
      <c r="V763" s="230"/>
      <c r="W763" s="230"/>
      <c r="X763" s="231"/>
      <c r="Y763" s="85">
        <v>0</v>
      </c>
      <c r="Z763" s="85"/>
      <c r="AA763" s="76"/>
      <c r="AB763" s="77"/>
      <c r="AC763" s="78"/>
    </row>
    <row r="764" spans="1:29" ht="40" customHeight="1" x14ac:dyDescent="0.2">
      <c r="A764" s="117" t="s">
        <v>2936</v>
      </c>
      <c r="B764" s="118" t="e">
        <f t="shared" si="83"/>
        <v>#VALUE!</v>
      </c>
      <c r="C764" s="118" t="s">
        <v>612</v>
      </c>
      <c r="D764" s="113">
        <v>39618</v>
      </c>
      <c r="E764" s="84">
        <v>39692</v>
      </c>
      <c r="F764" s="84">
        <v>44075</v>
      </c>
      <c r="G764" s="229">
        <v>641.34</v>
      </c>
      <c r="H764" s="65" t="s">
        <v>951</v>
      </c>
      <c r="I764" s="71" t="s">
        <v>684</v>
      </c>
      <c r="J764" s="79" t="s">
        <v>2865</v>
      </c>
      <c r="K764" s="55">
        <f t="shared" si="82"/>
        <v>2020</v>
      </c>
      <c r="L764" s="80"/>
      <c r="M764" s="80"/>
      <c r="N764" s="73" t="s">
        <v>2866</v>
      </c>
      <c r="O764" s="73" t="s">
        <v>2894</v>
      </c>
      <c r="P764" s="74" t="s">
        <v>2937</v>
      </c>
      <c r="Q764" s="75"/>
      <c r="R764" s="230">
        <v>2387</v>
      </c>
      <c r="S764" s="230"/>
      <c r="T764" s="230">
        <v>2387</v>
      </c>
      <c r="U764" s="231">
        <v>963</v>
      </c>
      <c r="V764" s="230"/>
      <c r="W764" s="230"/>
      <c r="X764" s="231"/>
      <c r="Y764" s="85">
        <v>0</v>
      </c>
      <c r="Z764" s="85"/>
      <c r="AA764" s="76"/>
      <c r="AB764" s="77"/>
      <c r="AC764" s="78"/>
    </row>
    <row r="765" spans="1:29" ht="40" customHeight="1" x14ac:dyDescent="0.2">
      <c r="A765" s="117" t="s">
        <v>2938</v>
      </c>
      <c r="B765" s="118" t="e">
        <f t="shared" si="83"/>
        <v>#VALUE!</v>
      </c>
      <c r="C765" s="118" t="s">
        <v>612</v>
      </c>
      <c r="D765" s="113">
        <v>39618</v>
      </c>
      <c r="E765" s="84">
        <v>39692</v>
      </c>
      <c r="F765" s="84">
        <v>44075</v>
      </c>
      <c r="G765" s="229">
        <v>642.78</v>
      </c>
      <c r="H765" s="65" t="s">
        <v>951</v>
      </c>
      <c r="I765" s="71" t="s">
        <v>684</v>
      </c>
      <c r="J765" s="79" t="s">
        <v>2865</v>
      </c>
      <c r="K765" s="55">
        <f t="shared" si="82"/>
        <v>2020</v>
      </c>
      <c r="L765" s="80"/>
      <c r="M765" s="80"/>
      <c r="N765" s="73" t="s">
        <v>2866</v>
      </c>
      <c r="O765" s="73" t="s">
        <v>2894</v>
      </c>
      <c r="P765" s="74" t="s">
        <v>2939</v>
      </c>
      <c r="Q765" s="75"/>
      <c r="R765" s="230">
        <v>2390.5</v>
      </c>
      <c r="S765" s="230"/>
      <c r="T765" s="230">
        <v>2390.5</v>
      </c>
      <c r="U765" s="231">
        <v>964.5</v>
      </c>
      <c r="V765" s="230"/>
      <c r="W765" s="230"/>
      <c r="X765" s="231"/>
      <c r="Y765" s="85">
        <v>0</v>
      </c>
      <c r="Z765" s="85"/>
      <c r="AA765" s="76"/>
      <c r="AB765" s="77"/>
      <c r="AC765" s="78"/>
    </row>
    <row r="766" spans="1:29" ht="40" customHeight="1" x14ac:dyDescent="0.2">
      <c r="A766" s="117" t="s">
        <v>2940</v>
      </c>
      <c r="B766" s="118" t="e">
        <f t="shared" si="83"/>
        <v>#VALUE!</v>
      </c>
      <c r="C766" s="118" t="s">
        <v>612</v>
      </c>
      <c r="D766" s="113">
        <v>39618</v>
      </c>
      <c r="E766" s="84">
        <v>39692</v>
      </c>
      <c r="F766" s="84">
        <v>44075</v>
      </c>
      <c r="G766" s="229">
        <v>407.22</v>
      </c>
      <c r="H766" s="65" t="s">
        <v>951</v>
      </c>
      <c r="I766" s="71" t="s">
        <v>684</v>
      </c>
      <c r="J766" s="79" t="s">
        <v>2865</v>
      </c>
      <c r="K766" s="55">
        <f t="shared" si="82"/>
        <v>2020</v>
      </c>
      <c r="L766" s="80"/>
      <c r="M766" s="80"/>
      <c r="N766" s="73" t="s">
        <v>2866</v>
      </c>
      <c r="O766" s="73" t="s">
        <v>2894</v>
      </c>
      <c r="P766" s="74" t="s">
        <v>2941</v>
      </c>
      <c r="Q766" s="75"/>
      <c r="R766" s="230">
        <v>1568</v>
      </c>
      <c r="S766" s="230"/>
      <c r="T766" s="230">
        <v>1568</v>
      </c>
      <c r="U766" s="231">
        <v>612</v>
      </c>
      <c r="V766" s="230"/>
      <c r="W766" s="230"/>
      <c r="X766" s="231"/>
      <c r="Y766" s="85">
        <v>0</v>
      </c>
      <c r="Z766" s="85"/>
      <c r="AA766" s="76"/>
      <c r="AB766" s="77"/>
      <c r="AC766" s="78"/>
    </row>
    <row r="767" spans="1:29" ht="53" customHeight="1" x14ac:dyDescent="0.2">
      <c r="A767" s="117" t="s">
        <v>2942</v>
      </c>
      <c r="B767" s="118" t="e">
        <f t="shared" si="83"/>
        <v>#VALUE!</v>
      </c>
      <c r="C767" s="118" t="s">
        <v>612</v>
      </c>
      <c r="D767" s="113">
        <v>39618</v>
      </c>
      <c r="E767" s="84">
        <v>39692</v>
      </c>
      <c r="F767" s="84">
        <v>44075</v>
      </c>
      <c r="G767" s="229">
        <v>465.01</v>
      </c>
      <c r="H767" s="65" t="s">
        <v>951</v>
      </c>
      <c r="I767" s="71" t="s">
        <v>684</v>
      </c>
      <c r="J767" s="79" t="s">
        <v>2865</v>
      </c>
      <c r="K767" s="55">
        <f t="shared" si="82"/>
        <v>2020</v>
      </c>
      <c r="L767" s="80"/>
      <c r="M767" s="80"/>
      <c r="N767" s="73" t="s">
        <v>2866</v>
      </c>
      <c r="O767" s="73" t="s">
        <v>2894</v>
      </c>
      <c r="P767" s="74" t="s">
        <v>2943</v>
      </c>
      <c r="Q767" s="75"/>
      <c r="R767" s="230">
        <v>1771</v>
      </c>
      <c r="S767" s="230"/>
      <c r="T767" s="230">
        <v>1771</v>
      </c>
      <c r="U767" s="231">
        <v>699</v>
      </c>
      <c r="V767" s="230"/>
      <c r="W767" s="230"/>
      <c r="X767" s="231"/>
      <c r="Y767" s="85">
        <v>0</v>
      </c>
      <c r="Z767" s="85"/>
      <c r="AA767" s="76"/>
      <c r="AB767" s="77"/>
      <c r="AC767" s="78"/>
    </row>
    <row r="768" spans="1:29" ht="40" customHeight="1" x14ac:dyDescent="0.2">
      <c r="A768" s="117" t="s">
        <v>2944</v>
      </c>
      <c r="B768" s="118" t="e">
        <f t="shared" si="83"/>
        <v>#VALUE!</v>
      </c>
      <c r="C768" s="118" t="s">
        <v>612</v>
      </c>
      <c r="D768" s="113">
        <v>39618</v>
      </c>
      <c r="E768" s="84">
        <v>39692</v>
      </c>
      <c r="F768" s="84">
        <v>44075</v>
      </c>
      <c r="G768" s="229">
        <v>181.1</v>
      </c>
      <c r="H768" s="65" t="s">
        <v>951</v>
      </c>
      <c r="I768" s="71" t="s">
        <v>684</v>
      </c>
      <c r="J768" s="79" t="s">
        <v>2865</v>
      </c>
      <c r="K768" s="55">
        <f t="shared" si="82"/>
        <v>2020</v>
      </c>
      <c r="L768" s="80"/>
      <c r="M768" s="80"/>
      <c r="N768" s="73" t="s">
        <v>2866</v>
      </c>
      <c r="O768" s="73" t="s">
        <v>2894</v>
      </c>
      <c r="P768" s="74" t="s">
        <v>2945</v>
      </c>
      <c r="Q768" s="75"/>
      <c r="R768" s="230">
        <v>777</v>
      </c>
      <c r="S768" s="230">
        <v>364</v>
      </c>
      <c r="T768" s="230">
        <v>1141</v>
      </c>
      <c r="U768" s="231">
        <v>273</v>
      </c>
      <c r="V768" s="230"/>
      <c r="W768" s="230"/>
      <c r="X768" s="231"/>
      <c r="Y768" s="85">
        <v>0</v>
      </c>
      <c r="Z768" s="85"/>
      <c r="AA768" s="76"/>
      <c r="AB768" s="77"/>
      <c r="AC768" s="78"/>
    </row>
    <row r="769" spans="1:29" ht="27" customHeight="1" x14ac:dyDescent="0.2">
      <c r="A769" s="117" t="s">
        <v>2946</v>
      </c>
      <c r="B769" s="118" t="e">
        <f t="shared" si="83"/>
        <v>#VALUE!</v>
      </c>
      <c r="C769" s="118" t="s">
        <v>612</v>
      </c>
      <c r="D769" s="113">
        <v>39618</v>
      </c>
      <c r="E769" s="84">
        <v>39692</v>
      </c>
      <c r="F769" s="84">
        <v>44075</v>
      </c>
      <c r="G769" s="229">
        <v>649.20000000000005</v>
      </c>
      <c r="H769" s="65" t="s">
        <v>951</v>
      </c>
      <c r="I769" s="71" t="s">
        <v>684</v>
      </c>
      <c r="J769" s="79" t="s">
        <v>2865</v>
      </c>
      <c r="K769" s="55">
        <f t="shared" si="82"/>
        <v>2020</v>
      </c>
      <c r="L769" s="80"/>
      <c r="M769" s="80"/>
      <c r="N769" s="73" t="s">
        <v>2866</v>
      </c>
      <c r="O769" s="73" t="s">
        <v>2894</v>
      </c>
      <c r="P769" s="74" t="s">
        <v>2947</v>
      </c>
      <c r="Q769" s="75"/>
      <c r="R769" s="230">
        <v>2415</v>
      </c>
      <c r="S769" s="230"/>
      <c r="T769" s="230">
        <v>2415</v>
      </c>
      <c r="U769" s="231">
        <v>975</v>
      </c>
      <c r="V769" s="230"/>
      <c r="W769" s="230"/>
      <c r="X769" s="231"/>
      <c r="Y769" s="85">
        <v>0</v>
      </c>
      <c r="Z769" s="85"/>
      <c r="AA769" s="76"/>
      <c r="AB769" s="77"/>
      <c r="AC769" s="78"/>
    </row>
    <row r="770" spans="1:29" ht="27" customHeight="1" x14ac:dyDescent="0.2">
      <c r="A770" s="117" t="s">
        <v>2948</v>
      </c>
      <c r="B770" s="118" t="e">
        <f t="shared" si="83"/>
        <v>#VALUE!</v>
      </c>
      <c r="C770" s="118" t="s">
        <v>612</v>
      </c>
      <c r="D770" s="113">
        <v>39618</v>
      </c>
      <c r="E770" s="84">
        <v>39692</v>
      </c>
      <c r="F770" s="84">
        <v>44075</v>
      </c>
      <c r="G770" s="229">
        <v>648.34</v>
      </c>
      <c r="H770" s="65" t="s">
        <v>951</v>
      </c>
      <c r="I770" s="71" t="s">
        <v>684</v>
      </c>
      <c r="J770" s="79" t="s">
        <v>2865</v>
      </c>
      <c r="K770" s="55">
        <f t="shared" si="82"/>
        <v>2020</v>
      </c>
      <c r="L770" s="80"/>
      <c r="M770" s="80"/>
      <c r="N770" s="73" t="s">
        <v>2866</v>
      </c>
      <c r="O770" s="73" t="s">
        <v>2894</v>
      </c>
      <c r="P770" s="74" t="s">
        <v>2949</v>
      </c>
      <c r="Q770" s="75"/>
      <c r="R770" s="230">
        <v>2411.5</v>
      </c>
      <c r="S770" s="230"/>
      <c r="T770" s="230">
        <v>2411.5</v>
      </c>
      <c r="U770" s="231">
        <v>973.5</v>
      </c>
      <c r="V770" s="230"/>
      <c r="W770" s="230"/>
      <c r="X770" s="231"/>
      <c r="Y770" s="85">
        <v>0</v>
      </c>
      <c r="Z770" s="85"/>
      <c r="AA770" s="76"/>
      <c r="AB770" s="77"/>
      <c r="AC770" s="78"/>
    </row>
    <row r="771" spans="1:29" ht="27" customHeight="1" x14ac:dyDescent="0.2">
      <c r="A771" s="117" t="s">
        <v>2950</v>
      </c>
      <c r="B771" s="118" t="e">
        <f t="shared" si="83"/>
        <v>#VALUE!</v>
      </c>
      <c r="C771" s="118" t="s">
        <v>612</v>
      </c>
      <c r="D771" s="113">
        <v>39618</v>
      </c>
      <c r="E771" s="84">
        <v>39692</v>
      </c>
      <c r="F771" s="84">
        <v>44075</v>
      </c>
      <c r="G771" s="229">
        <v>567.77</v>
      </c>
      <c r="H771" s="65" t="s">
        <v>951</v>
      </c>
      <c r="I771" s="71" t="s">
        <v>684</v>
      </c>
      <c r="J771" s="79" t="s">
        <v>2865</v>
      </c>
      <c r="K771" s="55">
        <f t="shared" si="82"/>
        <v>2020</v>
      </c>
      <c r="L771" s="80"/>
      <c r="M771" s="80"/>
      <c r="N771" s="73" t="s">
        <v>2866</v>
      </c>
      <c r="O771" s="73" t="s">
        <v>2894</v>
      </c>
      <c r="P771" s="74" t="s">
        <v>2951</v>
      </c>
      <c r="Q771" s="75"/>
      <c r="R771" s="230">
        <v>2128</v>
      </c>
      <c r="S771" s="230"/>
      <c r="T771" s="230">
        <v>2128</v>
      </c>
      <c r="U771" s="231">
        <v>852</v>
      </c>
      <c r="V771" s="230"/>
      <c r="W771" s="230"/>
      <c r="X771" s="231"/>
      <c r="Y771" s="85">
        <v>0</v>
      </c>
      <c r="Z771" s="85"/>
      <c r="AA771" s="76"/>
      <c r="AB771" s="77"/>
      <c r="AC771" s="78"/>
    </row>
    <row r="772" spans="1:29" ht="40" customHeight="1" x14ac:dyDescent="0.2">
      <c r="A772" s="117" t="s">
        <v>2952</v>
      </c>
      <c r="B772" s="118" t="e">
        <f t="shared" si="83"/>
        <v>#VALUE!</v>
      </c>
      <c r="C772" s="118" t="s">
        <v>612</v>
      </c>
      <c r="D772" s="113">
        <v>39618</v>
      </c>
      <c r="E772" s="84">
        <v>39692</v>
      </c>
      <c r="F772" s="84">
        <v>44075</v>
      </c>
      <c r="G772" s="229">
        <v>644.08000000000004</v>
      </c>
      <c r="H772" s="65" t="s">
        <v>951</v>
      </c>
      <c r="I772" s="71" t="s">
        <v>684</v>
      </c>
      <c r="J772" s="79" t="s">
        <v>2865</v>
      </c>
      <c r="K772" s="55">
        <f t="shared" si="82"/>
        <v>2020</v>
      </c>
      <c r="L772" s="80"/>
      <c r="M772" s="80"/>
      <c r="N772" s="73" t="s">
        <v>2866</v>
      </c>
      <c r="O772" s="73" t="s">
        <v>2894</v>
      </c>
      <c r="P772" s="74" t="s">
        <v>2953</v>
      </c>
      <c r="Q772" s="75"/>
      <c r="R772" s="230">
        <v>2397.5</v>
      </c>
      <c r="S772" s="230">
        <v>3870</v>
      </c>
      <c r="T772" s="230">
        <v>6267.5</v>
      </c>
      <c r="U772" s="231">
        <v>967.5</v>
      </c>
      <c r="V772" s="230"/>
      <c r="W772" s="230"/>
      <c r="X772" s="231"/>
      <c r="Y772" s="85">
        <v>0</v>
      </c>
      <c r="Z772" s="85"/>
      <c r="AA772" s="76"/>
      <c r="AB772" s="77"/>
      <c r="AC772" s="78"/>
    </row>
    <row r="773" spans="1:29" ht="66" customHeight="1" x14ac:dyDescent="0.2">
      <c r="A773" s="117" t="s">
        <v>2954</v>
      </c>
      <c r="B773" s="118" t="e">
        <f t="shared" si="83"/>
        <v>#VALUE!</v>
      </c>
      <c r="C773" s="118" t="s">
        <v>612</v>
      </c>
      <c r="D773" s="113">
        <v>39618</v>
      </c>
      <c r="E773" s="84">
        <v>39692</v>
      </c>
      <c r="F773" s="84">
        <v>44075</v>
      </c>
      <c r="G773" s="229">
        <v>634.57000000000005</v>
      </c>
      <c r="H773" s="65" t="s">
        <v>951</v>
      </c>
      <c r="I773" s="71" t="s">
        <v>684</v>
      </c>
      <c r="J773" s="79" t="s">
        <v>2865</v>
      </c>
      <c r="K773" s="55">
        <f t="shared" si="82"/>
        <v>2020</v>
      </c>
      <c r="L773" s="80"/>
      <c r="M773" s="80"/>
      <c r="N773" s="73" t="s">
        <v>2866</v>
      </c>
      <c r="O773" s="73" t="s">
        <v>2894</v>
      </c>
      <c r="P773" s="74" t="s">
        <v>2955</v>
      </c>
      <c r="Q773" s="75"/>
      <c r="R773" s="230">
        <v>2362.5</v>
      </c>
      <c r="S773" s="230"/>
      <c r="T773" s="230">
        <v>2362.5</v>
      </c>
      <c r="U773" s="231">
        <v>952.5</v>
      </c>
      <c r="V773" s="230"/>
      <c r="W773" s="230"/>
      <c r="X773" s="231"/>
      <c r="Y773" s="85">
        <v>0</v>
      </c>
      <c r="Z773" s="85"/>
      <c r="AA773" s="76"/>
      <c r="AB773" s="77"/>
      <c r="AC773" s="78"/>
    </row>
    <row r="774" spans="1:29" x14ac:dyDescent="0.2">
      <c r="A774" s="117" t="s">
        <v>2956</v>
      </c>
      <c r="B774" s="118" t="e">
        <f t="shared" si="83"/>
        <v>#VALUE!</v>
      </c>
      <c r="C774" s="118" t="s">
        <v>612</v>
      </c>
      <c r="D774" s="113">
        <v>39618</v>
      </c>
      <c r="E774" s="84">
        <v>39692</v>
      </c>
      <c r="F774" s="84">
        <v>44075</v>
      </c>
      <c r="G774" s="229">
        <v>640.46</v>
      </c>
      <c r="H774" s="65" t="s">
        <v>951</v>
      </c>
      <c r="I774" s="71" t="s">
        <v>684</v>
      </c>
      <c r="J774" s="79" t="s">
        <v>2865</v>
      </c>
      <c r="K774" s="55">
        <f t="shared" si="82"/>
        <v>2020</v>
      </c>
      <c r="L774" s="80"/>
      <c r="M774" s="80"/>
      <c r="N774" s="73" t="s">
        <v>2866</v>
      </c>
      <c r="O774" s="73" t="s">
        <v>2894</v>
      </c>
      <c r="P774" s="74" t="s">
        <v>2957</v>
      </c>
      <c r="Q774" s="75"/>
      <c r="R774" s="230">
        <v>2383.5</v>
      </c>
      <c r="S774" s="230">
        <v>5128</v>
      </c>
      <c r="T774" s="230">
        <v>7511.5</v>
      </c>
      <c r="U774" s="231">
        <v>961.5</v>
      </c>
      <c r="V774" s="230"/>
      <c r="W774" s="230"/>
      <c r="X774" s="231"/>
      <c r="Y774" s="85">
        <v>0</v>
      </c>
      <c r="Z774" s="85"/>
      <c r="AA774" s="76"/>
      <c r="AB774" s="77"/>
      <c r="AC774" s="78"/>
    </row>
    <row r="775" spans="1:29" x14ac:dyDescent="0.2">
      <c r="A775" s="117" t="s">
        <v>2958</v>
      </c>
      <c r="B775" s="118" t="e">
        <f t="shared" si="83"/>
        <v>#VALUE!</v>
      </c>
      <c r="C775" s="118" t="s">
        <v>612</v>
      </c>
      <c r="D775" s="113">
        <v>39618</v>
      </c>
      <c r="E775" s="84">
        <v>39692</v>
      </c>
      <c r="F775" s="84">
        <v>44075</v>
      </c>
      <c r="G775" s="229">
        <v>641.82000000000005</v>
      </c>
      <c r="H775" s="65" t="s">
        <v>951</v>
      </c>
      <c r="I775" s="71" t="s">
        <v>684</v>
      </c>
      <c r="J775" s="79" t="s">
        <v>2865</v>
      </c>
      <c r="K775" s="55">
        <f t="shared" si="82"/>
        <v>2020</v>
      </c>
      <c r="L775" s="80"/>
      <c r="M775" s="80"/>
      <c r="N775" s="73" t="s">
        <v>2866</v>
      </c>
      <c r="O775" s="73" t="s">
        <v>2894</v>
      </c>
      <c r="P775" s="74" t="s">
        <v>2959</v>
      </c>
      <c r="Q775" s="75"/>
      <c r="R775" s="230">
        <v>2387</v>
      </c>
      <c r="S775" s="230">
        <v>5778</v>
      </c>
      <c r="T775" s="230">
        <v>8165</v>
      </c>
      <c r="U775" s="231">
        <v>963</v>
      </c>
      <c r="V775" s="230"/>
      <c r="W775" s="230"/>
      <c r="X775" s="231"/>
      <c r="Y775" s="85">
        <v>0</v>
      </c>
      <c r="Z775" s="85"/>
      <c r="AA775" s="76"/>
      <c r="AB775" s="77"/>
      <c r="AC775" s="78"/>
    </row>
    <row r="776" spans="1:29" ht="53" customHeight="1" x14ac:dyDescent="0.2">
      <c r="A776" s="117" t="s">
        <v>2960</v>
      </c>
      <c r="B776" s="118" t="e">
        <f t="shared" si="83"/>
        <v>#VALUE!</v>
      </c>
      <c r="C776" s="118" t="s">
        <v>612</v>
      </c>
      <c r="D776" s="113">
        <v>39618</v>
      </c>
      <c r="E776" s="84">
        <v>39692</v>
      </c>
      <c r="F776" s="84">
        <v>44075</v>
      </c>
      <c r="G776" s="229">
        <v>613.97</v>
      </c>
      <c r="H776" s="65" t="s">
        <v>951</v>
      </c>
      <c r="I776" s="71" t="s">
        <v>684</v>
      </c>
      <c r="J776" s="79" t="s">
        <v>2865</v>
      </c>
      <c r="K776" s="55">
        <f t="shared" si="82"/>
        <v>2020</v>
      </c>
      <c r="L776" s="80"/>
      <c r="M776" s="80"/>
      <c r="N776" s="73" t="s">
        <v>2866</v>
      </c>
      <c r="O776" s="73" t="s">
        <v>2894</v>
      </c>
      <c r="P776" s="74" t="s">
        <v>2961</v>
      </c>
      <c r="Q776" s="75"/>
      <c r="R776" s="230">
        <v>2289</v>
      </c>
      <c r="S776" s="230"/>
      <c r="T776" s="230">
        <v>2289</v>
      </c>
      <c r="U776" s="231">
        <v>921</v>
      </c>
      <c r="V776" s="230"/>
      <c r="W776" s="230"/>
      <c r="X776" s="231"/>
      <c r="Y776" s="85">
        <v>0</v>
      </c>
      <c r="Z776" s="85"/>
      <c r="AA776" s="76"/>
      <c r="AB776" s="77"/>
      <c r="AC776" s="78"/>
    </row>
    <row r="777" spans="1:29" ht="53" hidden="1" customHeight="1" x14ac:dyDescent="0.2">
      <c r="A777" s="117" t="s">
        <v>2962</v>
      </c>
      <c r="B777" s="118" t="e">
        <f t="shared" si="83"/>
        <v>#VALUE!</v>
      </c>
      <c r="C777" s="118" t="s">
        <v>612</v>
      </c>
      <c r="D777" s="113">
        <v>39618</v>
      </c>
      <c r="E777" s="84">
        <v>39692</v>
      </c>
      <c r="F777" s="84">
        <f t="shared" ref="F777:F784" si="84">DATE(YEAR(E777)+10,MONTH(E777),DAY(E777))</f>
        <v>43344</v>
      </c>
      <c r="G777" s="229">
        <v>200</v>
      </c>
      <c r="H777" s="71" t="s">
        <v>2963</v>
      </c>
      <c r="I777" s="71" t="s">
        <v>691</v>
      </c>
      <c r="J777" s="79"/>
      <c r="K777" s="55">
        <f t="shared" ref="K777:K784" si="85">YEAR(F777)</f>
        <v>2018</v>
      </c>
      <c r="L777" s="80"/>
      <c r="M777" s="80"/>
      <c r="N777" s="73" t="s">
        <v>1132</v>
      </c>
      <c r="O777" s="73" t="s">
        <v>2964</v>
      </c>
      <c r="P777" s="74" t="s">
        <v>2965</v>
      </c>
      <c r="Q777" s="75"/>
      <c r="R777" s="230">
        <v>840</v>
      </c>
      <c r="S777" s="230">
        <v>21600</v>
      </c>
      <c r="T777" s="230">
        <v>22440</v>
      </c>
      <c r="U777" s="231">
        <v>300</v>
      </c>
      <c r="V777" s="230"/>
      <c r="W777" s="230"/>
      <c r="X777" s="231"/>
      <c r="Y777" s="85">
        <v>0</v>
      </c>
      <c r="Z777" s="85"/>
      <c r="AA777" s="76"/>
      <c r="AB777" s="77"/>
      <c r="AC777" s="78"/>
    </row>
    <row r="778" spans="1:29" ht="40" hidden="1" customHeight="1" x14ac:dyDescent="0.2">
      <c r="A778" s="117" t="s">
        <v>2966</v>
      </c>
      <c r="B778" s="118" t="e">
        <f t="shared" si="83"/>
        <v>#VALUE!</v>
      </c>
      <c r="C778" s="118" t="s">
        <v>612</v>
      </c>
      <c r="D778" s="113">
        <v>39618</v>
      </c>
      <c r="E778" s="84">
        <v>39692</v>
      </c>
      <c r="F778" s="84">
        <f t="shared" si="84"/>
        <v>43344</v>
      </c>
      <c r="G778" s="229">
        <v>50</v>
      </c>
      <c r="H778" s="71" t="s">
        <v>2963</v>
      </c>
      <c r="I778" s="71" t="s">
        <v>691</v>
      </c>
      <c r="J778" s="79"/>
      <c r="K778" s="55">
        <f t="shared" si="85"/>
        <v>2018</v>
      </c>
      <c r="L778" s="80"/>
      <c r="M778" s="80"/>
      <c r="N778" s="73" t="s">
        <v>1132</v>
      </c>
      <c r="O778" s="73" t="s">
        <v>2967</v>
      </c>
      <c r="P778" s="74" t="s">
        <v>2968</v>
      </c>
      <c r="Q778" s="75"/>
      <c r="R778" s="230">
        <v>315</v>
      </c>
      <c r="S778" s="230">
        <v>1400</v>
      </c>
      <c r="T778" s="230">
        <v>1715</v>
      </c>
      <c r="U778" s="231">
        <v>75</v>
      </c>
      <c r="V778" s="230"/>
      <c r="W778" s="230"/>
      <c r="X778" s="231"/>
      <c r="Y778" s="85">
        <v>0</v>
      </c>
      <c r="Z778" s="85"/>
      <c r="AA778" s="76"/>
      <c r="AB778" s="77"/>
      <c r="AC778" s="78"/>
    </row>
    <row r="779" spans="1:29" ht="40" hidden="1" customHeight="1" x14ac:dyDescent="0.2">
      <c r="A779" s="117" t="s">
        <v>2969</v>
      </c>
      <c r="B779" s="118" t="e">
        <f t="shared" si="83"/>
        <v>#VALUE!</v>
      </c>
      <c r="C779" s="118" t="s">
        <v>612</v>
      </c>
      <c r="D779" s="113">
        <v>39618</v>
      </c>
      <c r="E779" s="84">
        <v>39692</v>
      </c>
      <c r="F779" s="84">
        <f t="shared" si="84"/>
        <v>43344</v>
      </c>
      <c r="G779" s="229">
        <v>80</v>
      </c>
      <c r="H779" s="71" t="s">
        <v>2963</v>
      </c>
      <c r="I779" s="71" t="s">
        <v>691</v>
      </c>
      <c r="J779" s="79"/>
      <c r="K779" s="55">
        <f t="shared" si="85"/>
        <v>2018</v>
      </c>
      <c r="L779" s="80"/>
      <c r="M779" s="80"/>
      <c r="N779" s="73" t="s">
        <v>1132</v>
      </c>
      <c r="O779" s="73" t="s">
        <v>2970</v>
      </c>
      <c r="P779" s="74" t="s">
        <v>2971</v>
      </c>
      <c r="Q779" s="75"/>
      <c r="R779" s="230">
        <v>420</v>
      </c>
      <c r="S779" s="230">
        <v>2240</v>
      </c>
      <c r="T779" s="230">
        <v>2660</v>
      </c>
      <c r="U779" s="231">
        <v>120</v>
      </c>
      <c r="V779" s="230"/>
      <c r="W779" s="230"/>
      <c r="X779" s="231"/>
      <c r="Y779" s="85">
        <v>0</v>
      </c>
      <c r="Z779" s="85"/>
      <c r="AA779" s="76"/>
      <c r="AB779" s="77"/>
      <c r="AC779" s="78"/>
    </row>
    <row r="780" spans="1:29" hidden="1" x14ac:dyDescent="0.2">
      <c r="A780" s="117" t="s">
        <v>2972</v>
      </c>
      <c r="B780" s="118" t="e">
        <f t="shared" si="83"/>
        <v>#VALUE!</v>
      </c>
      <c r="C780" s="118" t="s">
        <v>612</v>
      </c>
      <c r="D780" s="113">
        <v>39618</v>
      </c>
      <c r="E780" s="84">
        <v>39692</v>
      </c>
      <c r="F780" s="84">
        <f t="shared" si="84"/>
        <v>43344</v>
      </c>
      <c r="G780" s="229">
        <v>24.96</v>
      </c>
      <c r="H780" s="71" t="s">
        <v>2963</v>
      </c>
      <c r="I780" s="71" t="s">
        <v>691</v>
      </c>
      <c r="J780" s="79"/>
      <c r="K780" s="55">
        <f t="shared" si="85"/>
        <v>2018</v>
      </c>
      <c r="L780" s="80"/>
      <c r="M780" s="80"/>
      <c r="N780" s="73" t="s">
        <v>2973</v>
      </c>
      <c r="O780" s="73" t="s">
        <v>2974</v>
      </c>
      <c r="P780" s="74" t="s">
        <v>2975</v>
      </c>
      <c r="Q780" s="75"/>
      <c r="R780" s="230">
        <v>227.5</v>
      </c>
      <c r="S780" s="230">
        <v>450</v>
      </c>
      <c r="T780" s="230">
        <v>677.5</v>
      </c>
      <c r="U780" s="231">
        <v>37.5</v>
      </c>
      <c r="V780" s="230"/>
      <c r="W780" s="230"/>
      <c r="X780" s="231"/>
      <c r="Y780" s="85">
        <v>0</v>
      </c>
      <c r="Z780" s="85"/>
      <c r="AA780" s="76"/>
      <c r="AB780" s="77"/>
      <c r="AC780" s="78"/>
    </row>
    <row r="781" spans="1:29" ht="40" hidden="1" customHeight="1" x14ac:dyDescent="0.2">
      <c r="A781" s="117" t="s">
        <v>2976</v>
      </c>
      <c r="B781" s="118" t="e">
        <f t="shared" si="83"/>
        <v>#VALUE!</v>
      </c>
      <c r="C781" s="118" t="s">
        <v>612</v>
      </c>
      <c r="D781" s="113">
        <v>39618</v>
      </c>
      <c r="E781" s="84">
        <v>39692</v>
      </c>
      <c r="F781" s="84">
        <f t="shared" si="84"/>
        <v>43344</v>
      </c>
      <c r="G781" s="229">
        <v>39.979999999999997</v>
      </c>
      <c r="H781" s="71" t="s">
        <v>2963</v>
      </c>
      <c r="I781" s="71" t="s">
        <v>691</v>
      </c>
      <c r="J781" s="79"/>
      <c r="K781" s="55">
        <f t="shared" si="85"/>
        <v>2018</v>
      </c>
      <c r="L781" s="80"/>
      <c r="M781" s="80"/>
      <c r="N781" s="73" t="s">
        <v>1132</v>
      </c>
      <c r="O781" s="73" t="s">
        <v>2977</v>
      </c>
      <c r="P781" s="74" t="s">
        <v>2978</v>
      </c>
      <c r="Q781" s="75"/>
      <c r="R781" s="230">
        <v>280</v>
      </c>
      <c r="S781" s="230"/>
      <c r="T781" s="230">
        <v>280</v>
      </c>
      <c r="U781" s="231">
        <v>60</v>
      </c>
      <c r="V781" s="230"/>
      <c r="W781" s="230"/>
      <c r="X781" s="231"/>
      <c r="Y781" s="85">
        <v>0</v>
      </c>
      <c r="Z781" s="85"/>
      <c r="AA781" s="76"/>
      <c r="AB781" s="77"/>
      <c r="AC781" s="78"/>
    </row>
    <row r="782" spans="1:29" ht="40" hidden="1" customHeight="1" x14ac:dyDescent="0.2">
      <c r="A782" s="117" t="s">
        <v>2979</v>
      </c>
      <c r="B782" s="118" t="e">
        <f t="shared" si="83"/>
        <v>#VALUE!</v>
      </c>
      <c r="C782" s="118" t="s">
        <v>612</v>
      </c>
      <c r="D782" s="113">
        <v>39618</v>
      </c>
      <c r="E782" s="84">
        <v>39692</v>
      </c>
      <c r="F782" s="84">
        <f t="shared" si="84"/>
        <v>43344</v>
      </c>
      <c r="G782" s="229">
        <v>40</v>
      </c>
      <c r="H782" s="71" t="s">
        <v>2980</v>
      </c>
      <c r="I782" s="71" t="s">
        <v>691</v>
      </c>
      <c r="J782" s="72" t="s">
        <v>1414</v>
      </c>
      <c r="K782" s="55">
        <f t="shared" si="85"/>
        <v>2018</v>
      </c>
      <c r="L782" s="81"/>
      <c r="M782" s="81"/>
      <c r="N782" s="73" t="s">
        <v>1132</v>
      </c>
      <c r="O782" s="73" t="s">
        <v>2981</v>
      </c>
      <c r="P782" s="74" t="s">
        <v>2982</v>
      </c>
      <c r="Q782" s="75"/>
      <c r="R782" s="230">
        <v>280</v>
      </c>
      <c r="S782" s="230"/>
      <c r="T782" s="230">
        <v>280</v>
      </c>
      <c r="U782" s="231">
        <v>60</v>
      </c>
      <c r="V782" s="230"/>
      <c r="W782" s="230"/>
      <c r="X782" s="231"/>
      <c r="Y782" s="85">
        <v>0</v>
      </c>
      <c r="Z782" s="85"/>
      <c r="AA782" s="76"/>
      <c r="AB782" s="77"/>
      <c r="AC782" s="78"/>
    </row>
    <row r="783" spans="1:29" ht="40" hidden="1" customHeight="1" x14ac:dyDescent="0.2">
      <c r="A783" s="117" t="s">
        <v>2983</v>
      </c>
      <c r="B783" s="118" t="e">
        <f t="shared" si="83"/>
        <v>#VALUE!</v>
      </c>
      <c r="C783" s="118" t="s">
        <v>612</v>
      </c>
      <c r="D783" s="113">
        <v>39618</v>
      </c>
      <c r="E783" s="84">
        <v>39692</v>
      </c>
      <c r="F783" s="84">
        <f t="shared" si="84"/>
        <v>43344</v>
      </c>
      <c r="G783" s="229">
        <v>80</v>
      </c>
      <c r="H783" s="71" t="s">
        <v>2980</v>
      </c>
      <c r="I783" s="71" t="s">
        <v>691</v>
      </c>
      <c r="J783" s="72" t="s">
        <v>2984</v>
      </c>
      <c r="K783" s="55">
        <f t="shared" si="85"/>
        <v>2018</v>
      </c>
      <c r="L783" s="81"/>
      <c r="M783" s="81"/>
      <c r="N783" s="73" t="s">
        <v>1132</v>
      </c>
      <c r="O783" s="73" t="s">
        <v>2985</v>
      </c>
      <c r="P783" s="74" t="s">
        <v>2986</v>
      </c>
      <c r="Q783" s="75"/>
      <c r="R783" s="230">
        <v>420</v>
      </c>
      <c r="S783" s="230">
        <v>8640</v>
      </c>
      <c r="T783" s="230">
        <v>9060</v>
      </c>
      <c r="U783" s="231">
        <v>120</v>
      </c>
      <c r="V783" s="230"/>
      <c r="W783" s="230"/>
      <c r="X783" s="231"/>
      <c r="Y783" s="85">
        <v>0</v>
      </c>
      <c r="Z783" s="85"/>
      <c r="AA783" s="76"/>
      <c r="AB783" s="77"/>
      <c r="AC783" s="78"/>
    </row>
    <row r="784" spans="1:29" ht="40" hidden="1" customHeight="1" x14ac:dyDescent="0.2">
      <c r="A784" s="117" t="s">
        <v>2987</v>
      </c>
      <c r="B784" s="118" t="e">
        <f t="shared" si="83"/>
        <v>#VALUE!</v>
      </c>
      <c r="C784" s="118" t="s">
        <v>612</v>
      </c>
      <c r="D784" s="113">
        <v>39618</v>
      </c>
      <c r="E784" s="84">
        <v>39692</v>
      </c>
      <c r="F784" s="84">
        <f t="shared" si="84"/>
        <v>43344</v>
      </c>
      <c r="G784" s="229">
        <v>40.24</v>
      </c>
      <c r="H784" s="71" t="s">
        <v>2980</v>
      </c>
      <c r="I784" s="71" t="s">
        <v>691</v>
      </c>
      <c r="J784" s="72" t="s">
        <v>1414</v>
      </c>
      <c r="K784" s="55">
        <f t="shared" si="85"/>
        <v>2018</v>
      </c>
      <c r="L784" s="81"/>
      <c r="M784" s="81"/>
      <c r="N784" s="73" t="s">
        <v>2988</v>
      </c>
      <c r="O784" s="73" t="s">
        <v>2985</v>
      </c>
      <c r="P784" s="74" t="s">
        <v>2989</v>
      </c>
      <c r="Q784" s="75"/>
      <c r="R784" s="230">
        <v>283.5</v>
      </c>
      <c r="S784" s="230">
        <v>11398</v>
      </c>
      <c r="T784" s="230">
        <v>11681.5</v>
      </c>
      <c r="U784" s="231">
        <v>61.5</v>
      </c>
      <c r="V784" s="230"/>
      <c r="W784" s="230"/>
      <c r="X784" s="231"/>
      <c r="Y784" s="85">
        <v>0</v>
      </c>
      <c r="Z784" s="85"/>
      <c r="AA784" s="76"/>
      <c r="AB784" s="77"/>
      <c r="AC784" s="78"/>
    </row>
    <row r="785" spans="1:29" ht="15" hidden="1" customHeight="1" thickBot="1" x14ac:dyDescent="0.25">
      <c r="C785" s="118" t="s">
        <v>612</v>
      </c>
      <c r="D785" s="113"/>
      <c r="E785" s="84"/>
      <c r="F785" s="84"/>
      <c r="G785" s="229"/>
      <c r="H785" s="71"/>
      <c r="I785" s="71"/>
      <c r="J785" s="79"/>
      <c r="K785" s="79"/>
      <c r="L785" s="80"/>
      <c r="M785" s="80"/>
      <c r="N785" s="73"/>
      <c r="O785" s="73"/>
      <c r="P785" s="74"/>
      <c r="Q785" s="91" t="s">
        <v>2990</v>
      </c>
      <c r="R785" s="241">
        <v>130354</v>
      </c>
      <c r="S785" s="241">
        <v>139728</v>
      </c>
      <c r="T785" s="241">
        <v>270082</v>
      </c>
      <c r="U785" s="231"/>
      <c r="V785" s="230"/>
      <c r="W785" s="230"/>
      <c r="X785" s="231"/>
      <c r="Y785" s="85"/>
      <c r="Z785" s="85"/>
      <c r="AA785" s="76"/>
      <c r="AB785" s="77"/>
      <c r="AC785" s="78"/>
    </row>
    <row r="786" spans="1:29" hidden="1" x14ac:dyDescent="0.2">
      <c r="A786" s="117"/>
      <c r="D786" s="113"/>
      <c r="E786" s="84"/>
      <c r="F786" s="84"/>
      <c r="G786" s="229"/>
      <c r="H786" s="71"/>
      <c r="I786" s="71"/>
      <c r="J786" s="79"/>
      <c r="K786" s="79"/>
      <c r="L786" s="80"/>
      <c r="M786" s="80"/>
      <c r="N786" s="73"/>
      <c r="O786" s="73"/>
      <c r="P786" s="74"/>
      <c r="Q786" s="75" t="s">
        <v>2991</v>
      </c>
      <c r="R786" s="230">
        <v>-99000</v>
      </c>
      <c r="S786" s="230"/>
      <c r="T786" s="230">
        <v>-99000</v>
      </c>
      <c r="U786" s="231"/>
      <c r="V786" s="230"/>
      <c r="W786" s="230"/>
      <c r="X786" s="231"/>
      <c r="Y786" s="85"/>
      <c r="Z786" s="85"/>
      <c r="AA786" s="76"/>
      <c r="AB786" s="77"/>
      <c r="AC786" s="78"/>
    </row>
    <row r="787" spans="1:29" hidden="1" x14ac:dyDescent="0.2">
      <c r="A787" s="117"/>
      <c r="D787" s="113"/>
      <c r="E787" s="84"/>
      <c r="F787" s="84"/>
      <c r="G787" s="229"/>
      <c r="H787" s="71"/>
      <c r="I787" s="71"/>
      <c r="J787" s="79"/>
      <c r="K787" s="79"/>
      <c r="L787" s="80"/>
      <c r="M787" s="80"/>
      <c r="N787" s="73"/>
      <c r="O787" s="73"/>
      <c r="P787" s="74"/>
      <c r="Q787" s="75" t="s">
        <v>2992</v>
      </c>
      <c r="R787" s="230">
        <v>-171082</v>
      </c>
      <c r="S787" s="230"/>
      <c r="T787" s="230">
        <v>-171082</v>
      </c>
      <c r="U787" s="231"/>
      <c r="V787" s="230"/>
      <c r="W787" s="230"/>
      <c r="X787" s="231"/>
      <c r="Y787" s="85"/>
      <c r="Z787" s="85"/>
      <c r="AA787" s="76"/>
      <c r="AB787" s="77"/>
      <c r="AC787" s="78"/>
    </row>
    <row r="788" spans="1:29" hidden="1" x14ac:dyDescent="0.2">
      <c r="A788" s="117"/>
      <c r="D788" s="113"/>
      <c r="E788" s="84"/>
      <c r="F788" s="84"/>
      <c r="G788" s="229"/>
      <c r="H788" s="71"/>
      <c r="I788" s="71"/>
      <c r="J788" s="79"/>
      <c r="K788" s="79"/>
      <c r="L788" s="80"/>
      <c r="M788" s="80"/>
      <c r="N788" s="73"/>
      <c r="O788" s="73"/>
      <c r="P788" s="74"/>
      <c r="Q788" s="75"/>
      <c r="R788" s="230"/>
      <c r="S788" s="230"/>
      <c r="T788" s="230"/>
      <c r="U788" s="231"/>
      <c r="V788" s="230"/>
      <c r="W788" s="230"/>
      <c r="X788" s="231"/>
      <c r="Y788" s="85"/>
      <c r="Z788" s="85"/>
      <c r="AA788" s="76"/>
      <c r="AB788" s="77"/>
      <c r="AC788" s="78"/>
    </row>
    <row r="789" spans="1:29" ht="15" hidden="1" customHeight="1" thickBot="1" x14ac:dyDescent="0.25">
      <c r="A789" s="117" t="s">
        <v>839</v>
      </c>
      <c r="B789" s="118" t="e">
        <f>IF(COUNTIF(GIS,A789),"YES","NO")</f>
        <v>#VALUE!</v>
      </c>
      <c r="C789" s="118" t="s">
        <v>612</v>
      </c>
      <c r="F789" s="84"/>
      <c r="G789" s="229"/>
      <c r="H789" s="71"/>
      <c r="I789" s="71"/>
      <c r="J789" s="72" t="s">
        <v>2993</v>
      </c>
      <c r="K789" s="55"/>
      <c r="L789" s="81"/>
      <c r="M789" s="81"/>
      <c r="N789" s="92"/>
      <c r="O789" s="73"/>
      <c r="P789" s="74"/>
      <c r="R789" s="230"/>
      <c r="S789" s="230"/>
      <c r="T789" s="255">
        <v>-11941</v>
      </c>
      <c r="U789" s="231"/>
      <c r="V789" s="230"/>
      <c r="W789" s="230"/>
      <c r="X789" s="231"/>
      <c r="Y789" s="85"/>
      <c r="Z789" s="85"/>
      <c r="AA789" s="76"/>
      <c r="AB789" s="77"/>
      <c r="AC789" s="78"/>
    </row>
    <row r="790" spans="1:29" ht="16" hidden="1" customHeight="1" thickTop="1" thickBot="1" x14ac:dyDescent="0.25">
      <c r="A790" s="117" t="s">
        <v>1506</v>
      </c>
      <c r="B790" s="118" t="e">
        <f>IF(COUNTIF(GIS,A790),"YES","NO")</f>
        <v>#VALUE!</v>
      </c>
      <c r="C790" s="118" t="s">
        <v>612</v>
      </c>
      <c r="F790" s="84"/>
      <c r="G790" s="229"/>
      <c r="H790" s="71"/>
      <c r="I790" s="71"/>
      <c r="J790" s="72" t="s">
        <v>2993</v>
      </c>
      <c r="K790" s="55"/>
      <c r="L790" s="81"/>
      <c r="M790" s="81"/>
      <c r="N790" s="92"/>
      <c r="O790" s="73"/>
      <c r="P790" s="74"/>
      <c r="R790" s="230"/>
      <c r="S790" s="230"/>
      <c r="T790" s="256">
        <v>-10399</v>
      </c>
      <c r="U790" s="231"/>
      <c r="V790" s="230"/>
      <c r="W790" s="230"/>
      <c r="X790" s="231"/>
      <c r="Y790" s="85"/>
      <c r="Z790" s="85"/>
      <c r="AA790" s="76"/>
      <c r="AB790" s="77"/>
      <c r="AC790" s="78"/>
    </row>
    <row r="791" spans="1:29" hidden="1" x14ac:dyDescent="0.2">
      <c r="A791" s="117"/>
      <c r="D791" s="113"/>
      <c r="E791" s="84"/>
      <c r="F791" s="84"/>
      <c r="G791" s="229"/>
      <c r="H791" s="71"/>
      <c r="I791" s="71"/>
      <c r="J791" s="79"/>
      <c r="K791" s="79"/>
      <c r="L791" s="80"/>
      <c r="M791" s="80"/>
      <c r="N791" s="73"/>
      <c r="O791" s="73"/>
      <c r="P791" s="74"/>
      <c r="Q791" s="75"/>
      <c r="R791" s="230"/>
      <c r="S791" s="230"/>
      <c r="T791" s="230"/>
      <c r="U791" s="231"/>
      <c r="V791" s="230"/>
      <c r="W791" s="230"/>
      <c r="X791" s="231"/>
      <c r="Y791" s="85"/>
      <c r="Z791" s="85"/>
      <c r="AA791" s="76"/>
      <c r="AB791" s="77"/>
      <c r="AC791" s="78"/>
    </row>
    <row r="792" spans="1:29" hidden="1" x14ac:dyDescent="0.2">
      <c r="A792" s="117"/>
      <c r="D792" s="113"/>
      <c r="E792" s="84"/>
      <c r="F792" s="84"/>
      <c r="G792" s="229"/>
      <c r="H792" s="71"/>
      <c r="I792" s="71"/>
      <c r="J792" s="79"/>
      <c r="K792" s="79"/>
      <c r="L792" s="80"/>
      <c r="M792" s="80"/>
      <c r="N792" s="73"/>
      <c r="O792" s="73"/>
      <c r="P792" s="74"/>
      <c r="Q792" s="75"/>
      <c r="R792" s="230"/>
      <c r="S792" s="230"/>
      <c r="T792" s="230"/>
      <c r="U792" s="231"/>
      <c r="V792" s="230"/>
      <c r="W792" s="230"/>
      <c r="X792" s="231"/>
      <c r="Y792" s="82"/>
      <c r="Z792" s="85"/>
      <c r="AA792" s="76"/>
      <c r="AB792" s="77"/>
      <c r="AC792" s="78"/>
    </row>
    <row r="793" spans="1:29" hidden="1" x14ac:dyDescent="0.2">
      <c r="A793" s="117"/>
      <c r="D793" s="113"/>
      <c r="E793" s="84"/>
      <c r="F793" s="84"/>
      <c r="G793" s="229"/>
      <c r="H793" s="71"/>
      <c r="I793" s="71"/>
      <c r="J793" s="79"/>
      <c r="K793" s="79"/>
      <c r="L793" s="80"/>
      <c r="M793" s="80"/>
      <c r="N793" s="73"/>
      <c r="O793" s="73"/>
      <c r="P793" s="74"/>
      <c r="Q793" s="75"/>
      <c r="R793" s="230"/>
      <c r="S793" s="230"/>
      <c r="T793" s="230"/>
      <c r="U793" s="231"/>
      <c r="V793" s="230"/>
      <c r="W793" s="230"/>
      <c r="X793" s="231"/>
      <c r="Y793" s="85"/>
      <c r="Z793" s="85"/>
      <c r="AA793" s="76"/>
      <c r="AB793" s="77"/>
      <c r="AC793" s="78"/>
    </row>
    <row r="794" spans="1:29" hidden="1" x14ac:dyDescent="0.2">
      <c r="A794" s="117"/>
      <c r="D794" s="113"/>
      <c r="E794" s="84"/>
      <c r="F794" s="84"/>
      <c r="G794" s="229"/>
      <c r="H794" s="71"/>
      <c r="I794" s="71"/>
      <c r="J794" s="79"/>
      <c r="K794" s="79"/>
      <c r="L794" s="80"/>
      <c r="M794" s="80"/>
      <c r="N794" s="73"/>
      <c r="O794" s="73"/>
      <c r="P794" s="74"/>
      <c r="Q794" s="75"/>
      <c r="R794" s="230"/>
      <c r="S794" s="230"/>
      <c r="T794" s="230"/>
      <c r="U794" s="231"/>
      <c r="V794" s="230"/>
      <c r="W794" s="230"/>
      <c r="X794" s="231"/>
      <c r="Y794" s="85"/>
      <c r="Z794" s="85"/>
      <c r="AA794" s="76"/>
      <c r="AB794" s="77"/>
      <c r="AC794" s="78"/>
    </row>
    <row r="795" spans="1:29" ht="27" hidden="1" customHeight="1" x14ac:dyDescent="0.2">
      <c r="A795" s="117" t="s">
        <v>2994</v>
      </c>
      <c r="B795" s="118" t="e">
        <f t="shared" ref="B795:B809" si="86">IF(COUNTIF(GIS,A797),"YES","NO")</f>
        <v>#VALUE!</v>
      </c>
      <c r="C795" s="118" t="s">
        <v>612</v>
      </c>
      <c r="D795" s="113">
        <v>39645</v>
      </c>
      <c r="E795" s="84">
        <v>39753</v>
      </c>
      <c r="F795" s="84">
        <f t="shared" ref="F795:F813" si="87">DATE(YEAR(E795)+10,MONTH(E795),DAY(E795))</f>
        <v>43405</v>
      </c>
      <c r="G795" s="229">
        <v>40</v>
      </c>
      <c r="H795" s="71" t="s">
        <v>1146</v>
      </c>
      <c r="I795" s="71" t="s">
        <v>1147</v>
      </c>
      <c r="J795" s="72" t="s">
        <v>2995</v>
      </c>
      <c r="K795" s="55">
        <f t="shared" ref="K795:K813" si="88">YEAR(F795)</f>
        <v>2018</v>
      </c>
      <c r="L795" s="81"/>
      <c r="M795" s="81"/>
      <c r="N795" s="73" t="s">
        <v>1132</v>
      </c>
      <c r="O795" s="73" t="s">
        <v>2996</v>
      </c>
      <c r="P795" s="74" t="s">
        <v>2997</v>
      </c>
      <c r="Q795" s="75" t="s">
        <v>2998</v>
      </c>
      <c r="R795" s="230">
        <v>280</v>
      </c>
      <c r="S795" s="230">
        <v>151920</v>
      </c>
      <c r="T795" s="230">
        <v>152200</v>
      </c>
      <c r="U795" s="231">
        <v>80</v>
      </c>
      <c r="V795" s="230"/>
      <c r="W795" s="230"/>
      <c r="X795" s="231"/>
      <c r="Y795" s="85">
        <v>0.5</v>
      </c>
      <c r="Z795" s="85"/>
      <c r="AA795" s="76"/>
      <c r="AC795" s="78" t="s">
        <v>2999</v>
      </c>
    </row>
    <row r="796" spans="1:29" hidden="1" x14ac:dyDescent="0.2">
      <c r="A796" s="117" t="s">
        <v>3000</v>
      </c>
      <c r="B796" s="118" t="e">
        <f t="shared" si="86"/>
        <v>#VALUE!</v>
      </c>
      <c r="C796" s="118" t="s">
        <v>612</v>
      </c>
      <c r="D796" s="113">
        <v>39645</v>
      </c>
      <c r="E796" s="84">
        <v>39753</v>
      </c>
      <c r="F796" s="84">
        <f t="shared" si="87"/>
        <v>43405</v>
      </c>
      <c r="G796" s="229">
        <v>80</v>
      </c>
      <c r="H796" s="71" t="s">
        <v>1146</v>
      </c>
      <c r="I796" s="71" t="s">
        <v>1147</v>
      </c>
      <c r="J796" s="248"/>
      <c r="K796" s="55">
        <f t="shared" si="88"/>
        <v>2018</v>
      </c>
      <c r="L796" s="249"/>
      <c r="M796" s="249"/>
      <c r="N796" s="73" t="s">
        <v>1132</v>
      </c>
      <c r="O796" s="93" t="s">
        <v>3001</v>
      </c>
      <c r="P796" s="94" t="s">
        <v>3002</v>
      </c>
      <c r="Q796" s="75" t="s">
        <v>3003</v>
      </c>
      <c r="R796" s="230">
        <v>420</v>
      </c>
      <c r="S796" s="230">
        <v>399840</v>
      </c>
      <c r="T796" s="230">
        <v>400260</v>
      </c>
      <c r="U796" s="231">
        <v>160</v>
      </c>
      <c r="V796" s="230"/>
      <c r="W796" s="230"/>
      <c r="X796" s="231"/>
      <c r="Y796" s="85">
        <v>0.5</v>
      </c>
      <c r="Z796" s="85"/>
      <c r="AA796" s="76"/>
      <c r="AC796" s="78" t="s">
        <v>3004</v>
      </c>
    </row>
    <row r="797" spans="1:29" ht="27" hidden="1" customHeight="1" x14ac:dyDescent="0.2">
      <c r="A797" s="117" t="s">
        <v>3005</v>
      </c>
      <c r="B797" s="118" t="e">
        <f t="shared" si="86"/>
        <v>#VALUE!</v>
      </c>
      <c r="C797" s="118" t="s">
        <v>612</v>
      </c>
      <c r="D797" s="113">
        <v>39645</v>
      </c>
      <c r="E797" s="84">
        <v>39753</v>
      </c>
      <c r="F797" s="84">
        <f t="shared" si="87"/>
        <v>43405</v>
      </c>
      <c r="G797" s="229">
        <v>320</v>
      </c>
      <c r="H797" s="71" t="s">
        <v>1540</v>
      </c>
      <c r="I797" s="71" t="s">
        <v>1147</v>
      </c>
      <c r="J797" s="238" t="s">
        <v>3006</v>
      </c>
      <c r="K797" s="55">
        <f t="shared" si="88"/>
        <v>2018</v>
      </c>
      <c r="L797" s="239"/>
      <c r="M797" s="239"/>
      <c r="N797" s="73" t="s">
        <v>1132</v>
      </c>
      <c r="O797" s="73" t="s">
        <v>3007</v>
      </c>
      <c r="P797" s="74" t="s">
        <v>3008</v>
      </c>
      <c r="Q797" s="75" t="s">
        <v>3009</v>
      </c>
      <c r="R797" s="230">
        <v>1260</v>
      </c>
      <c r="S797" s="230">
        <v>111360</v>
      </c>
      <c r="T797" s="230">
        <v>112620</v>
      </c>
      <c r="U797" s="231">
        <v>640</v>
      </c>
      <c r="V797" s="230"/>
      <c r="W797" s="230"/>
      <c r="X797" s="231"/>
      <c r="Y797" s="85">
        <v>0.5</v>
      </c>
      <c r="Z797" s="85"/>
      <c r="AA797" s="76"/>
      <c r="AB797" s="77" t="s">
        <v>1069</v>
      </c>
      <c r="AC797" s="78" t="s">
        <v>3010</v>
      </c>
    </row>
    <row r="798" spans="1:29" ht="40" hidden="1" customHeight="1" x14ac:dyDescent="0.2">
      <c r="A798" s="117" t="s">
        <v>3011</v>
      </c>
      <c r="B798" s="118" t="e">
        <f t="shared" si="86"/>
        <v>#VALUE!</v>
      </c>
      <c r="C798" s="118" t="s">
        <v>612</v>
      </c>
      <c r="D798" s="113">
        <v>39645</v>
      </c>
      <c r="E798" s="84">
        <v>39753</v>
      </c>
      <c r="F798" s="84">
        <f t="shared" si="87"/>
        <v>43405</v>
      </c>
      <c r="G798" s="229">
        <v>1680</v>
      </c>
      <c r="H798" s="71" t="s">
        <v>2692</v>
      </c>
      <c r="I798" s="71" t="s">
        <v>1147</v>
      </c>
      <c r="J798" s="248"/>
      <c r="K798" s="55">
        <f t="shared" si="88"/>
        <v>2018</v>
      </c>
      <c r="L798" s="249"/>
      <c r="M798" s="249"/>
      <c r="N798" s="73" t="s">
        <v>1132</v>
      </c>
      <c r="O798" s="73" t="s">
        <v>3012</v>
      </c>
      <c r="P798" s="74" t="s">
        <v>3013</v>
      </c>
      <c r="Q798" s="75" t="s">
        <v>3014</v>
      </c>
      <c r="R798" s="230">
        <v>6020</v>
      </c>
      <c r="S798" s="230">
        <v>63840</v>
      </c>
      <c r="T798" s="230">
        <v>69860</v>
      </c>
      <c r="U798" s="231">
        <v>3360</v>
      </c>
      <c r="V798" s="230"/>
      <c r="W798" s="230"/>
      <c r="X798" s="231"/>
      <c r="Y798" s="85">
        <v>0.5</v>
      </c>
      <c r="Z798" s="85"/>
      <c r="AA798" s="76"/>
      <c r="AB798" s="77"/>
      <c r="AC798" s="78"/>
    </row>
    <row r="799" spans="1:29" ht="27" hidden="1" customHeight="1" x14ac:dyDescent="0.2">
      <c r="A799" s="117" t="s">
        <v>3015</v>
      </c>
      <c r="B799" s="118" t="e">
        <f t="shared" si="86"/>
        <v>#VALUE!</v>
      </c>
      <c r="C799" s="118" t="s">
        <v>612</v>
      </c>
      <c r="D799" s="113">
        <v>39645</v>
      </c>
      <c r="E799" s="84">
        <v>39753</v>
      </c>
      <c r="F799" s="84">
        <f t="shared" si="87"/>
        <v>43405</v>
      </c>
      <c r="G799" s="229">
        <v>160</v>
      </c>
      <c r="H799" s="71" t="s">
        <v>1540</v>
      </c>
      <c r="I799" s="71" t="s">
        <v>1147</v>
      </c>
      <c r="J799" s="238" t="s">
        <v>1541</v>
      </c>
      <c r="K799" s="55">
        <f t="shared" si="88"/>
        <v>2018</v>
      </c>
      <c r="L799" s="239"/>
      <c r="M799" s="239"/>
      <c r="N799" s="73" t="s">
        <v>1132</v>
      </c>
      <c r="O799" s="73" t="s">
        <v>3016</v>
      </c>
      <c r="P799" s="74" t="s">
        <v>3017</v>
      </c>
      <c r="Q799" s="75" t="s">
        <v>3018</v>
      </c>
      <c r="R799" s="230">
        <v>700</v>
      </c>
      <c r="S799" s="230">
        <v>15680</v>
      </c>
      <c r="T799" s="230">
        <v>16380</v>
      </c>
      <c r="U799" s="231">
        <v>320</v>
      </c>
      <c r="V799" s="230"/>
      <c r="W799" s="230"/>
      <c r="X799" s="231"/>
      <c r="Y799" s="85">
        <v>0.5</v>
      </c>
      <c r="Z799" s="85"/>
      <c r="AA799" s="76"/>
      <c r="AB799" s="77" t="s">
        <v>1545</v>
      </c>
      <c r="AC799" s="78" t="s">
        <v>3019</v>
      </c>
    </row>
    <row r="800" spans="1:29" hidden="1" x14ac:dyDescent="0.2">
      <c r="A800" s="117" t="s">
        <v>3020</v>
      </c>
      <c r="B800" s="118" t="e">
        <f t="shared" si="86"/>
        <v>#VALUE!</v>
      </c>
      <c r="C800" s="118" t="s">
        <v>612</v>
      </c>
      <c r="D800" s="113">
        <v>39645</v>
      </c>
      <c r="E800" s="84">
        <v>39753</v>
      </c>
      <c r="F800" s="84">
        <f t="shared" si="87"/>
        <v>43405</v>
      </c>
      <c r="G800" s="229">
        <v>945.11</v>
      </c>
      <c r="H800" s="71" t="s">
        <v>1200</v>
      </c>
      <c r="I800" s="71" t="s">
        <v>1147</v>
      </c>
      <c r="J800" s="248"/>
      <c r="K800" s="55">
        <f t="shared" si="88"/>
        <v>2018</v>
      </c>
      <c r="L800" s="249"/>
      <c r="M800" s="249"/>
      <c r="N800" s="73" t="s">
        <v>3021</v>
      </c>
      <c r="O800" s="73" t="s">
        <v>3022</v>
      </c>
      <c r="P800" s="74" t="s">
        <v>3023</v>
      </c>
      <c r="Q800" s="75" t="s">
        <v>3024</v>
      </c>
      <c r="R800" s="230">
        <v>3451</v>
      </c>
      <c r="S800" s="230">
        <v>26488</v>
      </c>
      <c r="T800" s="230">
        <v>29939</v>
      </c>
      <c r="U800" s="231">
        <v>1892</v>
      </c>
      <c r="V800" s="230"/>
      <c r="W800" s="230"/>
      <c r="X800" s="231"/>
      <c r="Y800" s="85">
        <v>0.5</v>
      </c>
      <c r="Z800" s="85"/>
      <c r="AA800" s="76"/>
      <c r="AB800" s="77"/>
      <c r="AC800" s="78"/>
    </row>
    <row r="801" spans="1:29" ht="27" hidden="1" customHeight="1" x14ac:dyDescent="0.2">
      <c r="A801" s="117" t="s">
        <v>3025</v>
      </c>
      <c r="B801" s="118" t="e">
        <f t="shared" si="86"/>
        <v>#VALUE!</v>
      </c>
      <c r="C801" s="118" t="s">
        <v>612</v>
      </c>
      <c r="D801" s="113">
        <v>39645</v>
      </c>
      <c r="E801" s="84">
        <v>39753</v>
      </c>
      <c r="F801" s="84">
        <f t="shared" si="87"/>
        <v>43405</v>
      </c>
      <c r="G801" s="229">
        <v>1285.5899999999999</v>
      </c>
      <c r="H801" s="71" t="s">
        <v>1157</v>
      </c>
      <c r="I801" s="71" t="s">
        <v>1147</v>
      </c>
      <c r="J801" s="248"/>
      <c r="K801" s="55">
        <f t="shared" si="88"/>
        <v>2018</v>
      </c>
      <c r="L801" s="249"/>
      <c r="M801" s="249"/>
      <c r="N801" s="73" t="s">
        <v>3021</v>
      </c>
      <c r="O801" s="73" t="s">
        <v>3026</v>
      </c>
      <c r="P801" s="74" t="s">
        <v>3027</v>
      </c>
      <c r="Q801" s="75" t="s">
        <v>3028</v>
      </c>
      <c r="R801" s="230">
        <v>4641</v>
      </c>
      <c r="S801" s="230">
        <v>151748</v>
      </c>
      <c r="T801" s="230">
        <v>156389</v>
      </c>
      <c r="U801" s="231">
        <v>2572</v>
      </c>
      <c r="V801" s="230"/>
      <c r="W801" s="230"/>
      <c r="X801" s="231"/>
      <c r="Y801" s="85">
        <v>0.5</v>
      </c>
      <c r="Z801" s="85"/>
      <c r="AA801" s="76"/>
      <c r="AB801" s="77"/>
      <c r="AC801" s="78"/>
    </row>
    <row r="802" spans="1:29" hidden="1" x14ac:dyDescent="0.2">
      <c r="A802" s="117" t="s">
        <v>3029</v>
      </c>
      <c r="B802" s="118" t="e">
        <f t="shared" si="86"/>
        <v>#VALUE!</v>
      </c>
      <c r="C802" s="118" t="s">
        <v>612</v>
      </c>
      <c r="D802" s="113">
        <v>39645</v>
      </c>
      <c r="E802" s="84">
        <v>39753</v>
      </c>
      <c r="F802" s="84">
        <f t="shared" si="87"/>
        <v>43405</v>
      </c>
      <c r="G802" s="229">
        <v>640</v>
      </c>
      <c r="H802" s="71" t="s">
        <v>1157</v>
      </c>
      <c r="I802" s="71" t="s">
        <v>1147</v>
      </c>
      <c r="J802" s="248"/>
      <c r="K802" s="55">
        <f t="shared" si="88"/>
        <v>2018</v>
      </c>
      <c r="L802" s="249"/>
      <c r="M802" s="249"/>
      <c r="N802" s="73" t="s">
        <v>3021</v>
      </c>
      <c r="O802" s="73" t="s">
        <v>3026</v>
      </c>
      <c r="P802" s="74" t="s">
        <v>3030</v>
      </c>
      <c r="Q802" s="75" t="s">
        <v>3031</v>
      </c>
      <c r="R802" s="230">
        <v>2380</v>
      </c>
      <c r="S802" s="230">
        <v>75520</v>
      </c>
      <c r="T802" s="230">
        <v>77900</v>
      </c>
      <c r="U802" s="231">
        <v>1280</v>
      </c>
      <c r="V802" s="230"/>
      <c r="W802" s="230"/>
      <c r="X802" s="231"/>
      <c r="Y802" s="85">
        <v>0.5</v>
      </c>
      <c r="Z802" s="85"/>
      <c r="AA802" s="76"/>
      <c r="AB802" s="77"/>
      <c r="AC802" s="78"/>
    </row>
    <row r="803" spans="1:29" ht="27" hidden="1" customHeight="1" x14ac:dyDescent="0.2">
      <c r="A803" s="117" t="s">
        <v>3032</v>
      </c>
      <c r="B803" s="118" t="e">
        <f t="shared" si="86"/>
        <v>#VALUE!</v>
      </c>
      <c r="C803" s="118" t="s">
        <v>612</v>
      </c>
      <c r="D803" s="113">
        <v>39645</v>
      </c>
      <c r="E803" s="84">
        <v>39753</v>
      </c>
      <c r="F803" s="84">
        <f t="shared" si="87"/>
        <v>43405</v>
      </c>
      <c r="G803" s="229">
        <v>1137.97</v>
      </c>
      <c r="H803" s="71" t="s">
        <v>2239</v>
      </c>
      <c r="I803" s="71" t="s">
        <v>812</v>
      </c>
      <c r="J803" s="248"/>
      <c r="K803" s="55">
        <f t="shared" si="88"/>
        <v>2018</v>
      </c>
      <c r="L803" s="249"/>
      <c r="M803" s="249"/>
      <c r="N803" s="73" t="s">
        <v>3033</v>
      </c>
      <c r="O803" s="73" t="s">
        <v>3034</v>
      </c>
      <c r="P803" s="74" t="s">
        <v>3035</v>
      </c>
      <c r="Q803" s="75" t="s">
        <v>3036</v>
      </c>
      <c r="R803" s="230">
        <v>4123</v>
      </c>
      <c r="S803" s="230">
        <v>31864</v>
      </c>
      <c r="T803" s="230">
        <v>35987</v>
      </c>
      <c r="U803" s="231">
        <v>2276</v>
      </c>
      <c r="V803" s="230"/>
      <c r="W803" s="230"/>
      <c r="X803" s="231"/>
      <c r="Y803" s="85">
        <v>0.5</v>
      </c>
      <c r="Z803" s="85"/>
      <c r="AA803" s="76"/>
      <c r="AB803" s="77"/>
      <c r="AC803" s="78"/>
    </row>
    <row r="804" spans="1:29" ht="27" hidden="1" customHeight="1" x14ac:dyDescent="0.2">
      <c r="A804" s="117" t="s">
        <v>3037</v>
      </c>
      <c r="B804" s="118" t="e">
        <f t="shared" si="86"/>
        <v>#VALUE!</v>
      </c>
      <c r="C804" s="118" t="s">
        <v>612</v>
      </c>
      <c r="D804" s="113">
        <v>39645</v>
      </c>
      <c r="E804" s="84">
        <v>39753</v>
      </c>
      <c r="F804" s="84">
        <f t="shared" si="87"/>
        <v>43405</v>
      </c>
      <c r="G804" s="229">
        <v>1046.45</v>
      </c>
      <c r="H804" s="71" t="s">
        <v>2239</v>
      </c>
      <c r="I804" s="71" t="s">
        <v>812</v>
      </c>
      <c r="J804" s="248"/>
      <c r="K804" s="55">
        <f t="shared" si="88"/>
        <v>2018</v>
      </c>
      <c r="L804" s="249"/>
      <c r="M804" s="249"/>
      <c r="N804" s="73" t="s">
        <v>3033</v>
      </c>
      <c r="O804" s="73" t="s">
        <v>3038</v>
      </c>
      <c r="P804" s="74" t="s">
        <v>3039</v>
      </c>
      <c r="Q804" s="75" t="s">
        <v>3040</v>
      </c>
      <c r="R804" s="230">
        <v>3804.5</v>
      </c>
      <c r="S804" s="230">
        <v>29316</v>
      </c>
      <c r="T804" s="230">
        <v>33120.5</v>
      </c>
      <c r="U804" s="231">
        <v>2094</v>
      </c>
      <c r="V804" s="230"/>
      <c r="W804" s="230"/>
      <c r="X804" s="231"/>
      <c r="Y804" s="85">
        <v>0.5</v>
      </c>
      <c r="Z804" s="85"/>
      <c r="AA804" s="76"/>
      <c r="AB804" s="77"/>
      <c r="AC804" s="78"/>
    </row>
    <row r="805" spans="1:29" ht="40" hidden="1" customHeight="1" x14ac:dyDescent="0.2">
      <c r="A805" s="117" t="s">
        <v>3041</v>
      </c>
      <c r="B805" s="118" t="e">
        <f t="shared" si="86"/>
        <v>#VALUE!</v>
      </c>
      <c r="C805" s="118" t="s">
        <v>612</v>
      </c>
      <c r="D805" s="113">
        <v>39645</v>
      </c>
      <c r="E805" s="84">
        <v>39753</v>
      </c>
      <c r="F805" s="84">
        <f t="shared" si="87"/>
        <v>43405</v>
      </c>
      <c r="G805" s="229">
        <v>1765.55</v>
      </c>
      <c r="H805" s="71" t="s">
        <v>2239</v>
      </c>
      <c r="I805" s="71" t="s">
        <v>812</v>
      </c>
      <c r="J805" s="248"/>
      <c r="K805" s="55">
        <f t="shared" si="88"/>
        <v>2018</v>
      </c>
      <c r="L805" s="249"/>
      <c r="M805" s="249"/>
      <c r="N805" s="73" t="s">
        <v>3033</v>
      </c>
      <c r="O805" s="73" t="s">
        <v>3038</v>
      </c>
      <c r="P805" s="74" t="s">
        <v>3042</v>
      </c>
      <c r="Q805" s="75" t="s">
        <v>3043</v>
      </c>
      <c r="R805" s="230">
        <v>6321</v>
      </c>
      <c r="S805" s="230">
        <v>40618</v>
      </c>
      <c r="T805" s="230">
        <v>46939</v>
      </c>
      <c r="U805" s="231">
        <v>3532</v>
      </c>
      <c r="V805" s="230"/>
      <c r="W805" s="230"/>
      <c r="X805" s="231"/>
      <c r="Y805" s="85">
        <v>0.5</v>
      </c>
      <c r="Z805" s="85"/>
      <c r="AA805" s="76"/>
      <c r="AB805" s="77"/>
      <c r="AC805" s="78"/>
    </row>
    <row r="806" spans="1:29" ht="53" hidden="1" customHeight="1" x14ac:dyDescent="0.2">
      <c r="A806" s="117" t="s">
        <v>3044</v>
      </c>
      <c r="B806" s="118" t="e">
        <f t="shared" si="86"/>
        <v>#VALUE!</v>
      </c>
      <c r="C806" s="118" t="s">
        <v>612</v>
      </c>
      <c r="D806" s="113">
        <v>39645</v>
      </c>
      <c r="E806" s="84">
        <v>39753</v>
      </c>
      <c r="F806" s="84">
        <f t="shared" si="87"/>
        <v>43405</v>
      </c>
      <c r="G806" s="229">
        <v>960</v>
      </c>
      <c r="H806" s="71" t="s">
        <v>2239</v>
      </c>
      <c r="I806" s="71" t="s">
        <v>812</v>
      </c>
      <c r="J806" s="248"/>
      <c r="K806" s="55">
        <f t="shared" si="88"/>
        <v>2018</v>
      </c>
      <c r="L806" s="249"/>
      <c r="M806" s="249"/>
      <c r="N806" s="73" t="s">
        <v>3033</v>
      </c>
      <c r="O806" s="73" t="s">
        <v>3038</v>
      </c>
      <c r="P806" s="74" t="s">
        <v>3045</v>
      </c>
      <c r="Q806" s="75" t="s">
        <v>3046</v>
      </c>
      <c r="R806" s="230">
        <v>3500</v>
      </c>
      <c r="S806" s="230">
        <v>26880</v>
      </c>
      <c r="T806" s="230">
        <v>30380</v>
      </c>
      <c r="U806" s="231">
        <v>1920</v>
      </c>
      <c r="V806" s="230"/>
      <c r="W806" s="230"/>
      <c r="X806" s="231"/>
      <c r="Y806" s="85">
        <v>0.5</v>
      </c>
      <c r="Z806" s="85"/>
      <c r="AA806" s="76"/>
      <c r="AB806" s="77"/>
      <c r="AC806" s="78"/>
    </row>
    <row r="807" spans="1:29" ht="27" hidden="1" customHeight="1" x14ac:dyDescent="0.2">
      <c r="A807" s="117" t="s">
        <v>3047</v>
      </c>
      <c r="B807" s="118" t="e">
        <f t="shared" si="86"/>
        <v>#VALUE!</v>
      </c>
      <c r="C807" s="118" t="s">
        <v>612</v>
      </c>
      <c r="D807" s="113">
        <v>39645</v>
      </c>
      <c r="E807" s="84">
        <v>39753</v>
      </c>
      <c r="F807" s="84">
        <f t="shared" si="87"/>
        <v>43405</v>
      </c>
      <c r="G807" s="229">
        <v>283.60000000000002</v>
      </c>
      <c r="H807" s="71" t="s">
        <v>3048</v>
      </c>
      <c r="I807" s="71" t="s">
        <v>614</v>
      </c>
      <c r="J807" s="238" t="s">
        <v>3049</v>
      </c>
      <c r="K807" s="55">
        <f t="shared" si="88"/>
        <v>2018</v>
      </c>
      <c r="L807" s="239"/>
      <c r="M807" s="239"/>
      <c r="N807" s="73" t="s">
        <v>3050</v>
      </c>
      <c r="O807" s="73" t="s">
        <v>3051</v>
      </c>
      <c r="P807" s="74" t="s">
        <v>3052</v>
      </c>
      <c r="Q807" s="75" t="s">
        <v>3053</v>
      </c>
      <c r="R807" s="230">
        <v>1134</v>
      </c>
      <c r="S807" s="230">
        <v>266392</v>
      </c>
      <c r="T807" s="230">
        <v>267526</v>
      </c>
      <c r="U807" s="231">
        <v>568</v>
      </c>
      <c r="V807" s="230"/>
      <c r="W807" s="230"/>
      <c r="X807" s="231"/>
      <c r="Y807" s="85">
        <v>0.5</v>
      </c>
      <c r="Z807" s="85"/>
      <c r="AA807" s="76"/>
      <c r="AB807" s="77" t="s">
        <v>1069</v>
      </c>
      <c r="AC807" s="78"/>
    </row>
    <row r="808" spans="1:29" ht="27" hidden="1" customHeight="1" x14ac:dyDescent="0.2">
      <c r="A808" s="117" t="s">
        <v>3054</v>
      </c>
      <c r="B808" s="118" t="e">
        <f t="shared" si="86"/>
        <v>#VALUE!</v>
      </c>
      <c r="C808" s="118" t="s">
        <v>612</v>
      </c>
      <c r="D808" s="113">
        <v>39645</v>
      </c>
      <c r="E808" s="84">
        <v>39753</v>
      </c>
      <c r="F808" s="84">
        <f t="shared" si="87"/>
        <v>43405</v>
      </c>
      <c r="G808" s="229">
        <v>2272.88</v>
      </c>
      <c r="H808" s="71" t="s">
        <v>824</v>
      </c>
      <c r="I808" s="71" t="s">
        <v>614</v>
      </c>
      <c r="J808" s="248"/>
      <c r="K808" s="55">
        <f t="shared" si="88"/>
        <v>2018</v>
      </c>
      <c r="L808" s="249"/>
      <c r="M808" s="249"/>
      <c r="N808" s="73" t="s">
        <v>3055</v>
      </c>
      <c r="O808" s="73" t="s">
        <v>3051</v>
      </c>
      <c r="P808" s="74" t="s">
        <v>3056</v>
      </c>
      <c r="Q808" s="75" t="s">
        <v>3057</v>
      </c>
      <c r="R808" s="230">
        <v>8095.5</v>
      </c>
      <c r="S808" s="230">
        <v>290944</v>
      </c>
      <c r="T808" s="230">
        <v>299039.5</v>
      </c>
      <c r="U808" s="231">
        <v>4546</v>
      </c>
      <c r="V808" s="230"/>
      <c r="W808" s="230"/>
      <c r="X808" s="231"/>
      <c r="Y808" s="85">
        <v>0.5</v>
      </c>
      <c r="Z808" s="85"/>
      <c r="AA808" s="76"/>
      <c r="AB808" s="77"/>
      <c r="AC808" s="78"/>
    </row>
    <row r="809" spans="1:29" ht="27" hidden="1" customHeight="1" x14ac:dyDescent="0.2">
      <c r="A809" s="117" t="s">
        <v>3058</v>
      </c>
      <c r="B809" s="118" t="e">
        <f t="shared" si="86"/>
        <v>#VALUE!</v>
      </c>
      <c r="C809" s="118" t="s">
        <v>612</v>
      </c>
      <c r="D809" s="113">
        <v>39645</v>
      </c>
      <c r="E809" s="84">
        <v>39753</v>
      </c>
      <c r="F809" s="84">
        <f t="shared" si="87"/>
        <v>43405</v>
      </c>
      <c r="G809" s="229">
        <v>1493.85</v>
      </c>
      <c r="H809" s="71" t="s">
        <v>824</v>
      </c>
      <c r="I809" s="71" t="s">
        <v>614</v>
      </c>
      <c r="J809" s="248"/>
      <c r="K809" s="55">
        <f t="shared" si="88"/>
        <v>2018</v>
      </c>
      <c r="L809" s="249"/>
      <c r="M809" s="249"/>
      <c r="N809" s="73" t="s">
        <v>3059</v>
      </c>
      <c r="O809" s="73" t="s">
        <v>3051</v>
      </c>
      <c r="P809" s="74" t="s">
        <v>3060</v>
      </c>
      <c r="Q809" s="75" t="s">
        <v>3061</v>
      </c>
      <c r="R809" s="230">
        <v>5369</v>
      </c>
      <c r="S809" s="230">
        <v>191232</v>
      </c>
      <c r="T809" s="230">
        <v>196601</v>
      </c>
      <c r="U809" s="231">
        <v>2988</v>
      </c>
      <c r="V809" s="230"/>
      <c r="W809" s="230"/>
      <c r="X809" s="231"/>
      <c r="Y809" s="85">
        <v>0.5</v>
      </c>
      <c r="Z809" s="85"/>
      <c r="AA809" s="76"/>
      <c r="AB809" s="77"/>
      <c r="AC809" s="78"/>
    </row>
    <row r="810" spans="1:29" ht="27" hidden="1" customHeight="1" x14ac:dyDescent="0.2">
      <c r="A810" s="117" t="s">
        <v>3062</v>
      </c>
      <c r="B810" s="118" t="e">
        <f>IF(COUNTIF(GIS,A810),"YES","NO")</f>
        <v>#VALUE!</v>
      </c>
      <c r="C810" s="118" t="s">
        <v>612</v>
      </c>
      <c r="D810" s="113">
        <v>39645</v>
      </c>
      <c r="E810" s="84">
        <v>39753</v>
      </c>
      <c r="F810" s="84">
        <f t="shared" si="87"/>
        <v>43405</v>
      </c>
      <c r="G810" s="229">
        <v>183.19</v>
      </c>
      <c r="H810" s="71" t="s">
        <v>824</v>
      </c>
      <c r="I810" s="71" t="s">
        <v>614</v>
      </c>
      <c r="J810" s="248"/>
      <c r="K810" s="55">
        <f t="shared" si="88"/>
        <v>2018</v>
      </c>
      <c r="L810" s="249"/>
      <c r="M810" s="249"/>
      <c r="N810" s="73" t="s">
        <v>3059</v>
      </c>
      <c r="O810" s="73" t="s">
        <v>3051</v>
      </c>
      <c r="P810" s="74" t="s">
        <v>3063</v>
      </c>
      <c r="Q810" s="75" t="s">
        <v>3064</v>
      </c>
      <c r="R810" s="230">
        <v>784</v>
      </c>
      <c r="S810" s="230">
        <v>41032</v>
      </c>
      <c r="T810" s="230">
        <v>41816</v>
      </c>
      <c r="U810" s="231">
        <v>368</v>
      </c>
      <c r="V810" s="230"/>
      <c r="W810" s="230"/>
      <c r="X810" s="231"/>
      <c r="Y810" s="85">
        <v>0.5</v>
      </c>
      <c r="Z810" s="85"/>
      <c r="AA810" s="76"/>
      <c r="AB810" s="77"/>
      <c r="AC810" s="78"/>
    </row>
    <row r="811" spans="1:29" ht="27" hidden="1" customHeight="1" x14ac:dyDescent="0.2">
      <c r="A811" s="117" t="s">
        <v>3065</v>
      </c>
      <c r="B811" s="118" t="e">
        <f>IF(COUNTIF(GIS,A811),"YES","NO")</f>
        <v>#VALUE!</v>
      </c>
      <c r="C811" s="118" t="s">
        <v>612</v>
      </c>
      <c r="D811" s="113">
        <v>39645</v>
      </c>
      <c r="E811" s="84">
        <v>39753</v>
      </c>
      <c r="F811" s="84">
        <f t="shared" si="87"/>
        <v>43405</v>
      </c>
      <c r="G811" s="229">
        <v>1237.06</v>
      </c>
      <c r="H811" s="71" t="s">
        <v>1050</v>
      </c>
      <c r="I811" s="71" t="s">
        <v>614</v>
      </c>
      <c r="J811" s="79"/>
      <c r="K811" s="55">
        <f t="shared" si="88"/>
        <v>2018</v>
      </c>
      <c r="L811" s="80"/>
      <c r="M811" s="80"/>
      <c r="N811" s="73" t="s">
        <v>3055</v>
      </c>
      <c r="O811" s="73" t="s">
        <v>3051</v>
      </c>
      <c r="P811" s="74" t="s">
        <v>3066</v>
      </c>
      <c r="Q811" s="75" t="s">
        <v>3067</v>
      </c>
      <c r="R811" s="230">
        <v>4473</v>
      </c>
      <c r="S811" s="230">
        <v>443204</v>
      </c>
      <c r="T811" s="230">
        <v>447677</v>
      </c>
      <c r="U811" s="231">
        <v>2476</v>
      </c>
      <c r="V811" s="230"/>
      <c r="W811" s="230"/>
      <c r="X811" s="231"/>
      <c r="Y811" s="85">
        <v>0.5</v>
      </c>
      <c r="Z811" s="85"/>
      <c r="AA811" s="76"/>
      <c r="AC811" s="78" t="s">
        <v>3068</v>
      </c>
    </row>
    <row r="812" spans="1:29" ht="53" hidden="1" customHeight="1" x14ac:dyDescent="0.2">
      <c r="A812" s="117" t="s">
        <v>3069</v>
      </c>
      <c r="B812" s="118" t="e">
        <f>IF(COUNTIF(GIS,A812),"YES","NO")</f>
        <v>#VALUE!</v>
      </c>
      <c r="C812" s="118" t="s">
        <v>612</v>
      </c>
      <c r="D812" s="113">
        <v>39645</v>
      </c>
      <c r="E812" s="84">
        <v>39753</v>
      </c>
      <c r="F812" s="84">
        <f t="shared" si="87"/>
        <v>43405</v>
      </c>
      <c r="G812" s="229">
        <v>579.02</v>
      </c>
      <c r="H812" s="71" t="s">
        <v>2019</v>
      </c>
      <c r="I812" s="71" t="s">
        <v>614</v>
      </c>
      <c r="J812" s="72" t="s">
        <v>3070</v>
      </c>
      <c r="K812" s="55">
        <f t="shared" si="88"/>
        <v>2018</v>
      </c>
      <c r="L812" s="81"/>
      <c r="M812" s="81"/>
      <c r="N812" s="73" t="s">
        <v>3071</v>
      </c>
      <c r="O812" s="73" t="s">
        <v>3051</v>
      </c>
      <c r="P812" s="74" t="s">
        <v>3072</v>
      </c>
      <c r="Q812" s="75" t="s">
        <v>3073</v>
      </c>
      <c r="R812" s="230">
        <v>2691.5</v>
      </c>
      <c r="S812" s="230">
        <v>202662</v>
      </c>
      <c r="T812" s="230">
        <v>205353.5</v>
      </c>
      <c r="U812" s="231">
        <v>1160</v>
      </c>
      <c r="V812" s="230"/>
      <c r="W812" s="230"/>
      <c r="X812" s="231"/>
      <c r="Y812" s="85">
        <v>0.5</v>
      </c>
      <c r="Z812" s="85"/>
      <c r="AA812" s="76"/>
      <c r="AB812" s="77" t="s">
        <v>1069</v>
      </c>
      <c r="AC812" s="78"/>
    </row>
    <row r="813" spans="1:29" ht="27" hidden="1" customHeight="1" x14ac:dyDescent="0.2">
      <c r="A813" s="117" t="s">
        <v>3074</v>
      </c>
      <c r="B813" s="118" t="e">
        <f>IF(COUNTIF(GIS,A813),"YES","NO")</f>
        <v>#VALUE!</v>
      </c>
      <c r="C813" s="118" t="s">
        <v>612</v>
      </c>
      <c r="D813" s="113">
        <v>39645</v>
      </c>
      <c r="E813" s="84">
        <v>39753</v>
      </c>
      <c r="F813" s="84">
        <f t="shared" si="87"/>
        <v>43405</v>
      </c>
      <c r="G813" s="229">
        <v>644.36</v>
      </c>
      <c r="H813" s="71" t="s">
        <v>2019</v>
      </c>
      <c r="I813" s="71" t="s">
        <v>614</v>
      </c>
      <c r="J813" s="79"/>
      <c r="K813" s="55">
        <f t="shared" si="88"/>
        <v>2018</v>
      </c>
      <c r="L813" s="80"/>
      <c r="M813" s="80"/>
      <c r="N813" s="73" t="s">
        <v>3071</v>
      </c>
      <c r="O813" s="73" t="s">
        <v>3051</v>
      </c>
      <c r="P813" s="74" t="s">
        <v>3075</v>
      </c>
      <c r="Q813" s="75" t="s">
        <v>3076</v>
      </c>
      <c r="R813" s="257">
        <v>2397.5</v>
      </c>
      <c r="S813" s="257">
        <v>185760</v>
      </c>
      <c r="T813" s="257">
        <v>188157.5</v>
      </c>
      <c r="U813" s="231">
        <v>1290</v>
      </c>
      <c r="V813" s="230"/>
      <c r="W813" s="230"/>
      <c r="X813" s="231"/>
      <c r="Y813" s="85">
        <v>0.5</v>
      </c>
      <c r="Z813" s="85"/>
      <c r="AA813" s="76"/>
      <c r="AB813" s="77" t="s">
        <v>1069</v>
      </c>
      <c r="AC813" s="78"/>
    </row>
    <row r="814" spans="1:29" ht="15" hidden="1" customHeight="1" thickBot="1" x14ac:dyDescent="0.25">
      <c r="A814" s="117"/>
      <c r="D814" s="113"/>
      <c r="E814" s="84"/>
      <c r="F814" s="84"/>
      <c r="G814" s="229"/>
      <c r="H814" s="71"/>
      <c r="I814" s="71"/>
      <c r="J814" s="79"/>
      <c r="K814" s="79"/>
      <c r="L814" s="80"/>
      <c r="M814" s="80"/>
      <c r="N814" s="73"/>
      <c r="O814" s="73"/>
      <c r="P814" s="74"/>
      <c r="Q814" s="75"/>
      <c r="R814" s="241">
        <v>61845</v>
      </c>
      <c r="S814" s="241">
        <v>2746300</v>
      </c>
      <c r="T814" s="241">
        <v>2808145</v>
      </c>
      <c r="U814" s="231"/>
      <c r="V814" s="230"/>
      <c r="W814" s="230"/>
      <c r="X814" s="231"/>
      <c r="Y814" s="85"/>
      <c r="Z814" s="85"/>
      <c r="AA814" s="76"/>
      <c r="AB814" s="77"/>
      <c r="AC814" s="78"/>
    </row>
    <row r="815" spans="1:29" hidden="1" x14ac:dyDescent="0.2">
      <c r="A815" s="117"/>
      <c r="D815" s="113"/>
      <c r="E815" s="84"/>
      <c r="F815" s="84"/>
      <c r="G815" s="229"/>
      <c r="H815" s="71"/>
      <c r="I815" s="71"/>
      <c r="J815" s="79"/>
      <c r="K815" s="79"/>
      <c r="L815" s="80"/>
      <c r="M815" s="80"/>
      <c r="N815" s="73"/>
      <c r="O815" s="73"/>
      <c r="P815" s="74"/>
      <c r="Q815" s="75" t="s">
        <v>3077</v>
      </c>
      <c r="R815" s="230">
        <v>61845</v>
      </c>
      <c r="S815" s="230"/>
      <c r="T815" s="230">
        <v>61845</v>
      </c>
      <c r="U815" s="231"/>
      <c r="V815" s="230"/>
      <c r="W815" s="230"/>
      <c r="X815" s="231"/>
      <c r="Y815" s="85"/>
      <c r="Z815" s="85"/>
      <c r="AA815" s="76"/>
      <c r="AB815" s="77"/>
      <c r="AC815" s="78"/>
    </row>
    <row r="816" spans="1:29" hidden="1" x14ac:dyDescent="0.2">
      <c r="A816" s="117"/>
      <c r="D816" s="113"/>
      <c r="E816" s="84"/>
      <c r="F816" s="84"/>
      <c r="G816" s="229"/>
      <c r="H816" s="71"/>
      <c r="I816" s="71"/>
      <c r="J816" s="79"/>
      <c r="K816" s="79"/>
      <c r="L816" s="80"/>
      <c r="M816" s="80"/>
      <c r="N816" s="73"/>
      <c r="O816" s="73"/>
      <c r="P816" s="74"/>
      <c r="Q816" s="75" t="s">
        <v>3078</v>
      </c>
      <c r="R816" s="230"/>
      <c r="S816" s="230">
        <v>37000</v>
      </c>
      <c r="T816" s="230">
        <v>37000</v>
      </c>
      <c r="U816" s="231"/>
      <c r="V816" s="230"/>
      <c r="W816" s="230"/>
      <c r="X816" s="231"/>
      <c r="Y816" s="85"/>
      <c r="Z816" s="85"/>
      <c r="AA816" s="76"/>
      <c r="AB816" s="77"/>
      <c r="AC816" s="78"/>
    </row>
    <row r="817" spans="1:29" hidden="1" x14ac:dyDescent="0.2">
      <c r="A817" s="117"/>
      <c r="D817" s="113"/>
      <c r="E817" s="84"/>
      <c r="F817" s="84"/>
      <c r="G817" s="229"/>
      <c r="H817" s="71"/>
      <c r="I817" s="71"/>
      <c r="J817" s="79"/>
      <c r="K817" s="79"/>
      <c r="L817" s="80"/>
      <c r="M817" s="80"/>
      <c r="N817" s="73"/>
      <c r="O817" s="73"/>
      <c r="P817" s="74"/>
      <c r="Q817" s="75" t="s">
        <v>3079</v>
      </c>
      <c r="R817" s="230"/>
      <c r="S817" s="230">
        <v>2709300</v>
      </c>
      <c r="T817" s="230">
        <v>2709300</v>
      </c>
      <c r="U817" s="231"/>
      <c r="V817" s="230"/>
      <c r="W817" s="230"/>
      <c r="X817" s="231"/>
      <c r="Y817" s="85"/>
      <c r="Z817" s="85"/>
      <c r="AA817" s="76"/>
      <c r="AB817" s="77"/>
      <c r="AC817" s="78"/>
    </row>
    <row r="818" spans="1:29" hidden="1" x14ac:dyDescent="0.2">
      <c r="A818" s="117"/>
      <c r="D818" s="113"/>
      <c r="E818" s="84"/>
      <c r="F818" s="84"/>
      <c r="G818" s="229"/>
      <c r="H818" s="71"/>
      <c r="I818" s="71"/>
      <c r="J818" s="79"/>
      <c r="K818" s="79"/>
      <c r="L818" s="80"/>
      <c r="M818" s="80"/>
      <c r="N818" s="73"/>
      <c r="O818" s="73"/>
      <c r="P818" s="74"/>
      <c r="Q818" s="75"/>
      <c r="R818" s="230"/>
      <c r="S818" s="230"/>
      <c r="T818" s="230"/>
      <c r="U818" s="231"/>
      <c r="V818" s="230"/>
      <c r="W818" s="230"/>
      <c r="X818" s="231"/>
      <c r="Y818" s="85"/>
      <c r="Z818" s="85"/>
      <c r="AA818" s="76"/>
      <c r="AB818" s="77"/>
      <c r="AC818" s="78"/>
    </row>
    <row r="819" spans="1:29" hidden="1" x14ac:dyDescent="0.2">
      <c r="A819" s="117"/>
      <c r="D819" s="113"/>
      <c r="E819" s="84"/>
      <c r="F819" s="84"/>
      <c r="G819" s="229"/>
      <c r="H819" s="71"/>
      <c r="I819" s="71"/>
      <c r="J819" s="79"/>
      <c r="K819" s="79"/>
      <c r="L819" s="80"/>
      <c r="M819" s="80"/>
      <c r="N819" s="73"/>
      <c r="O819" s="73"/>
      <c r="P819" s="74"/>
      <c r="Q819" s="75"/>
      <c r="R819" s="230"/>
      <c r="S819" s="230"/>
      <c r="T819" s="230"/>
      <c r="U819" s="231"/>
      <c r="V819" s="230"/>
      <c r="W819" s="230"/>
      <c r="X819" s="231"/>
      <c r="Y819" s="85"/>
      <c r="Z819" s="85"/>
      <c r="AA819" s="76"/>
      <c r="AB819" s="77"/>
      <c r="AC819" s="78"/>
    </row>
    <row r="820" spans="1:29" hidden="1" x14ac:dyDescent="0.2">
      <c r="A820" s="117" t="s">
        <v>3080</v>
      </c>
      <c r="B820" s="118" t="e">
        <f>IF(COUNTIF(GIS,A820),"YES","NO")</f>
        <v>#VALUE!</v>
      </c>
      <c r="C820" s="118" t="s">
        <v>612</v>
      </c>
      <c r="D820" s="113">
        <v>39716</v>
      </c>
      <c r="E820" s="84">
        <v>39783</v>
      </c>
      <c r="F820" s="84">
        <f t="shared" ref="F820:F858" si="89">DATE(YEAR(E820)+10,MONTH(E820),DAY(E820))</f>
        <v>43435</v>
      </c>
      <c r="G820" s="229">
        <v>40.090000000000003</v>
      </c>
      <c r="H820" s="71" t="s">
        <v>3081</v>
      </c>
      <c r="I820" s="71" t="s">
        <v>684</v>
      </c>
      <c r="J820" s="79"/>
      <c r="K820" s="55">
        <f t="shared" ref="K820:K858" si="90">YEAR(F820)</f>
        <v>2018</v>
      </c>
      <c r="L820" s="80"/>
      <c r="M820" s="80"/>
      <c r="N820" s="73" t="s">
        <v>1698</v>
      </c>
      <c r="O820" s="73" t="s">
        <v>3082</v>
      </c>
      <c r="P820" s="74" t="s">
        <v>3083</v>
      </c>
      <c r="Q820" s="95" t="s">
        <v>3084</v>
      </c>
      <c r="R820" s="230"/>
      <c r="S820" s="230"/>
      <c r="T820" s="230">
        <v>693.5</v>
      </c>
      <c r="U820" s="231">
        <v>82</v>
      </c>
      <c r="V820" s="230"/>
      <c r="W820" s="230"/>
      <c r="X820" s="231"/>
      <c r="Y820" s="85">
        <v>0.45</v>
      </c>
      <c r="Z820" s="85">
        <v>0.1</v>
      </c>
      <c r="AA820" s="76"/>
      <c r="AB820" s="77"/>
      <c r="AC820" s="78"/>
    </row>
    <row r="821" spans="1:29" hidden="1" x14ac:dyDescent="0.2">
      <c r="A821" s="117" t="s">
        <v>3085</v>
      </c>
      <c r="B821" s="118" t="e">
        <f t="shared" ref="B821:B856" si="91">IF(COUNTIF(GIS,A823),"YES","NO")</f>
        <v>#VALUE!</v>
      </c>
      <c r="C821" s="118" t="s">
        <v>612</v>
      </c>
      <c r="D821" s="113">
        <v>39716</v>
      </c>
      <c r="E821" s="84">
        <v>39783</v>
      </c>
      <c r="F821" s="84">
        <f t="shared" si="89"/>
        <v>43435</v>
      </c>
      <c r="G821" s="229">
        <v>494.6</v>
      </c>
      <c r="H821" s="71" t="s">
        <v>697</v>
      </c>
      <c r="I821" s="71" t="s">
        <v>684</v>
      </c>
      <c r="J821" s="79"/>
      <c r="K821" s="55">
        <f t="shared" si="90"/>
        <v>2018</v>
      </c>
      <c r="L821" s="80"/>
      <c r="M821" s="80"/>
      <c r="N821" s="73" t="s">
        <v>1698</v>
      </c>
      <c r="O821" s="73" t="s">
        <v>3086</v>
      </c>
      <c r="P821" s="74" t="s">
        <v>3087</v>
      </c>
      <c r="Q821" s="95" t="s">
        <v>3088</v>
      </c>
      <c r="R821" s="230"/>
      <c r="S821" s="230"/>
      <c r="T821" s="230">
        <v>6822.5</v>
      </c>
      <c r="U821" s="231">
        <v>990</v>
      </c>
      <c r="V821" s="230"/>
      <c r="W821" s="230"/>
      <c r="X821" s="231"/>
      <c r="Y821" s="85">
        <v>0.45</v>
      </c>
      <c r="Z821" s="85">
        <v>0.1</v>
      </c>
      <c r="AA821" s="76"/>
      <c r="AB821" s="77"/>
      <c r="AC821" s="78"/>
    </row>
    <row r="822" spans="1:29" hidden="1" x14ac:dyDescent="0.2">
      <c r="A822" s="117" t="s">
        <v>3089</v>
      </c>
      <c r="B822" s="118" t="e">
        <f t="shared" si="91"/>
        <v>#VALUE!</v>
      </c>
      <c r="C822" s="118" t="s">
        <v>612</v>
      </c>
      <c r="D822" s="113">
        <v>39716</v>
      </c>
      <c r="E822" s="84">
        <v>39783</v>
      </c>
      <c r="F822" s="84">
        <f t="shared" si="89"/>
        <v>43435</v>
      </c>
      <c r="G822" s="229">
        <v>436.34</v>
      </c>
      <c r="H822" s="71" t="s">
        <v>697</v>
      </c>
      <c r="I822" s="71" t="s">
        <v>684</v>
      </c>
      <c r="J822" s="79"/>
      <c r="K822" s="55">
        <f t="shared" si="90"/>
        <v>2018</v>
      </c>
      <c r="L822" s="80"/>
      <c r="M822" s="80"/>
      <c r="N822" s="73" t="s">
        <v>1698</v>
      </c>
      <c r="O822" s="73" t="s">
        <v>3086</v>
      </c>
      <c r="P822" s="74" t="s">
        <v>3090</v>
      </c>
      <c r="Q822" s="95" t="s">
        <v>3091</v>
      </c>
      <c r="R822" s="230"/>
      <c r="S822" s="230"/>
      <c r="T822" s="230">
        <v>6039.5</v>
      </c>
      <c r="U822" s="231">
        <v>874</v>
      </c>
      <c r="V822" s="230"/>
      <c r="W822" s="230"/>
      <c r="X822" s="231"/>
      <c r="Y822" s="85">
        <v>0.45</v>
      </c>
      <c r="Z822" s="85">
        <v>0.1</v>
      </c>
      <c r="AA822" s="76"/>
      <c r="AB822" s="77"/>
      <c r="AC822" s="78"/>
    </row>
    <row r="823" spans="1:29" ht="27" hidden="1" customHeight="1" x14ac:dyDescent="0.2">
      <c r="A823" s="117" t="s">
        <v>3092</v>
      </c>
      <c r="B823" s="118" t="e">
        <f t="shared" si="91"/>
        <v>#VALUE!</v>
      </c>
      <c r="C823" s="118" t="s">
        <v>612</v>
      </c>
      <c r="D823" s="113">
        <v>39716</v>
      </c>
      <c r="E823" s="84">
        <v>39783</v>
      </c>
      <c r="F823" s="84">
        <f t="shared" si="89"/>
        <v>43435</v>
      </c>
      <c r="G823" s="229">
        <v>606.899</v>
      </c>
      <c r="H823" s="71" t="s">
        <v>697</v>
      </c>
      <c r="I823" s="71" t="s">
        <v>684</v>
      </c>
      <c r="J823" s="79"/>
      <c r="K823" s="55">
        <f t="shared" si="90"/>
        <v>2018</v>
      </c>
      <c r="L823" s="80"/>
      <c r="M823" s="80"/>
      <c r="N823" s="73" t="s">
        <v>1698</v>
      </c>
      <c r="O823" s="73" t="s">
        <v>3086</v>
      </c>
      <c r="P823" s="74" t="s">
        <v>3093</v>
      </c>
      <c r="Q823" s="95" t="s">
        <v>3094</v>
      </c>
      <c r="R823" s="230"/>
      <c r="S823" s="230"/>
      <c r="T823" s="230">
        <v>8941.5</v>
      </c>
      <c r="U823" s="231">
        <v>1214</v>
      </c>
      <c r="V823" s="230"/>
      <c r="W823" s="230"/>
      <c r="X823" s="231"/>
      <c r="Y823" s="85">
        <v>0.45</v>
      </c>
      <c r="Z823" s="85">
        <v>0.1</v>
      </c>
      <c r="AA823" s="76"/>
      <c r="AB823" s="77"/>
      <c r="AC823" s="78"/>
    </row>
    <row r="824" spans="1:29" hidden="1" x14ac:dyDescent="0.2">
      <c r="A824" s="117" t="s">
        <v>3095</v>
      </c>
      <c r="B824" s="118" t="e">
        <f t="shared" si="91"/>
        <v>#VALUE!</v>
      </c>
      <c r="C824" s="118" t="s">
        <v>612</v>
      </c>
      <c r="D824" s="113">
        <v>39716</v>
      </c>
      <c r="E824" s="84">
        <v>39783</v>
      </c>
      <c r="F824" s="84">
        <f t="shared" si="89"/>
        <v>43435</v>
      </c>
      <c r="G824" s="229">
        <v>597.87</v>
      </c>
      <c r="H824" s="71" t="s">
        <v>697</v>
      </c>
      <c r="I824" s="71" t="s">
        <v>684</v>
      </c>
      <c r="J824" s="79"/>
      <c r="K824" s="55">
        <f t="shared" si="90"/>
        <v>2018</v>
      </c>
      <c r="L824" s="80"/>
      <c r="M824" s="80"/>
      <c r="N824" s="73" t="s">
        <v>1698</v>
      </c>
      <c r="O824" s="73" t="s">
        <v>3086</v>
      </c>
      <c r="P824" s="74" t="s">
        <v>3096</v>
      </c>
      <c r="Q824" s="95" t="s">
        <v>3097</v>
      </c>
      <c r="R824" s="230"/>
      <c r="S824" s="230"/>
      <c r="T824" s="230">
        <v>8213</v>
      </c>
      <c r="U824" s="231">
        <v>1196</v>
      </c>
      <c r="V824" s="230"/>
      <c r="W824" s="230"/>
      <c r="X824" s="231"/>
      <c r="Y824" s="85">
        <v>0.45</v>
      </c>
      <c r="Z824" s="85">
        <v>0.1</v>
      </c>
      <c r="AA824" s="76"/>
      <c r="AB824" s="77"/>
      <c r="AC824" s="78"/>
    </row>
    <row r="825" spans="1:29" hidden="1" x14ac:dyDescent="0.2">
      <c r="A825" s="117" t="s">
        <v>3098</v>
      </c>
      <c r="B825" s="118" t="e">
        <f t="shared" si="91"/>
        <v>#VALUE!</v>
      </c>
      <c r="C825" s="118" t="s">
        <v>612</v>
      </c>
      <c r="D825" s="113">
        <v>39716</v>
      </c>
      <c r="E825" s="84">
        <v>39783</v>
      </c>
      <c r="F825" s="84">
        <f t="shared" si="89"/>
        <v>43435</v>
      </c>
      <c r="G825" s="229">
        <v>438.58</v>
      </c>
      <c r="H825" s="71" t="s">
        <v>697</v>
      </c>
      <c r="I825" s="71" t="s">
        <v>684</v>
      </c>
      <c r="J825" s="79"/>
      <c r="K825" s="55">
        <f t="shared" si="90"/>
        <v>2018</v>
      </c>
      <c r="L825" s="80"/>
      <c r="M825" s="80"/>
      <c r="N825" s="73" t="s">
        <v>1698</v>
      </c>
      <c r="O825" s="73" t="s">
        <v>3086</v>
      </c>
      <c r="P825" s="74" t="s">
        <v>3099</v>
      </c>
      <c r="Q825" s="95" t="s">
        <v>3100</v>
      </c>
      <c r="R825" s="230"/>
      <c r="S825" s="230"/>
      <c r="T825" s="230">
        <v>6066.5</v>
      </c>
      <c r="U825" s="231">
        <v>878</v>
      </c>
      <c r="V825" s="230"/>
      <c r="W825" s="230"/>
      <c r="X825" s="231"/>
      <c r="Y825" s="85">
        <v>0.45</v>
      </c>
      <c r="Z825" s="85">
        <v>0.1</v>
      </c>
      <c r="AA825" s="76"/>
      <c r="AB825" s="77"/>
      <c r="AC825" s="78"/>
    </row>
    <row r="826" spans="1:29" hidden="1" x14ac:dyDescent="0.2">
      <c r="A826" s="117" t="s">
        <v>3101</v>
      </c>
      <c r="B826" s="118" t="e">
        <f t="shared" si="91"/>
        <v>#VALUE!</v>
      </c>
      <c r="C826" s="118" t="s">
        <v>612</v>
      </c>
      <c r="D826" s="113">
        <v>39716</v>
      </c>
      <c r="E826" s="84">
        <v>39783</v>
      </c>
      <c r="F826" s="84">
        <f t="shared" si="89"/>
        <v>43435</v>
      </c>
      <c r="G826" s="229">
        <v>311.89</v>
      </c>
      <c r="H826" s="71" t="s">
        <v>697</v>
      </c>
      <c r="I826" s="71" t="s">
        <v>684</v>
      </c>
      <c r="J826" s="79"/>
      <c r="K826" s="55">
        <f t="shared" si="90"/>
        <v>2018</v>
      </c>
      <c r="L826" s="80"/>
      <c r="M826" s="80"/>
      <c r="N826" s="73" t="s">
        <v>1698</v>
      </c>
      <c r="O826" s="73" t="s">
        <v>3086</v>
      </c>
      <c r="P826" s="74" t="s">
        <v>3102</v>
      </c>
      <c r="Q826" s="95" t="s">
        <v>3103</v>
      </c>
      <c r="R826" s="230"/>
      <c r="S826" s="230"/>
      <c r="T826" s="230">
        <v>4352</v>
      </c>
      <c r="U826" s="231">
        <v>624</v>
      </c>
      <c r="V826" s="230"/>
      <c r="W826" s="230"/>
      <c r="X826" s="231"/>
      <c r="Y826" s="85">
        <v>0.45</v>
      </c>
      <c r="Z826" s="85">
        <v>0.1</v>
      </c>
      <c r="AA826" s="76"/>
      <c r="AB826" s="77"/>
      <c r="AC826" s="78"/>
    </row>
    <row r="827" spans="1:29" ht="27" hidden="1" customHeight="1" x14ac:dyDescent="0.2">
      <c r="A827" s="117" t="s">
        <v>3104</v>
      </c>
      <c r="B827" s="118" t="e">
        <f t="shared" si="91"/>
        <v>#VALUE!</v>
      </c>
      <c r="C827" s="118" t="s">
        <v>612</v>
      </c>
      <c r="D827" s="113">
        <v>39716</v>
      </c>
      <c r="E827" s="84">
        <v>39783</v>
      </c>
      <c r="F827" s="84">
        <f t="shared" si="89"/>
        <v>43435</v>
      </c>
      <c r="G827" s="229">
        <v>308.14</v>
      </c>
      <c r="H827" s="71" t="s">
        <v>697</v>
      </c>
      <c r="I827" s="71" t="s">
        <v>684</v>
      </c>
      <c r="J827" s="79"/>
      <c r="K827" s="55">
        <f t="shared" si="90"/>
        <v>2018</v>
      </c>
      <c r="L827" s="80"/>
      <c r="M827" s="80"/>
      <c r="N827" s="73" t="s">
        <v>1698</v>
      </c>
      <c r="O827" s="73" t="s">
        <v>3086</v>
      </c>
      <c r="P827" s="74" t="s">
        <v>3105</v>
      </c>
      <c r="Q827" s="95" t="s">
        <v>3106</v>
      </c>
      <c r="R827" s="230"/>
      <c r="S827" s="230"/>
      <c r="T827" s="230">
        <v>4311.5</v>
      </c>
      <c r="U827" s="231">
        <v>618</v>
      </c>
      <c r="V827" s="230"/>
      <c r="W827" s="230"/>
      <c r="X827" s="231"/>
      <c r="Y827" s="85">
        <v>0.45</v>
      </c>
      <c r="Z827" s="85">
        <v>0.1</v>
      </c>
      <c r="AA827" s="76"/>
      <c r="AB827" s="77"/>
      <c r="AC827" s="78"/>
    </row>
    <row r="828" spans="1:29" ht="27" hidden="1" customHeight="1" x14ac:dyDescent="0.2">
      <c r="A828" s="117" t="s">
        <v>3107</v>
      </c>
      <c r="B828" s="118" t="e">
        <f t="shared" si="91"/>
        <v>#VALUE!</v>
      </c>
      <c r="C828" s="118" t="s">
        <v>612</v>
      </c>
      <c r="D828" s="113">
        <v>39716</v>
      </c>
      <c r="E828" s="84">
        <v>39783</v>
      </c>
      <c r="F828" s="84">
        <f t="shared" si="89"/>
        <v>43435</v>
      </c>
      <c r="G828" s="229">
        <v>592.17999999999995</v>
      </c>
      <c r="H828" s="71" t="s">
        <v>697</v>
      </c>
      <c r="I828" s="71" t="s">
        <v>684</v>
      </c>
      <c r="J828" s="79"/>
      <c r="K828" s="55">
        <f t="shared" si="90"/>
        <v>2018</v>
      </c>
      <c r="L828" s="80"/>
      <c r="M828" s="80"/>
      <c r="N828" s="73" t="s">
        <v>1698</v>
      </c>
      <c r="O828" s="73" t="s">
        <v>3086</v>
      </c>
      <c r="P828" s="74" t="s">
        <v>3108</v>
      </c>
      <c r="Q828" s="95" t="s">
        <v>3109</v>
      </c>
      <c r="R828" s="230"/>
      <c r="S828" s="230"/>
      <c r="T828" s="230">
        <v>8145.5</v>
      </c>
      <c r="U828" s="231">
        <v>1186</v>
      </c>
      <c r="V828" s="230"/>
      <c r="W828" s="230"/>
      <c r="X828" s="231"/>
      <c r="Y828" s="85">
        <v>0.45</v>
      </c>
      <c r="Z828" s="85">
        <v>0.1</v>
      </c>
      <c r="AA828" s="76"/>
      <c r="AB828" s="77"/>
      <c r="AC828" s="78"/>
    </row>
    <row r="829" spans="1:29" ht="40" hidden="1" customHeight="1" x14ac:dyDescent="0.2">
      <c r="A829" s="117" t="s">
        <v>3110</v>
      </c>
      <c r="B829" s="118" t="e">
        <f t="shared" si="91"/>
        <v>#VALUE!</v>
      </c>
      <c r="C829" s="118" t="s">
        <v>612</v>
      </c>
      <c r="D829" s="113">
        <v>39716</v>
      </c>
      <c r="E829" s="84">
        <v>39783</v>
      </c>
      <c r="F829" s="84">
        <f t="shared" si="89"/>
        <v>43435</v>
      </c>
      <c r="G829" s="229">
        <v>601.91999999999996</v>
      </c>
      <c r="H829" s="71" t="s">
        <v>697</v>
      </c>
      <c r="I829" s="71" t="s">
        <v>684</v>
      </c>
      <c r="J829" s="79"/>
      <c r="K829" s="55">
        <f t="shared" si="90"/>
        <v>2018</v>
      </c>
      <c r="L829" s="80"/>
      <c r="M829" s="80"/>
      <c r="N829" s="73" t="s">
        <v>1698</v>
      </c>
      <c r="O829" s="73" t="s">
        <v>3086</v>
      </c>
      <c r="P829" s="74" t="s">
        <v>3111</v>
      </c>
      <c r="Q829" s="95" t="s">
        <v>3112</v>
      </c>
      <c r="R829" s="230"/>
      <c r="S829" s="230"/>
      <c r="T829" s="230">
        <v>8267</v>
      </c>
      <c r="U829" s="231">
        <v>1204</v>
      </c>
      <c r="V829" s="230"/>
      <c r="W829" s="230"/>
      <c r="X829" s="231"/>
      <c r="Y829" s="85">
        <v>0.45</v>
      </c>
      <c r="Z829" s="85">
        <v>0.1</v>
      </c>
      <c r="AA829" s="76"/>
      <c r="AB829" s="77"/>
      <c r="AC829" s="78"/>
    </row>
    <row r="830" spans="1:29" ht="27" hidden="1" customHeight="1" x14ac:dyDescent="0.2">
      <c r="A830" s="117" t="s">
        <v>3113</v>
      </c>
      <c r="B830" s="118" t="e">
        <f t="shared" si="91"/>
        <v>#VALUE!</v>
      </c>
      <c r="C830" s="118" t="s">
        <v>612</v>
      </c>
      <c r="D830" s="113">
        <v>39716</v>
      </c>
      <c r="E830" s="84">
        <v>39783</v>
      </c>
      <c r="F830" s="84">
        <f t="shared" si="89"/>
        <v>43435</v>
      </c>
      <c r="G830" s="229">
        <v>591.19000000000005</v>
      </c>
      <c r="H830" s="71" t="s">
        <v>697</v>
      </c>
      <c r="I830" s="71" t="s">
        <v>684</v>
      </c>
      <c r="J830" s="79"/>
      <c r="K830" s="55">
        <f t="shared" si="90"/>
        <v>2018</v>
      </c>
      <c r="L830" s="80"/>
      <c r="M830" s="80"/>
      <c r="N830" s="73" t="s">
        <v>1698</v>
      </c>
      <c r="O830" s="73" t="s">
        <v>3086</v>
      </c>
      <c r="P830" s="74" t="s">
        <v>3114</v>
      </c>
      <c r="Q830" s="95" t="s">
        <v>3115</v>
      </c>
      <c r="R830" s="230"/>
      <c r="S830" s="230"/>
      <c r="T830" s="230">
        <v>8132</v>
      </c>
      <c r="U830" s="231">
        <v>1184</v>
      </c>
      <c r="V830" s="230"/>
      <c r="W830" s="230"/>
      <c r="X830" s="231"/>
      <c r="Y830" s="85">
        <v>0.45</v>
      </c>
      <c r="Z830" s="85">
        <v>0.1</v>
      </c>
      <c r="AA830" s="76"/>
      <c r="AB830" s="77"/>
      <c r="AC830" s="78"/>
    </row>
    <row r="831" spans="1:29" ht="27" hidden="1" customHeight="1" x14ac:dyDescent="0.2">
      <c r="A831" s="117" t="s">
        <v>3116</v>
      </c>
      <c r="B831" s="118" t="e">
        <f t="shared" si="91"/>
        <v>#VALUE!</v>
      </c>
      <c r="C831" s="118" t="s">
        <v>612</v>
      </c>
      <c r="D831" s="113">
        <v>39716</v>
      </c>
      <c r="E831" s="84">
        <v>39783</v>
      </c>
      <c r="F831" s="84">
        <f t="shared" si="89"/>
        <v>43435</v>
      </c>
      <c r="G831" s="229">
        <v>573.37</v>
      </c>
      <c r="H831" s="71" t="s">
        <v>697</v>
      </c>
      <c r="I831" s="71" t="s">
        <v>684</v>
      </c>
      <c r="J831" s="79"/>
      <c r="K831" s="55">
        <f t="shared" si="90"/>
        <v>2018</v>
      </c>
      <c r="L831" s="80"/>
      <c r="M831" s="80"/>
      <c r="N831" s="73" t="s">
        <v>1698</v>
      </c>
      <c r="O831" s="73" t="s">
        <v>3086</v>
      </c>
      <c r="P831" s="74" t="s">
        <v>3117</v>
      </c>
      <c r="Q831" s="95" t="s">
        <v>3118</v>
      </c>
      <c r="R831" s="230"/>
      <c r="S831" s="230"/>
      <c r="T831" s="230">
        <v>7889</v>
      </c>
      <c r="U831" s="231">
        <v>1148</v>
      </c>
      <c r="V831" s="230"/>
      <c r="W831" s="230"/>
      <c r="X831" s="231"/>
      <c r="Y831" s="85">
        <v>0.45</v>
      </c>
      <c r="Z831" s="85">
        <v>0.1</v>
      </c>
      <c r="AA831" s="76"/>
      <c r="AB831" s="77"/>
      <c r="AC831" s="78"/>
    </row>
    <row r="832" spans="1:29" ht="27" hidden="1" customHeight="1" x14ac:dyDescent="0.2">
      <c r="A832" s="117" t="s">
        <v>3119</v>
      </c>
      <c r="B832" s="118" t="e">
        <f t="shared" si="91"/>
        <v>#VALUE!</v>
      </c>
      <c r="C832" s="118" t="s">
        <v>612</v>
      </c>
      <c r="D832" s="113">
        <v>39716</v>
      </c>
      <c r="E832" s="84">
        <v>39783</v>
      </c>
      <c r="F832" s="84">
        <f t="shared" si="89"/>
        <v>43435</v>
      </c>
      <c r="G832" s="229">
        <v>519.21</v>
      </c>
      <c r="H832" s="71" t="s">
        <v>697</v>
      </c>
      <c r="I832" s="71" t="s">
        <v>684</v>
      </c>
      <c r="J832" s="79"/>
      <c r="K832" s="55">
        <f t="shared" si="90"/>
        <v>2018</v>
      </c>
      <c r="L832" s="80"/>
      <c r="M832" s="80"/>
      <c r="N832" s="73" t="s">
        <v>1698</v>
      </c>
      <c r="O832" s="73" t="s">
        <v>3086</v>
      </c>
      <c r="P832" s="74" t="s">
        <v>3120</v>
      </c>
      <c r="Q832" s="95" t="s">
        <v>3121</v>
      </c>
      <c r="R832" s="230"/>
      <c r="S832" s="230"/>
      <c r="T832" s="230">
        <v>7160</v>
      </c>
      <c r="U832" s="231">
        <v>1040</v>
      </c>
      <c r="V832" s="230"/>
      <c r="W832" s="230"/>
      <c r="X832" s="231"/>
      <c r="Y832" s="85">
        <v>0.45</v>
      </c>
      <c r="Z832" s="85">
        <v>0.1</v>
      </c>
      <c r="AA832" s="76"/>
      <c r="AB832" s="77"/>
      <c r="AC832" s="78"/>
    </row>
    <row r="833" spans="1:29" ht="29" hidden="1" x14ac:dyDescent="0.2">
      <c r="A833" s="117" t="s">
        <v>3122</v>
      </c>
      <c r="B833" s="118" t="e">
        <f t="shared" si="91"/>
        <v>#VALUE!</v>
      </c>
      <c r="C833" s="118" t="s">
        <v>612</v>
      </c>
      <c r="D833" s="113">
        <v>39716</v>
      </c>
      <c r="E833" s="84">
        <v>39783</v>
      </c>
      <c r="F833" s="84">
        <f t="shared" si="89"/>
        <v>43435</v>
      </c>
      <c r="G833" s="229">
        <v>319.07</v>
      </c>
      <c r="H833" s="71" t="s">
        <v>697</v>
      </c>
      <c r="I833" s="71" t="s">
        <v>684</v>
      </c>
      <c r="J833" s="79"/>
      <c r="K833" s="55">
        <f t="shared" si="90"/>
        <v>2018</v>
      </c>
      <c r="L833" s="80"/>
      <c r="M833" s="80"/>
      <c r="N833" s="73" t="s">
        <v>1698</v>
      </c>
      <c r="O833" s="73" t="s">
        <v>3086</v>
      </c>
      <c r="P833" s="74" t="s">
        <v>3123</v>
      </c>
      <c r="Q833" s="95" t="s">
        <v>3124</v>
      </c>
      <c r="R833" s="230"/>
      <c r="S833" s="230"/>
      <c r="T833" s="230">
        <v>4460</v>
      </c>
      <c r="U833" s="231">
        <v>640</v>
      </c>
      <c r="V833" s="230"/>
      <c r="W833" s="230"/>
      <c r="X833" s="231"/>
      <c r="Y833" s="85">
        <v>0.45</v>
      </c>
      <c r="Z833" s="85">
        <v>0.1</v>
      </c>
      <c r="AA833" s="76"/>
      <c r="AB833" s="77"/>
      <c r="AC833" s="78"/>
    </row>
    <row r="834" spans="1:29" ht="27" hidden="1" customHeight="1" x14ac:dyDescent="0.2">
      <c r="A834" s="117" t="s">
        <v>3125</v>
      </c>
      <c r="B834" s="118" t="e">
        <f t="shared" si="91"/>
        <v>#VALUE!</v>
      </c>
      <c r="C834" s="118" t="s">
        <v>612</v>
      </c>
      <c r="D834" s="113">
        <v>39716</v>
      </c>
      <c r="E834" s="84">
        <v>39783</v>
      </c>
      <c r="F834" s="84">
        <f t="shared" si="89"/>
        <v>43435</v>
      </c>
      <c r="G834" s="229">
        <v>478.64</v>
      </c>
      <c r="H834" s="71" t="s">
        <v>697</v>
      </c>
      <c r="I834" s="71" t="s">
        <v>684</v>
      </c>
      <c r="J834" s="79"/>
      <c r="K834" s="55">
        <f t="shared" si="90"/>
        <v>2018</v>
      </c>
      <c r="L834" s="80"/>
      <c r="M834" s="80"/>
      <c r="N834" s="73" t="s">
        <v>1698</v>
      </c>
      <c r="O834" s="73" t="s">
        <v>3086</v>
      </c>
      <c r="P834" s="74" t="s">
        <v>3126</v>
      </c>
      <c r="Q834" s="95" t="s">
        <v>3127</v>
      </c>
      <c r="R834" s="230"/>
      <c r="S834" s="230"/>
      <c r="T834" s="230">
        <v>6606.5</v>
      </c>
      <c r="U834" s="231">
        <v>958</v>
      </c>
      <c r="V834" s="230"/>
      <c r="W834" s="230"/>
      <c r="X834" s="231"/>
      <c r="Y834" s="85">
        <v>0.45</v>
      </c>
      <c r="Z834" s="85">
        <v>0.1</v>
      </c>
      <c r="AA834" s="76"/>
      <c r="AB834" s="77"/>
      <c r="AC834" s="78"/>
    </row>
    <row r="835" spans="1:29" hidden="1" x14ac:dyDescent="0.2">
      <c r="A835" s="117" t="s">
        <v>3128</v>
      </c>
      <c r="B835" s="118" t="e">
        <f t="shared" si="91"/>
        <v>#VALUE!</v>
      </c>
      <c r="C835" s="118" t="s">
        <v>612</v>
      </c>
      <c r="D835" s="113">
        <v>39716</v>
      </c>
      <c r="E835" s="84">
        <v>39783</v>
      </c>
      <c r="F835" s="84">
        <f t="shared" si="89"/>
        <v>43435</v>
      </c>
      <c r="G835" s="229">
        <v>521.63</v>
      </c>
      <c r="H835" s="71" t="s">
        <v>697</v>
      </c>
      <c r="I835" s="71" t="s">
        <v>684</v>
      </c>
      <c r="J835" s="79"/>
      <c r="K835" s="55">
        <f t="shared" si="90"/>
        <v>2018</v>
      </c>
      <c r="L835" s="80"/>
      <c r="M835" s="80"/>
      <c r="N835" s="73" t="s">
        <v>1698</v>
      </c>
      <c r="O835" s="73" t="s">
        <v>3086</v>
      </c>
      <c r="P835" s="74" t="s">
        <v>3129</v>
      </c>
      <c r="Q835" s="95" t="s">
        <v>3130</v>
      </c>
      <c r="R835" s="230"/>
      <c r="S835" s="230"/>
      <c r="T835" s="230">
        <v>7187</v>
      </c>
      <c r="U835" s="231">
        <v>1044</v>
      </c>
      <c r="V835" s="230"/>
      <c r="W835" s="230"/>
      <c r="X835" s="231"/>
      <c r="Y835" s="85">
        <v>0.45</v>
      </c>
      <c r="Z835" s="85">
        <v>0.1</v>
      </c>
      <c r="AA835" s="76"/>
      <c r="AB835" s="77"/>
      <c r="AC835" s="78"/>
    </row>
    <row r="836" spans="1:29" ht="27" hidden="1" customHeight="1" x14ac:dyDescent="0.2">
      <c r="A836" s="117" t="s">
        <v>3131</v>
      </c>
      <c r="B836" s="118" t="e">
        <f t="shared" si="91"/>
        <v>#VALUE!</v>
      </c>
      <c r="C836" s="118" t="s">
        <v>612</v>
      </c>
      <c r="D836" s="113">
        <v>39716</v>
      </c>
      <c r="E836" s="84">
        <v>39783</v>
      </c>
      <c r="F836" s="84">
        <f t="shared" si="89"/>
        <v>43435</v>
      </c>
      <c r="G836" s="229">
        <v>390.59</v>
      </c>
      <c r="H836" s="71" t="s">
        <v>697</v>
      </c>
      <c r="I836" s="71" t="s">
        <v>684</v>
      </c>
      <c r="J836" s="79"/>
      <c r="K836" s="55">
        <f t="shared" si="90"/>
        <v>2018</v>
      </c>
      <c r="L836" s="80"/>
      <c r="M836" s="80"/>
      <c r="N836" s="73" t="s">
        <v>1698</v>
      </c>
      <c r="O836" s="73" t="s">
        <v>3086</v>
      </c>
      <c r="P836" s="74" t="s">
        <v>3132</v>
      </c>
      <c r="Q836" s="95" t="s">
        <v>3133</v>
      </c>
      <c r="R836" s="230"/>
      <c r="S836" s="230"/>
      <c r="T836" s="230">
        <v>6200.5</v>
      </c>
      <c r="U836" s="231">
        <v>782</v>
      </c>
      <c r="V836" s="230"/>
      <c r="W836" s="230"/>
      <c r="X836" s="231"/>
      <c r="Y836" s="85">
        <v>0.45</v>
      </c>
      <c r="Z836" s="85">
        <v>0.1</v>
      </c>
      <c r="AA836" s="76"/>
      <c r="AB836" s="77"/>
      <c r="AC836" s="78"/>
    </row>
    <row r="837" spans="1:29" ht="27" hidden="1" customHeight="1" x14ac:dyDescent="0.2">
      <c r="A837" s="117" t="s">
        <v>3134</v>
      </c>
      <c r="B837" s="118" t="e">
        <f t="shared" si="91"/>
        <v>#VALUE!</v>
      </c>
      <c r="C837" s="118" t="s">
        <v>612</v>
      </c>
      <c r="D837" s="113">
        <v>39716</v>
      </c>
      <c r="E837" s="84">
        <v>39783</v>
      </c>
      <c r="F837" s="84">
        <f t="shared" si="89"/>
        <v>43435</v>
      </c>
      <c r="G837" s="229">
        <v>160</v>
      </c>
      <c r="H837" s="118" t="s">
        <v>1311</v>
      </c>
      <c r="I837" s="71" t="s">
        <v>684</v>
      </c>
      <c r="J837" s="72" t="s">
        <v>3135</v>
      </c>
      <c r="K837" s="55">
        <f t="shared" si="90"/>
        <v>2018</v>
      </c>
      <c r="L837" s="81"/>
      <c r="M837" s="81"/>
      <c r="N837" s="73" t="s">
        <v>1698</v>
      </c>
      <c r="O837" s="73" t="s">
        <v>3136</v>
      </c>
      <c r="P837" s="74" t="s">
        <v>3137</v>
      </c>
      <c r="Q837" s="95" t="s">
        <v>3138</v>
      </c>
      <c r="S837" s="244"/>
      <c r="T837" s="230">
        <v>4820</v>
      </c>
      <c r="U837" s="231">
        <v>320</v>
      </c>
      <c r="V837" s="230"/>
      <c r="W837" s="230"/>
      <c r="X837" s="231"/>
      <c r="Y837" s="85">
        <v>0.45</v>
      </c>
      <c r="Z837" s="85">
        <v>0.1</v>
      </c>
      <c r="AA837" s="76"/>
      <c r="AB837" s="77"/>
      <c r="AC837" s="78"/>
    </row>
    <row r="838" spans="1:29" hidden="1" x14ac:dyDescent="0.2">
      <c r="A838" s="117" t="s">
        <v>3139</v>
      </c>
      <c r="B838" s="118" t="e">
        <f t="shared" si="91"/>
        <v>#VALUE!</v>
      </c>
      <c r="C838" s="118" t="s">
        <v>612</v>
      </c>
      <c r="D838" s="113">
        <v>39716</v>
      </c>
      <c r="E838" s="84">
        <v>39783</v>
      </c>
      <c r="F838" s="84">
        <f t="shared" si="89"/>
        <v>43435</v>
      </c>
      <c r="G838" s="229">
        <v>780.2</v>
      </c>
      <c r="H838" s="71" t="s">
        <v>3140</v>
      </c>
      <c r="I838" s="71" t="s">
        <v>1703</v>
      </c>
      <c r="J838" s="79"/>
      <c r="K838" s="55">
        <f t="shared" si="90"/>
        <v>2018</v>
      </c>
      <c r="L838" s="80"/>
      <c r="M838" s="80"/>
      <c r="N838" s="73" t="s">
        <v>3141</v>
      </c>
      <c r="O838" s="73" t="s">
        <v>3142</v>
      </c>
      <c r="P838" s="74" t="s">
        <v>3143</v>
      </c>
      <c r="Q838" s="95" t="s">
        <v>3144</v>
      </c>
      <c r="R838" s="230"/>
      <c r="S838" s="230"/>
      <c r="T838" s="230">
        <v>5997.5</v>
      </c>
      <c r="U838" s="231">
        <v>1562</v>
      </c>
      <c r="V838" s="230"/>
      <c r="W838" s="230"/>
      <c r="X838" s="231"/>
      <c r="Y838" s="85">
        <v>0.45</v>
      </c>
      <c r="Z838" s="85">
        <v>0.1</v>
      </c>
      <c r="AA838" s="76"/>
      <c r="AB838" s="77"/>
      <c r="AC838" s="78"/>
    </row>
    <row r="839" spans="1:29" ht="40" hidden="1" customHeight="1" x14ac:dyDescent="0.2">
      <c r="A839" s="117" t="s">
        <v>3145</v>
      </c>
      <c r="B839" s="118" t="e">
        <f t="shared" si="91"/>
        <v>#VALUE!</v>
      </c>
      <c r="C839" s="118" t="s">
        <v>612</v>
      </c>
      <c r="D839" s="113">
        <v>39716</v>
      </c>
      <c r="E839" s="84">
        <v>39783</v>
      </c>
      <c r="F839" s="84">
        <f t="shared" si="89"/>
        <v>43435</v>
      </c>
      <c r="G839" s="229">
        <v>542.41999999999996</v>
      </c>
      <c r="H839" s="71" t="s">
        <v>3146</v>
      </c>
      <c r="I839" s="71" t="s">
        <v>1703</v>
      </c>
      <c r="J839" s="79"/>
      <c r="K839" s="55">
        <f t="shared" si="90"/>
        <v>2018</v>
      </c>
      <c r="L839" s="80"/>
      <c r="M839" s="80"/>
      <c r="N839" s="73" t="s">
        <v>1704</v>
      </c>
      <c r="O839" s="73" t="s">
        <v>3147</v>
      </c>
      <c r="P839" s="74" t="s">
        <v>3148</v>
      </c>
      <c r="Q839" s="95" t="s">
        <v>3149</v>
      </c>
      <c r="R839" s="230"/>
      <c r="S839" s="230"/>
      <c r="T839" s="230">
        <v>2040.5</v>
      </c>
      <c r="U839" s="231">
        <v>1086</v>
      </c>
      <c r="V839" s="230"/>
      <c r="W839" s="230"/>
      <c r="X839" s="231"/>
      <c r="Y839" s="85">
        <v>0.45</v>
      </c>
      <c r="Z839" s="85">
        <v>0.1</v>
      </c>
      <c r="AA839" s="76"/>
      <c r="AB839" s="77"/>
      <c r="AC839" s="78"/>
    </row>
    <row r="840" spans="1:29" ht="27" hidden="1" customHeight="1" x14ac:dyDescent="0.2">
      <c r="A840" s="117" t="s">
        <v>3150</v>
      </c>
      <c r="B840" s="118" t="e">
        <f t="shared" si="91"/>
        <v>#VALUE!</v>
      </c>
      <c r="C840" s="118" t="s">
        <v>612</v>
      </c>
      <c r="D840" s="113">
        <v>39716</v>
      </c>
      <c r="E840" s="84">
        <v>39783</v>
      </c>
      <c r="F840" s="84">
        <f t="shared" si="89"/>
        <v>43435</v>
      </c>
      <c r="G840" s="229">
        <v>380</v>
      </c>
      <c r="H840" s="71" t="s">
        <v>3151</v>
      </c>
      <c r="I840" s="71" t="s">
        <v>1703</v>
      </c>
      <c r="J840" s="79"/>
      <c r="K840" s="55">
        <f t="shared" si="90"/>
        <v>2018</v>
      </c>
      <c r="L840" s="80"/>
      <c r="M840" s="80"/>
      <c r="N840" s="73" t="s">
        <v>1704</v>
      </c>
      <c r="O840" s="73" t="s">
        <v>3152</v>
      </c>
      <c r="P840" s="74" t="s">
        <v>3153</v>
      </c>
      <c r="Q840" s="95" t="s">
        <v>3154</v>
      </c>
      <c r="R840" s="230"/>
      <c r="S840" s="230"/>
      <c r="T840" s="230">
        <v>1470</v>
      </c>
      <c r="U840" s="231">
        <v>760</v>
      </c>
      <c r="V840" s="230"/>
      <c r="W840" s="230"/>
      <c r="X840" s="231"/>
      <c r="Y840" s="85">
        <v>0.45</v>
      </c>
      <c r="Z840" s="85">
        <v>0.1</v>
      </c>
      <c r="AA840" s="76"/>
      <c r="AB840" s="77"/>
      <c r="AC840" s="78"/>
    </row>
    <row r="841" spans="1:29" ht="27" hidden="1" customHeight="1" x14ac:dyDescent="0.2">
      <c r="A841" s="117" t="s">
        <v>3155</v>
      </c>
      <c r="B841" s="118" t="e">
        <f t="shared" si="91"/>
        <v>#VALUE!</v>
      </c>
      <c r="C841" s="118" t="s">
        <v>612</v>
      </c>
      <c r="D841" s="113">
        <v>39716</v>
      </c>
      <c r="E841" s="84">
        <v>39783</v>
      </c>
      <c r="F841" s="84">
        <f t="shared" si="89"/>
        <v>43435</v>
      </c>
      <c r="G841" s="229">
        <v>560</v>
      </c>
      <c r="H841" s="71" t="s">
        <v>3151</v>
      </c>
      <c r="I841" s="71" t="s">
        <v>1703</v>
      </c>
      <c r="J841" s="79"/>
      <c r="K841" s="55">
        <f t="shared" si="90"/>
        <v>2018</v>
      </c>
      <c r="L841" s="80"/>
      <c r="M841" s="80"/>
      <c r="N841" s="73" t="s">
        <v>1704</v>
      </c>
      <c r="O841" s="73" t="s">
        <v>3152</v>
      </c>
      <c r="P841" s="74" t="s">
        <v>3156</v>
      </c>
      <c r="Q841" s="95" t="s">
        <v>3157</v>
      </c>
      <c r="R841" s="230"/>
      <c r="S841" s="230"/>
      <c r="T841" s="230">
        <v>34580</v>
      </c>
      <c r="U841" s="231">
        <v>1120</v>
      </c>
      <c r="V841" s="230"/>
      <c r="W841" s="230"/>
      <c r="X841" s="231"/>
      <c r="Y841" s="85">
        <v>0.45</v>
      </c>
      <c r="Z841" s="85">
        <v>0.1</v>
      </c>
      <c r="AA841" s="76"/>
      <c r="AB841" s="77"/>
      <c r="AC841" s="78"/>
    </row>
    <row r="842" spans="1:29" ht="40" hidden="1" customHeight="1" x14ac:dyDescent="0.2">
      <c r="A842" s="117" t="s">
        <v>3158</v>
      </c>
      <c r="B842" s="118" t="e">
        <f t="shared" si="91"/>
        <v>#VALUE!</v>
      </c>
      <c r="C842" s="118" t="s">
        <v>612</v>
      </c>
      <c r="D842" s="113">
        <v>39716</v>
      </c>
      <c r="E842" s="84">
        <v>39783</v>
      </c>
      <c r="F842" s="84">
        <f t="shared" si="89"/>
        <v>43435</v>
      </c>
      <c r="G842" s="229">
        <v>299.73</v>
      </c>
      <c r="H842" s="71" t="s">
        <v>3151</v>
      </c>
      <c r="I842" s="71" t="s">
        <v>1703</v>
      </c>
      <c r="J842" s="79"/>
      <c r="K842" s="55">
        <f t="shared" si="90"/>
        <v>2018</v>
      </c>
      <c r="L842" s="80"/>
      <c r="M842" s="80"/>
      <c r="N842" s="73" t="s">
        <v>1704</v>
      </c>
      <c r="O842" s="73" t="s">
        <v>3159</v>
      </c>
      <c r="P842" s="74" t="s">
        <v>3160</v>
      </c>
      <c r="Q842" s="95" t="s">
        <v>3161</v>
      </c>
      <c r="R842" s="230"/>
      <c r="S842" s="230"/>
      <c r="T842" s="230">
        <v>1190</v>
      </c>
      <c r="U842" s="231">
        <v>600</v>
      </c>
      <c r="V842" s="230"/>
      <c r="W842" s="230"/>
      <c r="X842" s="231"/>
      <c r="Y842" s="85">
        <v>0.45</v>
      </c>
      <c r="Z842" s="85">
        <v>0.1</v>
      </c>
      <c r="AA842" s="76"/>
      <c r="AB842" s="77"/>
      <c r="AC842" s="78"/>
    </row>
    <row r="843" spans="1:29" hidden="1" x14ac:dyDescent="0.2">
      <c r="A843" s="117" t="s">
        <v>3162</v>
      </c>
      <c r="B843" s="118" t="e">
        <f t="shared" si="91"/>
        <v>#VALUE!</v>
      </c>
      <c r="C843" s="118" t="s">
        <v>612</v>
      </c>
      <c r="D843" s="113">
        <v>39716</v>
      </c>
      <c r="E843" s="84">
        <v>39783</v>
      </c>
      <c r="F843" s="84">
        <f t="shared" si="89"/>
        <v>43435</v>
      </c>
      <c r="G843" s="229">
        <v>200</v>
      </c>
      <c r="H843" s="71" t="s">
        <v>3151</v>
      </c>
      <c r="I843" s="71" t="s">
        <v>1703</v>
      </c>
      <c r="J843" s="79"/>
      <c r="K843" s="55">
        <f t="shared" si="90"/>
        <v>2018</v>
      </c>
      <c r="L843" s="80"/>
      <c r="M843" s="80"/>
      <c r="N843" s="73" t="s">
        <v>1704</v>
      </c>
      <c r="O843" s="73" t="s">
        <v>3159</v>
      </c>
      <c r="P843" s="74" t="s">
        <v>3163</v>
      </c>
      <c r="Q843" s="95" t="s">
        <v>3164</v>
      </c>
      <c r="R843" s="230"/>
      <c r="S843" s="230"/>
      <c r="T843" s="230">
        <v>840</v>
      </c>
      <c r="U843" s="231">
        <v>400</v>
      </c>
      <c r="V843" s="230"/>
      <c r="W843" s="230"/>
      <c r="X843" s="231"/>
      <c r="Y843" s="85">
        <v>0.45</v>
      </c>
      <c r="Z843" s="85">
        <v>0.1</v>
      </c>
      <c r="AA843" s="76"/>
      <c r="AB843" s="77"/>
      <c r="AC843" s="78"/>
    </row>
    <row r="844" spans="1:29" hidden="1" x14ac:dyDescent="0.2">
      <c r="A844" s="117" t="s">
        <v>3165</v>
      </c>
      <c r="B844" s="118" t="e">
        <f t="shared" si="91"/>
        <v>#VALUE!</v>
      </c>
      <c r="C844" s="118" t="s">
        <v>612</v>
      </c>
      <c r="D844" s="113">
        <v>39716</v>
      </c>
      <c r="E844" s="84">
        <v>39783</v>
      </c>
      <c r="F844" s="84">
        <f t="shared" si="89"/>
        <v>43435</v>
      </c>
      <c r="G844" s="229">
        <v>769.83</v>
      </c>
      <c r="H844" s="71" t="s">
        <v>3146</v>
      </c>
      <c r="I844" s="71" t="s">
        <v>1703</v>
      </c>
      <c r="J844" s="79"/>
      <c r="K844" s="55">
        <f t="shared" si="90"/>
        <v>2018</v>
      </c>
      <c r="L844" s="80"/>
      <c r="M844" s="80"/>
      <c r="N844" s="73" t="s">
        <v>1704</v>
      </c>
      <c r="O844" s="73" t="s">
        <v>3166</v>
      </c>
      <c r="P844" s="74" t="s">
        <v>3167</v>
      </c>
      <c r="Q844" s="95" t="s">
        <v>3168</v>
      </c>
      <c r="R844" s="230"/>
      <c r="S844" s="230"/>
      <c r="T844" s="230">
        <v>2835</v>
      </c>
      <c r="U844" s="231">
        <v>1540</v>
      </c>
      <c r="V844" s="230"/>
      <c r="W844" s="230"/>
      <c r="X844" s="231"/>
      <c r="Y844" s="85">
        <v>0.45</v>
      </c>
      <c r="Z844" s="85">
        <v>0.1</v>
      </c>
      <c r="AA844" s="76"/>
      <c r="AB844" s="77"/>
      <c r="AC844" s="78"/>
    </row>
    <row r="845" spans="1:29" ht="27" hidden="1" customHeight="1" x14ac:dyDescent="0.2">
      <c r="A845" s="117" t="s">
        <v>3169</v>
      </c>
      <c r="B845" s="118" t="e">
        <f t="shared" si="91"/>
        <v>#VALUE!</v>
      </c>
      <c r="C845" s="118" t="s">
        <v>612</v>
      </c>
      <c r="D845" s="113">
        <v>39716</v>
      </c>
      <c r="E845" s="84">
        <v>39783</v>
      </c>
      <c r="F845" s="84">
        <f t="shared" si="89"/>
        <v>43435</v>
      </c>
      <c r="G845" s="229">
        <v>444.7</v>
      </c>
      <c r="H845" s="71" t="s">
        <v>3146</v>
      </c>
      <c r="I845" s="71" t="s">
        <v>1703</v>
      </c>
      <c r="J845" s="79"/>
      <c r="K845" s="55">
        <f t="shared" si="90"/>
        <v>2018</v>
      </c>
      <c r="L845" s="80"/>
      <c r="M845" s="80"/>
      <c r="N845" s="73" t="s">
        <v>1704</v>
      </c>
      <c r="O845" s="73" t="s">
        <v>3166</v>
      </c>
      <c r="P845" s="74" t="s">
        <v>3170</v>
      </c>
      <c r="Q845" s="95" t="s">
        <v>3171</v>
      </c>
      <c r="R845" s="230"/>
      <c r="S845" s="230"/>
      <c r="T845" s="230">
        <v>1697.5</v>
      </c>
      <c r="U845" s="231">
        <v>890</v>
      </c>
      <c r="V845" s="230"/>
      <c r="W845" s="230"/>
      <c r="X845" s="231"/>
      <c r="Y845" s="85">
        <v>0.45</v>
      </c>
      <c r="Z845" s="85">
        <v>0.1</v>
      </c>
      <c r="AA845" s="76"/>
      <c r="AB845" s="77"/>
      <c r="AC845" s="78"/>
    </row>
    <row r="846" spans="1:29" ht="27" hidden="1" customHeight="1" x14ac:dyDescent="0.2">
      <c r="A846" s="117" t="s">
        <v>3172</v>
      </c>
      <c r="B846" s="118" t="e">
        <f t="shared" si="91"/>
        <v>#VALUE!</v>
      </c>
      <c r="C846" s="118" t="s">
        <v>612</v>
      </c>
      <c r="D846" s="113">
        <v>39716</v>
      </c>
      <c r="E846" s="84">
        <v>39783</v>
      </c>
      <c r="F846" s="84">
        <f t="shared" si="89"/>
        <v>43435</v>
      </c>
      <c r="G846" s="229">
        <v>520</v>
      </c>
      <c r="H846" s="71" t="s">
        <v>3146</v>
      </c>
      <c r="I846" s="71" t="s">
        <v>1703</v>
      </c>
      <c r="J846" s="79"/>
      <c r="K846" s="55">
        <f t="shared" si="90"/>
        <v>2018</v>
      </c>
      <c r="L846" s="80"/>
      <c r="M846" s="80"/>
      <c r="N846" s="73" t="s">
        <v>1704</v>
      </c>
      <c r="O846" s="73" t="s">
        <v>3166</v>
      </c>
      <c r="P846" s="74" t="s">
        <v>3173</v>
      </c>
      <c r="Q846" s="95" t="s">
        <v>3174</v>
      </c>
      <c r="R846" s="230"/>
      <c r="S846" s="230"/>
      <c r="T846" s="230">
        <v>1960</v>
      </c>
      <c r="U846" s="231">
        <v>1040</v>
      </c>
      <c r="V846" s="230"/>
      <c r="W846" s="230"/>
      <c r="X846" s="231"/>
      <c r="Y846" s="85">
        <v>0.45</v>
      </c>
      <c r="Z846" s="85">
        <v>0.1</v>
      </c>
      <c r="AA846" s="76"/>
      <c r="AB846" s="77"/>
      <c r="AC846" s="78"/>
    </row>
    <row r="847" spans="1:29" ht="27" hidden="1" customHeight="1" x14ac:dyDescent="0.2">
      <c r="A847" s="117" t="s">
        <v>3175</v>
      </c>
      <c r="B847" s="118" t="e">
        <f t="shared" si="91"/>
        <v>#VALUE!</v>
      </c>
      <c r="C847" s="118" t="s">
        <v>612</v>
      </c>
      <c r="D847" s="113">
        <v>39716</v>
      </c>
      <c r="E847" s="84">
        <v>39783</v>
      </c>
      <c r="F847" s="84">
        <f t="shared" si="89"/>
        <v>43435</v>
      </c>
      <c r="G847" s="229">
        <v>640</v>
      </c>
      <c r="H847" s="71" t="s">
        <v>3146</v>
      </c>
      <c r="I847" s="71" t="s">
        <v>1703</v>
      </c>
      <c r="J847" s="79"/>
      <c r="K847" s="55">
        <f t="shared" si="90"/>
        <v>2018</v>
      </c>
      <c r="L847" s="80"/>
      <c r="M847" s="80"/>
      <c r="N847" s="73" t="s">
        <v>1704</v>
      </c>
      <c r="O847" s="73" t="s">
        <v>3166</v>
      </c>
      <c r="P847" s="74" t="s">
        <v>3176</v>
      </c>
      <c r="Q847" s="95" t="s">
        <v>3177</v>
      </c>
      <c r="R847" s="230"/>
      <c r="S847" s="230"/>
      <c r="T847" s="230">
        <v>2380</v>
      </c>
      <c r="U847" s="231">
        <v>1280</v>
      </c>
      <c r="V847" s="230"/>
      <c r="W847" s="230"/>
      <c r="X847" s="231"/>
      <c r="Y847" s="85">
        <v>0.45</v>
      </c>
      <c r="Z847" s="85">
        <v>0.1</v>
      </c>
      <c r="AA847" s="76"/>
      <c r="AB847" s="77"/>
      <c r="AC847" s="78"/>
    </row>
    <row r="848" spans="1:29" hidden="1" x14ac:dyDescent="0.2">
      <c r="A848" s="117" t="s">
        <v>3178</v>
      </c>
      <c r="B848" s="118" t="e">
        <f t="shared" si="91"/>
        <v>#VALUE!</v>
      </c>
      <c r="C848" s="118" t="s">
        <v>612</v>
      </c>
      <c r="D848" s="113">
        <v>39716</v>
      </c>
      <c r="E848" s="84">
        <v>39783</v>
      </c>
      <c r="F848" s="84">
        <f t="shared" si="89"/>
        <v>43435</v>
      </c>
      <c r="G848" s="229">
        <v>848.8</v>
      </c>
      <c r="H848" s="71" t="s">
        <v>3151</v>
      </c>
      <c r="I848" s="71" t="s">
        <v>1703</v>
      </c>
      <c r="J848" s="79"/>
      <c r="K848" s="55">
        <f t="shared" si="90"/>
        <v>2018</v>
      </c>
      <c r="L848" s="80"/>
      <c r="M848" s="80"/>
      <c r="N848" s="73" t="s">
        <v>1704</v>
      </c>
      <c r="O848" s="73" t="s">
        <v>3179</v>
      </c>
      <c r="P848" s="74" t="s">
        <v>3180</v>
      </c>
      <c r="Q848" s="95" t="s">
        <v>3181</v>
      </c>
      <c r="R848" s="230"/>
      <c r="S848" s="230"/>
      <c r="T848" s="230">
        <v>3111.5</v>
      </c>
      <c r="U848" s="231">
        <v>1698</v>
      </c>
      <c r="V848" s="230"/>
      <c r="W848" s="230"/>
      <c r="X848" s="231"/>
      <c r="Y848" s="85">
        <v>0.45</v>
      </c>
      <c r="Z848" s="85">
        <v>0.1</v>
      </c>
      <c r="AA848" s="76"/>
      <c r="AB848" s="77"/>
      <c r="AC848" s="78"/>
    </row>
    <row r="849" spans="1:29" ht="27" hidden="1" customHeight="1" x14ac:dyDescent="0.2">
      <c r="A849" s="117" t="s">
        <v>3182</v>
      </c>
      <c r="B849" s="118" t="e">
        <f t="shared" si="91"/>
        <v>#VALUE!</v>
      </c>
      <c r="C849" s="118" t="s">
        <v>612</v>
      </c>
      <c r="D849" s="113">
        <v>39716</v>
      </c>
      <c r="E849" s="84">
        <v>39783</v>
      </c>
      <c r="F849" s="84">
        <f t="shared" si="89"/>
        <v>43435</v>
      </c>
      <c r="G849" s="229">
        <v>800</v>
      </c>
      <c r="H849" s="71" t="s">
        <v>3151</v>
      </c>
      <c r="I849" s="71" t="s">
        <v>1703</v>
      </c>
      <c r="J849" s="79"/>
      <c r="K849" s="55">
        <f t="shared" si="90"/>
        <v>2018</v>
      </c>
      <c r="L849" s="80"/>
      <c r="M849" s="80"/>
      <c r="N849" s="73" t="s">
        <v>1704</v>
      </c>
      <c r="O849" s="73" t="s">
        <v>3179</v>
      </c>
      <c r="P849" s="74" t="s">
        <v>3183</v>
      </c>
      <c r="Q849" s="95" t="s">
        <v>3184</v>
      </c>
      <c r="R849" s="230"/>
      <c r="S849" s="230"/>
      <c r="T849" s="230">
        <v>2940</v>
      </c>
      <c r="U849" s="231">
        <v>1600</v>
      </c>
      <c r="V849" s="230"/>
      <c r="W849" s="230"/>
      <c r="X849" s="231"/>
      <c r="Y849" s="85">
        <v>0.45</v>
      </c>
      <c r="Z849" s="85">
        <v>0.1</v>
      </c>
      <c r="AA849" s="76"/>
      <c r="AB849" s="77"/>
      <c r="AC849" s="78"/>
    </row>
    <row r="850" spans="1:29" ht="27" hidden="1" customHeight="1" x14ac:dyDescent="0.2">
      <c r="A850" s="117" t="s">
        <v>3185</v>
      </c>
      <c r="B850" s="118" t="e">
        <f t="shared" si="91"/>
        <v>#VALUE!</v>
      </c>
      <c r="C850" s="118" t="s">
        <v>612</v>
      </c>
      <c r="D850" s="113">
        <v>39716</v>
      </c>
      <c r="E850" s="84">
        <v>39783</v>
      </c>
      <c r="F850" s="84">
        <f t="shared" si="89"/>
        <v>43435</v>
      </c>
      <c r="G850" s="229">
        <v>920</v>
      </c>
      <c r="H850" s="71" t="s">
        <v>3151</v>
      </c>
      <c r="I850" s="71" t="s">
        <v>1703</v>
      </c>
      <c r="J850" s="79"/>
      <c r="K850" s="55">
        <f t="shared" si="90"/>
        <v>2018</v>
      </c>
      <c r="L850" s="80"/>
      <c r="M850" s="80"/>
      <c r="N850" s="73" t="s">
        <v>1704</v>
      </c>
      <c r="O850" s="73" t="s">
        <v>3179</v>
      </c>
      <c r="P850" s="74" t="s">
        <v>3186</v>
      </c>
      <c r="Q850" s="95" t="s">
        <v>3187</v>
      </c>
      <c r="R850" s="230"/>
      <c r="S850" s="230"/>
      <c r="T850" s="230">
        <v>3360</v>
      </c>
      <c r="U850" s="231">
        <v>1840</v>
      </c>
      <c r="V850" s="230"/>
      <c r="W850" s="230"/>
      <c r="X850" s="231"/>
      <c r="Y850" s="85">
        <v>0.45</v>
      </c>
      <c r="Z850" s="85">
        <v>0.1</v>
      </c>
      <c r="AA850" s="76"/>
      <c r="AB850" s="77"/>
      <c r="AC850" s="78"/>
    </row>
    <row r="851" spans="1:29" ht="40" hidden="1" customHeight="1" x14ac:dyDescent="0.2">
      <c r="A851" s="117" t="s">
        <v>3188</v>
      </c>
      <c r="B851" s="118" t="e">
        <f t="shared" si="91"/>
        <v>#VALUE!</v>
      </c>
      <c r="C851" s="118" t="s">
        <v>612</v>
      </c>
      <c r="D851" s="113">
        <v>39716</v>
      </c>
      <c r="E851" s="84">
        <v>39783</v>
      </c>
      <c r="F851" s="84">
        <f t="shared" si="89"/>
        <v>43435</v>
      </c>
      <c r="G851" s="229">
        <v>435</v>
      </c>
      <c r="H851" s="71" t="s">
        <v>3151</v>
      </c>
      <c r="I851" s="71" t="s">
        <v>1703</v>
      </c>
      <c r="J851" s="79"/>
      <c r="K851" s="55">
        <f t="shared" si="90"/>
        <v>2018</v>
      </c>
      <c r="L851" s="80"/>
      <c r="M851" s="80"/>
      <c r="N851" s="73" t="s">
        <v>1704</v>
      </c>
      <c r="O851" s="73" t="s">
        <v>3179</v>
      </c>
      <c r="P851" s="74" t="s">
        <v>3189</v>
      </c>
      <c r="Q851" s="95" t="s">
        <v>3190</v>
      </c>
      <c r="R851" s="230"/>
      <c r="S851" s="230"/>
      <c r="T851" s="230">
        <v>1662.5</v>
      </c>
      <c r="U851" s="231">
        <v>870</v>
      </c>
      <c r="V851" s="230"/>
      <c r="W851" s="230"/>
      <c r="X851" s="231"/>
      <c r="Y851" s="85">
        <v>0.45</v>
      </c>
      <c r="Z851" s="85">
        <v>0.1</v>
      </c>
      <c r="AA851" s="76"/>
      <c r="AB851" s="77"/>
      <c r="AC851" s="78"/>
    </row>
    <row r="852" spans="1:29" ht="27" hidden="1" customHeight="1" x14ac:dyDescent="0.2">
      <c r="A852" s="117" t="s">
        <v>3191</v>
      </c>
      <c r="B852" s="118" t="e">
        <f t="shared" si="91"/>
        <v>#VALUE!</v>
      </c>
      <c r="C852" s="118" t="s">
        <v>612</v>
      </c>
      <c r="D852" s="113">
        <v>39716</v>
      </c>
      <c r="E852" s="84">
        <v>39783</v>
      </c>
      <c r="F852" s="84">
        <f t="shared" si="89"/>
        <v>43435</v>
      </c>
      <c r="G852" s="229">
        <v>1262.6300000000001</v>
      </c>
      <c r="H852" s="71" t="s">
        <v>3151</v>
      </c>
      <c r="I852" s="71" t="s">
        <v>1703</v>
      </c>
      <c r="J852" s="79"/>
      <c r="K852" s="55">
        <f t="shared" si="90"/>
        <v>2018</v>
      </c>
      <c r="L852" s="80"/>
      <c r="M852" s="80"/>
      <c r="N852" s="73" t="s">
        <v>1704</v>
      </c>
      <c r="O852" s="73" t="s">
        <v>3192</v>
      </c>
      <c r="P852" s="74" t="s">
        <v>3193</v>
      </c>
      <c r="Q852" s="95" t="s">
        <v>3194</v>
      </c>
      <c r="R852" s="230"/>
      <c r="S852" s="230"/>
      <c r="T852" s="230">
        <v>166224.5</v>
      </c>
      <c r="U852" s="231">
        <v>2526</v>
      </c>
      <c r="V852" s="230"/>
      <c r="W852" s="230"/>
      <c r="X852" s="231"/>
      <c r="Y852" s="85">
        <v>0.45</v>
      </c>
      <c r="Z852" s="85">
        <v>0.1</v>
      </c>
      <c r="AA852" s="76"/>
      <c r="AB852" s="77"/>
      <c r="AC852" s="78"/>
    </row>
    <row r="853" spans="1:29" hidden="1" x14ac:dyDescent="0.2">
      <c r="A853" s="117" t="s">
        <v>3195</v>
      </c>
      <c r="B853" s="118" t="e">
        <f t="shared" si="91"/>
        <v>#VALUE!</v>
      </c>
      <c r="C853" s="118" t="s">
        <v>612</v>
      </c>
      <c r="D853" s="113">
        <v>39716</v>
      </c>
      <c r="E853" s="84">
        <v>39783</v>
      </c>
      <c r="F853" s="84">
        <f t="shared" si="89"/>
        <v>43435</v>
      </c>
      <c r="G853" s="229">
        <v>1440</v>
      </c>
      <c r="H853" s="71" t="s">
        <v>3151</v>
      </c>
      <c r="I853" s="71" t="s">
        <v>1703</v>
      </c>
      <c r="J853" s="79"/>
      <c r="K853" s="55">
        <f t="shared" si="90"/>
        <v>2018</v>
      </c>
      <c r="L853" s="80"/>
      <c r="M853" s="80"/>
      <c r="N853" s="73" t="s">
        <v>1704</v>
      </c>
      <c r="O853" s="73" t="s">
        <v>3192</v>
      </c>
      <c r="P853" s="74" t="s">
        <v>3196</v>
      </c>
      <c r="Q853" s="95" t="s">
        <v>3197</v>
      </c>
      <c r="R853" s="230"/>
      <c r="S853" s="230"/>
      <c r="T853" s="230">
        <v>5180</v>
      </c>
      <c r="U853" s="231">
        <v>2880</v>
      </c>
      <c r="V853" s="230"/>
      <c r="W853" s="230"/>
      <c r="X853" s="231"/>
      <c r="Y853" s="85">
        <v>0.45</v>
      </c>
      <c r="Z853" s="85">
        <v>0.1</v>
      </c>
      <c r="AA853" s="76"/>
      <c r="AB853" s="77"/>
      <c r="AC853" s="78"/>
    </row>
    <row r="854" spans="1:29" ht="27" hidden="1" customHeight="1" x14ac:dyDescent="0.2">
      <c r="A854" s="117" t="s">
        <v>3198</v>
      </c>
      <c r="B854" s="118" t="e">
        <f t="shared" si="91"/>
        <v>#VALUE!</v>
      </c>
      <c r="C854" s="118" t="s">
        <v>612</v>
      </c>
      <c r="D854" s="113">
        <v>39716</v>
      </c>
      <c r="E854" s="84">
        <v>39783</v>
      </c>
      <c r="F854" s="84">
        <f t="shared" si="89"/>
        <v>43435</v>
      </c>
      <c r="G854" s="229">
        <v>965.65</v>
      </c>
      <c r="H854" s="71" t="s">
        <v>3199</v>
      </c>
      <c r="I854" s="71" t="s">
        <v>1703</v>
      </c>
      <c r="J854" s="79"/>
      <c r="K854" s="55">
        <f t="shared" si="90"/>
        <v>2018</v>
      </c>
      <c r="L854" s="80"/>
      <c r="M854" s="80"/>
      <c r="N854" s="73" t="s">
        <v>1704</v>
      </c>
      <c r="O854" s="73" t="s">
        <v>3200</v>
      </c>
      <c r="P854" s="74" t="s">
        <v>3201</v>
      </c>
      <c r="Q854" s="95" t="s">
        <v>3202</v>
      </c>
      <c r="R854" s="230"/>
      <c r="S854" s="230"/>
      <c r="T854" s="230">
        <v>3521</v>
      </c>
      <c r="U854" s="231">
        <v>1932</v>
      </c>
      <c r="V854" s="230"/>
      <c r="W854" s="230"/>
      <c r="X854" s="231"/>
      <c r="Y854" s="85">
        <v>0.45</v>
      </c>
      <c r="Z854" s="85">
        <v>0.1</v>
      </c>
      <c r="AA854" s="76"/>
      <c r="AB854" s="77"/>
      <c r="AC854" s="78"/>
    </row>
    <row r="855" spans="1:29" hidden="1" x14ac:dyDescent="0.2">
      <c r="A855" s="117" t="s">
        <v>3203</v>
      </c>
      <c r="B855" s="118" t="e">
        <f t="shared" si="91"/>
        <v>#VALUE!</v>
      </c>
      <c r="C855" s="118" t="s">
        <v>612</v>
      </c>
      <c r="D855" s="113">
        <v>39716</v>
      </c>
      <c r="E855" s="84">
        <v>39783</v>
      </c>
      <c r="F855" s="84">
        <f t="shared" si="89"/>
        <v>43435</v>
      </c>
      <c r="G855" s="229">
        <v>160</v>
      </c>
      <c r="H855" s="71" t="s">
        <v>3199</v>
      </c>
      <c r="I855" s="71" t="s">
        <v>1703</v>
      </c>
      <c r="J855" s="79"/>
      <c r="K855" s="55">
        <f t="shared" si="90"/>
        <v>2018</v>
      </c>
      <c r="L855" s="80"/>
      <c r="M855" s="80"/>
      <c r="N855" s="73" t="s">
        <v>1704</v>
      </c>
      <c r="O855" s="73" t="s">
        <v>3200</v>
      </c>
      <c r="P855" s="74" t="s">
        <v>3204</v>
      </c>
      <c r="Q855" s="95" t="s">
        <v>3205</v>
      </c>
      <c r="R855" s="230"/>
      <c r="S855" s="230"/>
      <c r="T855" s="230">
        <v>700</v>
      </c>
      <c r="U855" s="231">
        <v>320</v>
      </c>
      <c r="V855" s="230"/>
      <c r="W855" s="230"/>
      <c r="X855" s="231"/>
      <c r="Y855" s="85">
        <v>0.45</v>
      </c>
      <c r="Z855" s="85">
        <v>0.1</v>
      </c>
      <c r="AA855" s="76"/>
      <c r="AB855" s="77"/>
      <c r="AC855" s="78"/>
    </row>
    <row r="856" spans="1:29" hidden="1" x14ac:dyDescent="0.2">
      <c r="A856" s="117" t="s">
        <v>3206</v>
      </c>
      <c r="B856" s="118" t="e">
        <f t="shared" si="91"/>
        <v>#VALUE!</v>
      </c>
      <c r="C856" s="118" t="s">
        <v>612</v>
      </c>
      <c r="D856" s="113">
        <v>39716</v>
      </c>
      <c r="E856" s="84">
        <v>39783</v>
      </c>
      <c r="F856" s="84">
        <f t="shared" si="89"/>
        <v>43435</v>
      </c>
      <c r="G856" s="229">
        <v>966.62</v>
      </c>
      <c r="H856" s="71" t="s">
        <v>3199</v>
      </c>
      <c r="I856" s="71" t="s">
        <v>1703</v>
      </c>
      <c r="J856" s="79"/>
      <c r="K856" s="55">
        <f t="shared" si="90"/>
        <v>2018</v>
      </c>
      <c r="L856" s="80"/>
      <c r="M856" s="80"/>
      <c r="N856" s="73" t="s">
        <v>1704</v>
      </c>
      <c r="O856" s="73" t="s">
        <v>3207</v>
      </c>
      <c r="P856" s="74" t="s">
        <v>3208</v>
      </c>
      <c r="Q856" s="95" t="s">
        <v>3209</v>
      </c>
      <c r="R856" s="230"/>
      <c r="S856" s="230"/>
      <c r="T856" s="230">
        <v>3524.5</v>
      </c>
      <c r="U856" s="231">
        <v>1934</v>
      </c>
      <c r="V856" s="230"/>
      <c r="W856" s="230"/>
      <c r="X856" s="231"/>
      <c r="Y856" s="85">
        <v>0.45</v>
      </c>
      <c r="Z856" s="85">
        <v>0.1</v>
      </c>
      <c r="AA856" s="76"/>
      <c r="AB856" s="77"/>
      <c r="AC856" s="78"/>
    </row>
    <row r="857" spans="1:29" ht="27" hidden="1" customHeight="1" x14ac:dyDescent="0.2">
      <c r="A857" s="117" t="s">
        <v>3210</v>
      </c>
      <c r="B857" s="118" t="e">
        <f>IF(COUNTIF(GIS,A857),"YES","NO")</f>
        <v>#VALUE!</v>
      </c>
      <c r="C857" s="118" t="s">
        <v>612</v>
      </c>
      <c r="D857" s="113">
        <v>39716</v>
      </c>
      <c r="E857" s="84">
        <v>39783</v>
      </c>
      <c r="F857" s="84">
        <f t="shared" si="89"/>
        <v>43435</v>
      </c>
      <c r="G857" s="229">
        <v>640</v>
      </c>
      <c r="H857" s="71" t="s">
        <v>3199</v>
      </c>
      <c r="I857" s="71" t="s">
        <v>1703</v>
      </c>
      <c r="J857" s="79"/>
      <c r="K857" s="55">
        <f t="shared" si="90"/>
        <v>2018</v>
      </c>
      <c r="L857" s="80"/>
      <c r="M857" s="80"/>
      <c r="N857" s="73" t="s">
        <v>1704</v>
      </c>
      <c r="O857" s="73" t="s">
        <v>3211</v>
      </c>
      <c r="P857" s="74" t="s">
        <v>3212</v>
      </c>
      <c r="Q857" s="95" t="s">
        <v>3213</v>
      </c>
      <c r="R857" s="230"/>
      <c r="S857" s="230"/>
      <c r="T857" s="230">
        <v>2380</v>
      </c>
      <c r="U857" s="231">
        <v>1280</v>
      </c>
      <c r="V857" s="230"/>
      <c r="W857" s="230"/>
      <c r="X857" s="231"/>
      <c r="Y857" s="85">
        <v>0.45</v>
      </c>
      <c r="Z857" s="85">
        <v>0.1</v>
      </c>
      <c r="AA857" s="76"/>
      <c r="AB857" s="77"/>
      <c r="AC857" s="78"/>
    </row>
    <row r="858" spans="1:29" ht="27" hidden="1" customHeight="1" x14ac:dyDescent="0.2">
      <c r="A858" s="117" t="s">
        <v>3214</v>
      </c>
      <c r="B858" s="118" t="e">
        <f>IF(COUNTIF(GIS,A858),"YES","NO")</f>
        <v>#VALUE!</v>
      </c>
      <c r="C858" s="118" t="s">
        <v>612</v>
      </c>
      <c r="D858" s="113">
        <v>39716</v>
      </c>
      <c r="E858" s="84">
        <v>39783</v>
      </c>
      <c r="F858" s="84">
        <f t="shared" si="89"/>
        <v>43435</v>
      </c>
      <c r="G858" s="229">
        <v>640</v>
      </c>
      <c r="H858" s="71" t="s">
        <v>3199</v>
      </c>
      <c r="I858" s="71" t="s">
        <v>1703</v>
      </c>
      <c r="J858" s="79"/>
      <c r="K858" s="55">
        <f t="shared" si="90"/>
        <v>2018</v>
      </c>
      <c r="L858" s="80"/>
      <c r="M858" s="80"/>
      <c r="N858" s="73" t="s">
        <v>1704</v>
      </c>
      <c r="O858" s="73" t="s">
        <v>3211</v>
      </c>
      <c r="P858" s="74" t="s">
        <v>3215</v>
      </c>
      <c r="Q858" s="95" t="s">
        <v>3216</v>
      </c>
      <c r="R858" s="230"/>
      <c r="S858" s="230"/>
      <c r="T858" s="257">
        <v>2380</v>
      </c>
      <c r="U858" s="231">
        <v>1280</v>
      </c>
      <c r="V858" s="230"/>
      <c r="W858" s="230"/>
      <c r="X858" s="231"/>
      <c r="Y858" s="85">
        <v>0.45</v>
      </c>
      <c r="Z858" s="85">
        <v>0.1</v>
      </c>
      <c r="AA858" s="76"/>
      <c r="AB858" s="77"/>
      <c r="AC858" s="78"/>
    </row>
    <row r="859" spans="1:29" ht="15" hidden="1" customHeight="1" thickBot="1" x14ac:dyDescent="0.25">
      <c r="A859" s="117"/>
      <c r="D859" s="85"/>
      <c r="E859" s="84"/>
      <c r="F859" s="84"/>
      <c r="G859" s="229"/>
      <c r="H859" s="71"/>
      <c r="I859" s="71"/>
      <c r="J859" s="79"/>
      <c r="K859" s="79"/>
      <c r="L859" s="80"/>
      <c r="M859" s="80"/>
      <c r="N859" s="73"/>
      <c r="O859" s="73"/>
      <c r="P859" s="74"/>
      <c r="Q859" s="95"/>
      <c r="R859" s="230"/>
      <c r="S859" s="230"/>
      <c r="T859" s="241">
        <v>364282</v>
      </c>
      <c r="U859" s="231"/>
      <c r="V859" s="230"/>
      <c r="W859" s="230"/>
      <c r="X859" s="231"/>
      <c r="Y859" s="71"/>
      <c r="Z859" s="71"/>
      <c r="AA859" s="96"/>
      <c r="AB859" s="77"/>
      <c r="AC859" s="78"/>
    </row>
    <row r="860" spans="1:29" hidden="1" x14ac:dyDescent="0.2">
      <c r="A860" s="117"/>
      <c r="D860" s="85"/>
      <c r="E860" s="84"/>
      <c r="F860" s="84"/>
      <c r="G860" s="229"/>
      <c r="H860" s="71"/>
      <c r="I860" s="71"/>
      <c r="J860" s="79"/>
      <c r="K860" s="79"/>
      <c r="L860" s="80"/>
      <c r="M860" s="80"/>
      <c r="N860" s="73"/>
      <c r="O860" s="73"/>
      <c r="P860" s="74"/>
      <c r="Q860" s="95"/>
      <c r="R860" s="230"/>
      <c r="S860" s="230" t="s">
        <v>3217</v>
      </c>
      <c r="T860" s="230">
        <v>99000</v>
      </c>
      <c r="U860" s="231"/>
      <c r="V860" s="230"/>
      <c r="W860" s="230"/>
      <c r="X860" s="231"/>
      <c r="Y860" s="71"/>
      <c r="Z860" s="71"/>
      <c r="AA860" s="96"/>
      <c r="AB860" s="77"/>
      <c r="AC860" s="78"/>
    </row>
    <row r="861" spans="1:29" hidden="1" x14ac:dyDescent="0.2">
      <c r="A861" s="117"/>
      <c r="D861" s="85"/>
      <c r="E861" s="84"/>
      <c r="F861" s="84"/>
      <c r="G861" s="229"/>
      <c r="H861" s="71"/>
      <c r="I861" s="71"/>
      <c r="J861" s="79"/>
      <c r="K861" s="79"/>
      <c r="L861" s="80"/>
      <c r="M861" s="80"/>
      <c r="N861" s="73"/>
      <c r="O861" s="73"/>
      <c r="P861" s="74"/>
      <c r="Q861" s="95"/>
      <c r="R861" s="230"/>
      <c r="S861" s="230" t="s">
        <v>3218</v>
      </c>
      <c r="T861" s="230">
        <v>265282</v>
      </c>
      <c r="U861" s="231"/>
      <c r="V861" s="230"/>
      <c r="W861" s="230"/>
      <c r="X861" s="231"/>
      <c r="Y861" s="71"/>
      <c r="Z861" s="71"/>
      <c r="AA861" s="96"/>
      <c r="AB861" s="77"/>
      <c r="AC861" s="78"/>
    </row>
    <row r="862" spans="1:29" hidden="1" x14ac:dyDescent="0.2">
      <c r="A862" s="117"/>
      <c r="D862" s="113"/>
      <c r="E862" s="84"/>
      <c r="F862" s="84"/>
      <c r="G862" s="229"/>
      <c r="H862" s="71"/>
      <c r="I862" s="71"/>
      <c r="J862" s="79"/>
      <c r="K862" s="79"/>
      <c r="L862" s="80"/>
      <c r="M862" s="80"/>
      <c r="N862" s="73"/>
      <c r="O862" s="73"/>
      <c r="P862" s="74"/>
      <c r="Q862" s="75"/>
      <c r="R862" s="230"/>
      <c r="S862" s="230"/>
      <c r="T862" s="230"/>
      <c r="U862" s="231"/>
      <c r="V862" s="230"/>
      <c r="W862" s="230"/>
      <c r="X862" s="231"/>
      <c r="Y862" s="85"/>
      <c r="Z862" s="85"/>
      <c r="AA862" s="76"/>
      <c r="AB862" s="77"/>
      <c r="AC862" s="78"/>
    </row>
    <row r="863" spans="1:29" hidden="1" x14ac:dyDescent="0.2">
      <c r="A863" s="117"/>
      <c r="D863" s="113"/>
      <c r="E863" s="84"/>
      <c r="F863" s="84"/>
      <c r="G863" s="229"/>
      <c r="H863" s="71"/>
      <c r="I863" s="71"/>
      <c r="J863" s="79"/>
      <c r="K863" s="79"/>
      <c r="L863" s="80"/>
      <c r="M863" s="80"/>
      <c r="N863" s="73"/>
      <c r="O863" s="73"/>
      <c r="P863" s="74"/>
      <c r="Q863" s="75"/>
      <c r="R863" s="230"/>
      <c r="S863" s="230"/>
      <c r="T863" s="230"/>
      <c r="U863" s="231"/>
      <c r="V863" s="230"/>
      <c r="W863" s="230"/>
      <c r="X863" s="231"/>
      <c r="Y863" s="85"/>
      <c r="Z863" s="85"/>
      <c r="AA863" s="76"/>
      <c r="AB863" s="77"/>
      <c r="AC863" s="78"/>
    </row>
    <row r="864" spans="1:29" x14ac:dyDescent="0.2">
      <c r="A864" s="117" t="s">
        <v>3219</v>
      </c>
      <c r="B864" s="118" t="e">
        <f t="shared" ref="B864:B872" si="92">IF(COUNTIF(GIS,A864),"YES","NO")</f>
        <v>#VALUE!</v>
      </c>
      <c r="C864" s="118" t="s">
        <v>612</v>
      </c>
      <c r="D864" s="113">
        <v>39743</v>
      </c>
      <c r="E864" s="84">
        <v>39814</v>
      </c>
      <c r="F864" s="84">
        <f t="shared" ref="F864:F872" si="93">DATE(YEAR(E864)+10,MONTH(E864),DAY(E864))</f>
        <v>43466</v>
      </c>
      <c r="G864" s="229">
        <v>435.6</v>
      </c>
      <c r="H864" s="71" t="s">
        <v>3220</v>
      </c>
      <c r="I864" s="71" t="s">
        <v>614</v>
      </c>
      <c r="J864" s="238" t="s">
        <v>3221</v>
      </c>
      <c r="K864" s="55">
        <f t="shared" ref="K864:K872" si="94">YEAR(F864)</f>
        <v>2019</v>
      </c>
      <c r="L864" s="239"/>
      <c r="M864" s="239"/>
      <c r="N864" s="252"/>
      <c r="O864" s="73" t="s">
        <v>3222</v>
      </c>
      <c r="P864" s="74"/>
      <c r="Q864" s="75" t="s">
        <v>3223</v>
      </c>
      <c r="T864" s="230">
        <v>9117</v>
      </c>
      <c r="U864" s="231">
        <v>654</v>
      </c>
      <c r="V864" s="230"/>
      <c r="W864" s="230"/>
      <c r="X864" s="231"/>
      <c r="Y864" s="258">
        <v>0.22500000000000001</v>
      </c>
      <c r="Z864" s="258">
        <v>0.05</v>
      </c>
      <c r="AA864" s="259"/>
      <c r="AB864" s="77"/>
      <c r="AC864" s="78"/>
    </row>
    <row r="865" spans="1:29" ht="27" customHeight="1" x14ac:dyDescent="0.2">
      <c r="A865" s="117" t="s">
        <v>3224</v>
      </c>
      <c r="B865" s="118" t="e">
        <f t="shared" si="92"/>
        <v>#VALUE!</v>
      </c>
      <c r="C865" s="118" t="s">
        <v>612</v>
      </c>
      <c r="D865" s="113">
        <v>39743</v>
      </c>
      <c r="E865" s="84">
        <v>39814</v>
      </c>
      <c r="F865" s="84">
        <f t="shared" si="93"/>
        <v>43466</v>
      </c>
      <c r="G865" s="229">
        <v>491.7</v>
      </c>
      <c r="H865" s="71" t="s">
        <v>3220</v>
      </c>
      <c r="I865" s="71" t="s">
        <v>614</v>
      </c>
      <c r="J865" s="238" t="s">
        <v>3225</v>
      </c>
      <c r="K865" s="55">
        <f t="shared" si="94"/>
        <v>2019</v>
      </c>
      <c r="L865" s="239"/>
      <c r="M865" s="239"/>
      <c r="N865" s="252"/>
      <c r="O865" s="73" t="s">
        <v>3226</v>
      </c>
      <c r="P865" s="74"/>
      <c r="Q865" s="75" t="s">
        <v>3227</v>
      </c>
      <c r="T865" s="230">
        <v>10279</v>
      </c>
      <c r="U865" s="231">
        <v>738</v>
      </c>
      <c r="V865" s="230"/>
      <c r="W865" s="230"/>
      <c r="X865" s="231"/>
      <c r="Y865" s="258">
        <v>0.22500000000000001</v>
      </c>
      <c r="Z865" s="258">
        <v>0.05</v>
      </c>
      <c r="AA865" s="259"/>
      <c r="AB865" s="77"/>
      <c r="AC865" s="78"/>
    </row>
    <row r="866" spans="1:29" ht="27" customHeight="1" x14ac:dyDescent="0.2">
      <c r="A866" s="117" t="s">
        <v>3228</v>
      </c>
      <c r="B866" s="118" t="e">
        <f t="shared" si="92"/>
        <v>#VALUE!</v>
      </c>
      <c r="C866" s="118" t="s">
        <v>612</v>
      </c>
      <c r="D866" s="113">
        <v>39743</v>
      </c>
      <c r="E866" s="84">
        <v>39814</v>
      </c>
      <c r="F866" s="84">
        <f t="shared" si="93"/>
        <v>43466</v>
      </c>
      <c r="G866" s="229">
        <v>1479.5</v>
      </c>
      <c r="H866" s="71" t="s">
        <v>3220</v>
      </c>
      <c r="I866" s="71" t="s">
        <v>614</v>
      </c>
      <c r="J866" s="238" t="s">
        <v>3221</v>
      </c>
      <c r="K866" s="55">
        <f t="shared" si="94"/>
        <v>2019</v>
      </c>
      <c r="L866" s="239"/>
      <c r="M866" s="239"/>
      <c r="N866" s="252"/>
      <c r="O866" s="73" t="s">
        <v>3229</v>
      </c>
      <c r="P866" s="74"/>
      <c r="Q866" s="75" t="s">
        <v>3230</v>
      </c>
      <c r="T866" s="230">
        <v>38180</v>
      </c>
      <c r="U866" s="231">
        <v>2220</v>
      </c>
      <c r="V866" s="230"/>
      <c r="W866" s="230"/>
      <c r="X866" s="231"/>
      <c r="Y866" s="258">
        <v>0.22500000000000001</v>
      </c>
      <c r="Z866" s="258">
        <v>0.05</v>
      </c>
      <c r="AA866" s="259"/>
      <c r="AB866" s="77"/>
      <c r="AC866" s="78"/>
    </row>
    <row r="867" spans="1:29" ht="27" customHeight="1" x14ac:dyDescent="0.2">
      <c r="A867" s="117" t="s">
        <v>3231</v>
      </c>
      <c r="B867" s="118" t="e">
        <f t="shared" si="92"/>
        <v>#VALUE!</v>
      </c>
      <c r="C867" s="118" t="s">
        <v>612</v>
      </c>
      <c r="D867" s="113">
        <v>39743</v>
      </c>
      <c r="E867" s="84">
        <v>39814</v>
      </c>
      <c r="F867" s="84">
        <f t="shared" si="93"/>
        <v>43466</v>
      </c>
      <c r="G867" s="229">
        <v>721.7</v>
      </c>
      <c r="H867" s="71" t="s">
        <v>3220</v>
      </c>
      <c r="I867" s="71" t="s">
        <v>614</v>
      </c>
      <c r="J867" s="238" t="s">
        <v>3225</v>
      </c>
      <c r="K867" s="55">
        <f t="shared" si="94"/>
        <v>2019</v>
      </c>
      <c r="L867" s="239"/>
      <c r="M867" s="239"/>
      <c r="N867" s="252"/>
      <c r="O867" s="73" t="s">
        <v>3232</v>
      </c>
      <c r="P867" s="74"/>
      <c r="Q867" s="75" t="s">
        <v>3233</v>
      </c>
      <c r="T867" s="230">
        <v>15051.5</v>
      </c>
      <c r="U867" s="231">
        <v>1083</v>
      </c>
      <c r="V867" s="230"/>
      <c r="W867" s="230"/>
      <c r="X867" s="231"/>
      <c r="Y867" s="258">
        <v>0.22500000000000001</v>
      </c>
      <c r="Z867" s="258">
        <v>0.05</v>
      </c>
      <c r="AA867" s="259"/>
      <c r="AB867" s="77"/>
      <c r="AC867" s="78"/>
    </row>
    <row r="868" spans="1:29" ht="27" customHeight="1" x14ac:dyDescent="0.2">
      <c r="A868" s="117" t="s">
        <v>3234</v>
      </c>
      <c r="B868" s="118" t="e">
        <f t="shared" si="92"/>
        <v>#VALUE!</v>
      </c>
      <c r="C868" s="118" t="s">
        <v>612</v>
      </c>
      <c r="D868" s="113">
        <v>39743</v>
      </c>
      <c r="E868" s="84">
        <v>39814</v>
      </c>
      <c r="F868" s="84">
        <f t="shared" si="93"/>
        <v>43466</v>
      </c>
      <c r="G868" s="229">
        <v>137.84</v>
      </c>
      <c r="H868" s="71" t="s">
        <v>3220</v>
      </c>
      <c r="I868" s="71" t="s">
        <v>614</v>
      </c>
      <c r="J868" s="238" t="s">
        <v>3221</v>
      </c>
      <c r="K868" s="55">
        <f t="shared" si="94"/>
        <v>2019</v>
      </c>
      <c r="L868" s="239"/>
      <c r="M868" s="239"/>
      <c r="N868" s="252"/>
      <c r="O868" s="73" t="s">
        <v>3235</v>
      </c>
      <c r="P868" s="74"/>
      <c r="Q868" s="75" t="s">
        <v>3236</v>
      </c>
      <c r="T868" s="230">
        <v>2243.5</v>
      </c>
      <c r="U868" s="231">
        <v>207</v>
      </c>
      <c r="V868" s="230"/>
      <c r="W868" s="230"/>
      <c r="X868" s="231"/>
      <c r="Y868" s="258">
        <v>0.22500000000000001</v>
      </c>
      <c r="Z868" s="258">
        <v>0.05</v>
      </c>
      <c r="AA868" s="259"/>
      <c r="AB868" s="77"/>
      <c r="AC868" s="78"/>
    </row>
    <row r="869" spans="1:29" x14ac:dyDescent="0.2">
      <c r="A869" s="117" t="s">
        <v>3237</v>
      </c>
      <c r="B869" s="118" t="e">
        <f t="shared" si="92"/>
        <v>#VALUE!</v>
      </c>
      <c r="C869" s="118" t="s">
        <v>612</v>
      </c>
      <c r="D869" s="113">
        <v>39743</v>
      </c>
      <c r="E869" s="84">
        <v>39814</v>
      </c>
      <c r="F869" s="84">
        <f t="shared" si="93"/>
        <v>43466</v>
      </c>
      <c r="G869" s="229">
        <v>18.23</v>
      </c>
      <c r="H869" s="71" t="s">
        <v>3220</v>
      </c>
      <c r="I869" s="71" t="s">
        <v>614</v>
      </c>
      <c r="J869" s="238" t="s">
        <v>3225</v>
      </c>
      <c r="K869" s="55">
        <f t="shared" si="94"/>
        <v>2019</v>
      </c>
      <c r="L869" s="239"/>
      <c r="M869" s="239"/>
      <c r="N869" s="252"/>
      <c r="O869" s="73" t="s">
        <v>3238</v>
      </c>
      <c r="P869" s="74"/>
      <c r="Q869" s="75" t="s">
        <v>3239</v>
      </c>
      <c r="T869" s="230">
        <v>103.25</v>
      </c>
      <c r="U869" s="231">
        <v>28.5</v>
      </c>
      <c r="V869" s="230"/>
      <c r="W869" s="230"/>
      <c r="X869" s="231"/>
      <c r="Y869" s="258">
        <v>0.22500000000000001</v>
      </c>
      <c r="Z869" s="258">
        <v>0.05</v>
      </c>
      <c r="AA869" s="259"/>
      <c r="AB869" s="77"/>
      <c r="AC869" s="78"/>
    </row>
    <row r="870" spans="1:29" x14ac:dyDescent="0.2">
      <c r="A870" s="117" t="s">
        <v>3240</v>
      </c>
      <c r="B870" s="118" t="e">
        <f t="shared" si="92"/>
        <v>#VALUE!</v>
      </c>
      <c r="C870" s="118" t="s">
        <v>612</v>
      </c>
      <c r="D870" s="113">
        <v>39743</v>
      </c>
      <c r="E870" s="84">
        <v>39814</v>
      </c>
      <c r="F870" s="84">
        <f t="shared" si="93"/>
        <v>43466</v>
      </c>
      <c r="G870" s="229">
        <v>266.2</v>
      </c>
      <c r="H870" s="71" t="s">
        <v>3220</v>
      </c>
      <c r="I870" s="71" t="s">
        <v>614</v>
      </c>
      <c r="J870" s="238" t="s">
        <v>3221</v>
      </c>
      <c r="K870" s="55">
        <f t="shared" si="94"/>
        <v>2019</v>
      </c>
      <c r="L870" s="239"/>
      <c r="M870" s="239"/>
      <c r="N870" s="252"/>
      <c r="O870" s="73" t="s">
        <v>3241</v>
      </c>
      <c r="P870" s="74"/>
      <c r="Q870" s="75" t="s">
        <v>3242</v>
      </c>
      <c r="T870" s="230">
        <v>5610.25</v>
      </c>
      <c r="U870" s="231">
        <v>400.5</v>
      </c>
      <c r="V870" s="230"/>
      <c r="W870" s="230"/>
      <c r="X870" s="231"/>
      <c r="Y870" s="258">
        <v>0.22500000000000001</v>
      </c>
      <c r="Z870" s="258">
        <v>0.05</v>
      </c>
      <c r="AA870" s="259"/>
      <c r="AB870" s="77"/>
      <c r="AC870" s="78"/>
    </row>
    <row r="871" spans="1:29" ht="29" x14ac:dyDescent="0.2">
      <c r="A871" s="117" t="s">
        <v>3243</v>
      </c>
      <c r="B871" s="118" t="e">
        <f t="shared" si="92"/>
        <v>#VALUE!</v>
      </c>
      <c r="C871" s="118" t="s">
        <v>612</v>
      </c>
      <c r="D871" s="113">
        <v>39743</v>
      </c>
      <c r="E871" s="84">
        <v>39814</v>
      </c>
      <c r="F871" s="84">
        <f t="shared" si="93"/>
        <v>43466</v>
      </c>
      <c r="G871" s="229">
        <v>50.65</v>
      </c>
      <c r="H871" s="71" t="s">
        <v>3220</v>
      </c>
      <c r="I871" s="71" t="s">
        <v>614</v>
      </c>
      <c r="J871" s="238" t="s">
        <v>3225</v>
      </c>
      <c r="K871" s="55">
        <f t="shared" si="94"/>
        <v>2019</v>
      </c>
      <c r="L871" s="239"/>
      <c r="M871" s="239"/>
      <c r="N871" s="252"/>
      <c r="O871" s="73" t="s">
        <v>3244</v>
      </c>
      <c r="P871" s="74"/>
      <c r="Q871" s="75" t="s">
        <v>3245</v>
      </c>
      <c r="T871" s="230">
        <v>873.25</v>
      </c>
      <c r="U871" s="231">
        <v>76.5</v>
      </c>
      <c r="V871" s="230"/>
      <c r="W871" s="230"/>
      <c r="X871" s="231"/>
      <c r="Y871" s="258">
        <v>0.22500000000000001</v>
      </c>
      <c r="Z871" s="258">
        <v>0.05</v>
      </c>
      <c r="AA871" s="259"/>
      <c r="AB871" s="77"/>
      <c r="AC871" s="78"/>
    </row>
    <row r="872" spans="1:29" ht="27" customHeight="1" x14ac:dyDescent="0.2">
      <c r="A872" s="117" t="s">
        <v>3246</v>
      </c>
      <c r="B872" s="118" t="e">
        <f t="shared" si="92"/>
        <v>#VALUE!</v>
      </c>
      <c r="C872" s="118" t="s">
        <v>612</v>
      </c>
      <c r="D872" s="113">
        <v>39743</v>
      </c>
      <c r="E872" s="84">
        <v>39814</v>
      </c>
      <c r="F872" s="84">
        <f t="shared" si="93"/>
        <v>43466</v>
      </c>
      <c r="G872" s="229">
        <v>132.69999999999999</v>
      </c>
      <c r="H872" s="71" t="s">
        <v>3220</v>
      </c>
      <c r="I872" s="71" t="s">
        <v>614</v>
      </c>
      <c r="J872" s="238" t="s">
        <v>3221</v>
      </c>
      <c r="K872" s="55">
        <f t="shared" si="94"/>
        <v>2019</v>
      </c>
      <c r="L872" s="239"/>
      <c r="M872" s="239"/>
      <c r="N872" s="252"/>
      <c r="O872" s="73" t="s">
        <v>3247</v>
      </c>
      <c r="P872" s="74"/>
      <c r="Q872" s="75" t="s">
        <v>3248</v>
      </c>
      <c r="T872" s="230">
        <v>2164.75</v>
      </c>
      <c r="U872" s="231">
        <v>199.5</v>
      </c>
      <c r="V872" s="230"/>
      <c r="W872" s="230"/>
      <c r="X872" s="231"/>
      <c r="Y872" s="258">
        <v>0.22500000000000001</v>
      </c>
      <c r="Z872" s="258">
        <v>0.05</v>
      </c>
      <c r="AA872" s="259"/>
      <c r="AB872" s="77"/>
      <c r="AC872" s="78"/>
    </row>
    <row r="873" spans="1:29" ht="15" hidden="1" customHeight="1" thickBot="1" x14ac:dyDescent="0.25">
      <c r="A873" s="117"/>
      <c r="D873" s="113"/>
      <c r="E873" s="84"/>
      <c r="F873" s="84"/>
      <c r="G873" s="229"/>
      <c r="H873" s="71"/>
      <c r="I873" s="71"/>
      <c r="J873" s="79"/>
      <c r="K873" s="79"/>
      <c r="L873" s="80"/>
      <c r="M873" s="80"/>
      <c r="N873" s="73"/>
      <c r="O873" s="73"/>
      <c r="P873" s="74"/>
      <c r="Q873" s="75"/>
      <c r="R873" s="230"/>
      <c r="S873" s="230"/>
      <c r="T873" s="241">
        <v>83622.5</v>
      </c>
      <c r="U873" s="231"/>
      <c r="V873" s="230"/>
      <c r="W873" s="230"/>
      <c r="X873" s="231"/>
      <c r="Y873" s="258"/>
      <c r="Z873" s="258"/>
      <c r="AA873" s="259"/>
      <c r="AB873" s="77"/>
      <c r="AC873" s="78"/>
    </row>
    <row r="874" spans="1:29" hidden="1" x14ac:dyDescent="0.2">
      <c r="A874" s="117"/>
      <c r="D874" s="113"/>
      <c r="E874" s="84"/>
      <c r="F874" s="84"/>
      <c r="G874" s="229"/>
      <c r="H874" s="71"/>
      <c r="I874" s="71"/>
      <c r="J874" s="79"/>
      <c r="K874" s="79"/>
      <c r="L874" s="80"/>
      <c r="M874" s="80"/>
      <c r="N874" s="73"/>
      <c r="O874" s="73"/>
      <c r="P874" s="74"/>
      <c r="Q874" s="75"/>
      <c r="R874" s="230"/>
      <c r="S874" s="230"/>
      <c r="T874" s="230"/>
      <c r="U874" s="231"/>
      <c r="V874" s="230"/>
      <c r="W874" s="230"/>
      <c r="X874" s="231"/>
      <c r="Y874" s="258"/>
      <c r="Z874" s="258"/>
      <c r="AA874" s="259"/>
      <c r="AB874" s="77"/>
      <c r="AC874" s="78"/>
    </row>
    <row r="875" spans="1:29" hidden="1" x14ac:dyDescent="0.2">
      <c r="A875" s="117"/>
      <c r="D875" s="97"/>
      <c r="E875" s="98"/>
      <c r="F875" s="84"/>
      <c r="G875" s="229"/>
      <c r="H875" s="71"/>
      <c r="I875" s="71"/>
      <c r="J875" s="79"/>
      <c r="K875" s="79"/>
      <c r="L875" s="80"/>
      <c r="M875" s="80"/>
      <c r="N875" s="73"/>
      <c r="O875" s="73"/>
      <c r="P875" s="74"/>
      <c r="Q875" s="75"/>
      <c r="R875" s="230" t="s">
        <v>3249</v>
      </c>
      <c r="T875" s="230">
        <v>-1448</v>
      </c>
      <c r="U875" s="231"/>
      <c r="V875" s="230"/>
      <c r="W875" s="230"/>
      <c r="X875" s="231"/>
      <c r="Y875" s="258"/>
      <c r="Z875" s="258"/>
      <c r="AA875" s="259"/>
      <c r="AB875" s="77"/>
      <c r="AC875" s="78"/>
    </row>
    <row r="876" spans="1:29" hidden="1" x14ac:dyDescent="0.2">
      <c r="A876" s="117"/>
      <c r="D876" s="113"/>
      <c r="E876" s="84"/>
      <c r="F876" s="84"/>
      <c r="G876" s="229"/>
      <c r="H876" s="71"/>
      <c r="I876" s="71"/>
      <c r="J876" s="79"/>
      <c r="K876" s="79"/>
      <c r="L876" s="80"/>
      <c r="M876" s="80"/>
      <c r="N876" s="73"/>
      <c r="O876" s="73"/>
      <c r="P876" s="74"/>
      <c r="Q876" s="75"/>
      <c r="R876" s="230"/>
      <c r="S876" s="230"/>
      <c r="T876" s="230"/>
      <c r="U876" s="231"/>
      <c r="V876" s="230"/>
      <c r="W876" s="230"/>
      <c r="X876" s="231"/>
      <c r="Y876" s="258"/>
      <c r="Z876" s="258"/>
      <c r="AA876" s="259"/>
      <c r="AB876" s="77"/>
      <c r="AC876" s="78"/>
    </row>
    <row r="877" spans="1:29" hidden="1" x14ac:dyDescent="0.2">
      <c r="A877" s="117"/>
      <c r="D877" s="113"/>
      <c r="E877" s="84"/>
      <c r="F877" s="84"/>
      <c r="G877" s="229"/>
      <c r="H877" s="71"/>
      <c r="I877" s="71"/>
      <c r="J877" s="79"/>
      <c r="K877" s="79"/>
      <c r="L877" s="80"/>
      <c r="M877" s="80"/>
      <c r="N877" s="73"/>
      <c r="O877" s="73"/>
      <c r="P877" s="74"/>
      <c r="Q877" s="75"/>
      <c r="R877" s="230"/>
      <c r="S877" s="230"/>
      <c r="T877" s="230"/>
      <c r="U877" s="231"/>
      <c r="V877" s="230"/>
      <c r="W877" s="230"/>
      <c r="X877" s="231"/>
      <c r="Y877" s="85"/>
      <c r="Z877" s="85"/>
      <c r="AA877" s="76"/>
      <c r="AB877" s="77"/>
      <c r="AC877" s="78"/>
    </row>
    <row r="878" spans="1:29" ht="40" customHeight="1" x14ac:dyDescent="0.2">
      <c r="A878" s="70" t="s">
        <v>3250</v>
      </c>
      <c r="B878" s="118" t="e">
        <f t="shared" ref="B878:B884" si="95">IF(COUNTIF(GIS,A878),"YES","NO")</f>
        <v>#VALUE!</v>
      </c>
      <c r="C878" s="118" t="s">
        <v>612</v>
      </c>
      <c r="D878" s="113">
        <v>39800</v>
      </c>
      <c r="E878" s="84">
        <v>39845</v>
      </c>
      <c r="F878" s="84">
        <f t="shared" ref="F878:F884" si="96">DATE(YEAR(E878)+10,MONTH(E878),DAY(E878))</f>
        <v>43497</v>
      </c>
      <c r="G878" s="229">
        <v>160</v>
      </c>
      <c r="H878" s="71" t="s">
        <v>2821</v>
      </c>
      <c r="I878" s="71" t="s">
        <v>931</v>
      </c>
      <c r="J878" s="72" t="s">
        <v>3251</v>
      </c>
      <c r="K878" s="55">
        <f t="shared" ref="K878:K884" si="97">YEAR(F878)</f>
        <v>2019</v>
      </c>
      <c r="L878" s="72"/>
      <c r="M878" s="72"/>
      <c r="N878" s="73" t="s">
        <v>3252</v>
      </c>
      <c r="O878" s="73" t="s">
        <v>3253</v>
      </c>
      <c r="P878" s="74" t="s">
        <v>3254</v>
      </c>
      <c r="Q878" s="75"/>
      <c r="R878" s="230"/>
      <c r="S878" s="230"/>
      <c r="T878" s="230">
        <v>1554</v>
      </c>
      <c r="U878" s="231">
        <v>320</v>
      </c>
      <c r="V878" s="230"/>
      <c r="W878" s="230"/>
      <c r="X878" s="231"/>
      <c r="Y878" s="85">
        <v>0.45</v>
      </c>
      <c r="Z878" s="85">
        <v>0.1</v>
      </c>
      <c r="AA878" s="76"/>
      <c r="AB878" s="77"/>
      <c r="AC878" s="78"/>
    </row>
    <row r="879" spans="1:29" x14ac:dyDescent="0.2">
      <c r="A879" s="117" t="s">
        <v>3255</v>
      </c>
      <c r="B879" s="118" t="e">
        <f t="shared" si="95"/>
        <v>#VALUE!</v>
      </c>
      <c r="C879" s="118" t="s">
        <v>612</v>
      </c>
      <c r="D879" s="113">
        <v>39800</v>
      </c>
      <c r="E879" s="84">
        <v>39845</v>
      </c>
      <c r="F879" s="84">
        <f t="shared" si="96"/>
        <v>43497</v>
      </c>
      <c r="G879" s="229">
        <v>640</v>
      </c>
      <c r="H879" s="71" t="s">
        <v>2821</v>
      </c>
      <c r="I879" s="71" t="s">
        <v>931</v>
      </c>
      <c r="J879" s="79"/>
      <c r="K879" s="55">
        <f t="shared" si="97"/>
        <v>2019</v>
      </c>
      <c r="L879" s="80"/>
      <c r="M879" s="80"/>
      <c r="N879" s="73" t="s">
        <v>3252</v>
      </c>
      <c r="O879" s="73" t="s">
        <v>3253</v>
      </c>
      <c r="P879" s="74" t="s">
        <v>3256</v>
      </c>
      <c r="Q879" s="75"/>
      <c r="R879" s="230"/>
      <c r="S879" s="230"/>
      <c r="T879" s="230">
        <v>3020</v>
      </c>
      <c r="U879" s="231">
        <v>1280</v>
      </c>
      <c r="V879" s="230"/>
      <c r="W879" s="230"/>
      <c r="X879" s="231"/>
      <c r="Y879" s="85">
        <v>0.45</v>
      </c>
      <c r="Z879" s="85">
        <v>0.1</v>
      </c>
      <c r="AA879" s="76"/>
      <c r="AB879" s="77"/>
      <c r="AC879" s="78"/>
    </row>
    <row r="880" spans="1:29" x14ac:dyDescent="0.2">
      <c r="A880" s="117" t="s">
        <v>3257</v>
      </c>
      <c r="B880" s="118" t="e">
        <f t="shared" si="95"/>
        <v>#VALUE!</v>
      </c>
      <c r="C880" s="118" t="s">
        <v>612</v>
      </c>
      <c r="D880" s="113">
        <v>39800</v>
      </c>
      <c r="E880" s="84">
        <v>39845</v>
      </c>
      <c r="F880" s="84">
        <f t="shared" si="96"/>
        <v>43497</v>
      </c>
      <c r="G880" s="229">
        <v>160</v>
      </c>
      <c r="H880" s="71" t="s">
        <v>3258</v>
      </c>
      <c r="I880" s="71" t="s">
        <v>931</v>
      </c>
      <c r="J880" s="79"/>
      <c r="K880" s="55">
        <f t="shared" si="97"/>
        <v>2019</v>
      </c>
      <c r="L880" s="80"/>
      <c r="M880" s="80"/>
      <c r="N880" s="73" t="s">
        <v>3259</v>
      </c>
      <c r="O880" s="73" t="s">
        <v>3260</v>
      </c>
      <c r="P880" s="74" t="s">
        <v>3261</v>
      </c>
      <c r="Q880" s="75"/>
      <c r="R880" s="230"/>
      <c r="S880" s="230"/>
      <c r="T880" s="230">
        <v>860</v>
      </c>
      <c r="U880" s="231">
        <v>320</v>
      </c>
      <c r="V880" s="230"/>
      <c r="W880" s="230"/>
      <c r="X880" s="231"/>
      <c r="Y880" s="85">
        <v>0.45</v>
      </c>
      <c r="Z880" s="85">
        <v>0.1</v>
      </c>
      <c r="AA880" s="76"/>
      <c r="AB880" s="77"/>
      <c r="AC880" s="78"/>
    </row>
    <row r="881" spans="1:29" x14ac:dyDescent="0.2">
      <c r="A881" s="117" t="s">
        <v>3262</v>
      </c>
      <c r="B881" s="118" t="e">
        <f t="shared" si="95"/>
        <v>#VALUE!</v>
      </c>
      <c r="C881" s="118" t="s">
        <v>612</v>
      </c>
      <c r="D881" s="113">
        <v>39800</v>
      </c>
      <c r="E881" s="84">
        <v>39845</v>
      </c>
      <c r="F881" s="84">
        <f t="shared" si="96"/>
        <v>43497</v>
      </c>
      <c r="G881" s="229">
        <v>2167.33</v>
      </c>
      <c r="H881" s="71" t="s">
        <v>3263</v>
      </c>
      <c r="I881" s="71" t="s">
        <v>3264</v>
      </c>
      <c r="J881" s="79"/>
      <c r="K881" s="55">
        <f t="shared" si="97"/>
        <v>2019</v>
      </c>
      <c r="L881" s="80"/>
      <c r="M881" s="80"/>
      <c r="N881" s="73" t="s">
        <v>3265</v>
      </c>
      <c r="O881" s="73" t="s">
        <v>3075</v>
      </c>
      <c r="P881" s="74" t="s">
        <v>3075</v>
      </c>
      <c r="Q881" s="75"/>
      <c r="R881" s="230"/>
      <c r="S881" s="230"/>
      <c r="T881" s="230">
        <v>7728</v>
      </c>
      <c r="U881" s="231">
        <v>4336</v>
      </c>
      <c r="V881" s="230"/>
      <c r="W881" s="230"/>
      <c r="X881" s="231"/>
      <c r="Y881" s="85">
        <v>0.45</v>
      </c>
      <c r="Z881" s="85">
        <v>0.1</v>
      </c>
      <c r="AA881" s="76"/>
      <c r="AB881" s="77"/>
      <c r="AC881" s="78"/>
    </row>
    <row r="882" spans="1:29" x14ac:dyDescent="0.2">
      <c r="A882" s="117" t="s">
        <v>3266</v>
      </c>
      <c r="B882" s="118" t="e">
        <f t="shared" si="95"/>
        <v>#VALUE!</v>
      </c>
      <c r="C882" s="118" t="s">
        <v>612</v>
      </c>
      <c r="D882" s="113">
        <v>39800</v>
      </c>
      <c r="E882" s="84">
        <v>39845</v>
      </c>
      <c r="F882" s="84">
        <f t="shared" si="96"/>
        <v>43497</v>
      </c>
      <c r="G882" s="229">
        <v>2388.6999999999998</v>
      </c>
      <c r="H882" s="71" t="s">
        <v>3263</v>
      </c>
      <c r="I882" s="71" t="s">
        <v>3264</v>
      </c>
      <c r="J882" s="79"/>
      <c r="K882" s="55">
        <f t="shared" si="97"/>
        <v>2019</v>
      </c>
      <c r="L882" s="80"/>
      <c r="M882" s="80"/>
      <c r="N882" s="73" t="s">
        <v>3265</v>
      </c>
      <c r="O882" s="73" t="s">
        <v>3075</v>
      </c>
      <c r="P882" s="74" t="s">
        <v>3075</v>
      </c>
      <c r="Q882" s="75"/>
      <c r="R882" s="230"/>
      <c r="S882" s="230"/>
      <c r="T882" s="230">
        <v>8501.5</v>
      </c>
      <c r="U882" s="231">
        <v>4778</v>
      </c>
      <c r="V882" s="230"/>
      <c r="W882" s="230"/>
      <c r="X882" s="231"/>
      <c r="Y882" s="85">
        <v>0.45</v>
      </c>
      <c r="Z882" s="85">
        <v>0.1</v>
      </c>
      <c r="AA882" s="76"/>
      <c r="AB882" s="77"/>
      <c r="AC882" s="78"/>
    </row>
    <row r="883" spans="1:29" x14ac:dyDescent="0.2">
      <c r="A883" s="117" t="s">
        <v>3267</v>
      </c>
      <c r="B883" s="118" t="e">
        <f t="shared" si="95"/>
        <v>#VALUE!</v>
      </c>
      <c r="C883" s="118" t="s">
        <v>612</v>
      </c>
      <c r="D883" s="113">
        <v>39800</v>
      </c>
      <c r="E883" s="84">
        <v>39845</v>
      </c>
      <c r="F883" s="84">
        <f t="shared" si="96"/>
        <v>43497</v>
      </c>
      <c r="G883" s="229">
        <v>1133.46</v>
      </c>
      <c r="H883" s="71" t="s">
        <v>3258</v>
      </c>
      <c r="I883" s="71" t="s">
        <v>3264</v>
      </c>
      <c r="J883" s="79"/>
      <c r="K883" s="55">
        <f t="shared" si="97"/>
        <v>2019</v>
      </c>
      <c r="L883" s="80"/>
      <c r="M883" s="80"/>
      <c r="N883" s="73" t="s">
        <v>3265</v>
      </c>
      <c r="O883" s="73" t="s">
        <v>3268</v>
      </c>
      <c r="P883" s="74" t="s">
        <v>3269</v>
      </c>
      <c r="Q883" s="75"/>
      <c r="R883" s="230"/>
      <c r="S883" s="230"/>
      <c r="T883" s="230">
        <v>5243</v>
      </c>
      <c r="U883" s="231">
        <v>2268</v>
      </c>
      <c r="V883" s="230"/>
      <c r="W883" s="230"/>
      <c r="X883" s="231"/>
      <c r="Y883" s="85">
        <v>0.45</v>
      </c>
      <c r="Z883" s="85">
        <v>0.1</v>
      </c>
      <c r="AA883" s="76"/>
      <c r="AB883" s="77"/>
      <c r="AC883" s="78"/>
    </row>
    <row r="884" spans="1:29" x14ac:dyDescent="0.2">
      <c r="A884" s="117" t="s">
        <v>3270</v>
      </c>
      <c r="B884" s="118" t="e">
        <f t="shared" si="95"/>
        <v>#VALUE!</v>
      </c>
      <c r="C884" s="118" t="s">
        <v>612</v>
      </c>
      <c r="D884" s="113">
        <v>39800</v>
      </c>
      <c r="E884" s="84">
        <v>39845</v>
      </c>
      <c r="F884" s="84">
        <f t="shared" si="96"/>
        <v>43497</v>
      </c>
      <c r="G884" s="229">
        <v>2218.42</v>
      </c>
      <c r="H884" s="71" t="s">
        <v>3258</v>
      </c>
      <c r="I884" s="71" t="s">
        <v>3264</v>
      </c>
      <c r="J884" s="79"/>
      <c r="K884" s="55">
        <f t="shared" si="97"/>
        <v>2019</v>
      </c>
      <c r="L884" s="80"/>
      <c r="M884" s="80"/>
      <c r="N884" s="73" t="s">
        <v>3265</v>
      </c>
      <c r="O884" s="73" t="s">
        <v>3271</v>
      </c>
      <c r="P884" s="74" t="s">
        <v>3272</v>
      </c>
      <c r="Q884" s="75"/>
      <c r="R884" s="230"/>
      <c r="S884" s="230"/>
      <c r="T884" s="230">
        <v>10125.5</v>
      </c>
      <c r="U884" s="231">
        <v>4438</v>
      </c>
      <c r="V884" s="230"/>
      <c r="W884" s="230"/>
      <c r="X884" s="231"/>
      <c r="Y884" s="85">
        <v>0.45</v>
      </c>
      <c r="Z884" s="85">
        <v>0.1</v>
      </c>
      <c r="AA884" s="76"/>
      <c r="AB884" s="77"/>
      <c r="AC884" s="78"/>
    </row>
    <row r="885" spans="1:29" ht="15" hidden="1" customHeight="1" thickBot="1" x14ac:dyDescent="0.25">
      <c r="A885" s="117"/>
      <c r="D885" s="99"/>
      <c r="E885" s="103"/>
      <c r="F885" s="84"/>
      <c r="G885" s="229"/>
      <c r="H885" s="71"/>
      <c r="I885" s="71"/>
      <c r="J885" s="79"/>
      <c r="K885" s="79"/>
      <c r="L885" s="80"/>
      <c r="M885" s="80"/>
      <c r="N885" s="73"/>
      <c r="O885" s="73"/>
      <c r="P885" s="74"/>
      <c r="Q885" s="240"/>
      <c r="R885" s="230"/>
      <c r="S885" s="230"/>
      <c r="T885" s="241">
        <v>37032</v>
      </c>
      <c r="U885" s="231"/>
      <c r="V885" s="230"/>
      <c r="W885" s="230"/>
      <c r="X885" s="231"/>
      <c r="Y885" s="85"/>
      <c r="Z885" s="85"/>
      <c r="AA885" s="76"/>
      <c r="AB885" s="77"/>
      <c r="AC885" s="78"/>
    </row>
    <row r="886" spans="1:29" hidden="1" x14ac:dyDescent="0.2">
      <c r="A886" s="117"/>
      <c r="D886" s="99"/>
      <c r="E886" s="103"/>
      <c r="F886" s="84"/>
      <c r="G886" s="229"/>
      <c r="H886" s="71"/>
      <c r="I886" s="71"/>
      <c r="J886" s="79"/>
      <c r="K886" s="79"/>
      <c r="L886" s="80"/>
      <c r="M886" s="80"/>
      <c r="N886" s="73"/>
      <c r="O886" s="73"/>
      <c r="P886" s="74"/>
      <c r="Q886" s="240"/>
      <c r="R886" s="230"/>
      <c r="S886" s="230"/>
      <c r="T886" s="230"/>
      <c r="U886" s="231"/>
      <c r="V886" s="230"/>
      <c r="W886" s="230"/>
      <c r="X886" s="231"/>
      <c r="Y886" s="85"/>
      <c r="Z886" s="85"/>
      <c r="AA886" s="76"/>
      <c r="AB886" s="77"/>
      <c r="AC886" s="78"/>
    </row>
    <row r="887" spans="1:29" ht="15" hidden="1" customHeight="1" thickBot="1" x14ac:dyDescent="0.25">
      <c r="A887" s="117"/>
      <c r="D887" s="99"/>
      <c r="E887" s="103"/>
      <c r="F887" s="84"/>
      <c r="G887" s="229"/>
      <c r="H887" s="71"/>
      <c r="I887" s="71"/>
      <c r="J887" s="79"/>
      <c r="K887" s="79"/>
      <c r="L887" s="80"/>
      <c r="M887" s="80"/>
      <c r="N887" s="73"/>
      <c r="O887" s="73"/>
      <c r="P887" s="74"/>
      <c r="Q887" s="240" t="s">
        <v>3273</v>
      </c>
      <c r="R887" s="230"/>
      <c r="S887" s="230"/>
      <c r="T887" s="255">
        <v>16377761</v>
      </c>
      <c r="U887" s="231"/>
      <c r="V887" s="230"/>
      <c r="W887" s="230"/>
      <c r="X887" s="231"/>
      <c r="Y887" s="85"/>
      <c r="Z887" s="85"/>
      <c r="AA887" s="76"/>
      <c r="AB887" s="77"/>
      <c r="AC887" s="78"/>
    </row>
    <row r="888" spans="1:29" hidden="1" x14ac:dyDescent="0.2">
      <c r="A888" s="117"/>
      <c r="D888" s="99"/>
      <c r="E888" s="103"/>
      <c r="F888" s="84"/>
      <c r="G888" s="229"/>
      <c r="H888" s="71"/>
      <c r="I888" s="71"/>
      <c r="J888" s="79"/>
      <c r="K888" s="79"/>
      <c r="L888" s="80"/>
      <c r="M888" s="80"/>
      <c r="N888" s="73"/>
      <c r="O888" s="73"/>
      <c r="P888" s="74"/>
      <c r="Q888" s="240"/>
      <c r="R888" s="230"/>
      <c r="S888" s="230"/>
      <c r="T888" s="230"/>
      <c r="U888" s="231"/>
      <c r="V888" s="230"/>
      <c r="W888" s="230"/>
      <c r="X888" s="231"/>
      <c r="Y888" s="85"/>
      <c r="Z888" s="85"/>
      <c r="AA888" s="76"/>
      <c r="AB888" s="77"/>
      <c r="AC888" s="78"/>
    </row>
    <row r="889" spans="1:29" hidden="1" x14ac:dyDescent="0.2">
      <c r="A889" s="117"/>
      <c r="D889" s="71"/>
      <c r="E889" s="78"/>
      <c r="F889" s="84"/>
      <c r="G889" s="229"/>
      <c r="H889" s="71"/>
      <c r="I889" s="71"/>
      <c r="J889" s="79"/>
      <c r="K889" s="79"/>
      <c r="L889" s="80"/>
      <c r="M889" s="80"/>
      <c r="N889" s="73"/>
      <c r="O889" s="73"/>
      <c r="P889" s="74"/>
      <c r="Q889" s="75"/>
      <c r="R889" s="230"/>
      <c r="S889" s="230"/>
      <c r="T889" s="230"/>
      <c r="U889" s="231"/>
      <c r="V889" s="230"/>
      <c r="W889" s="230"/>
      <c r="X889" s="231"/>
      <c r="Y889" s="85"/>
      <c r="Z889" s="85"/>
      <c r="AA889" s="76"/>
      <c r="AB889" s="77"/>
      <c r="AC889" s="78"/>
    </row>
    <row r="890" spans="1:29" ht="66" customHeight="1" x14ac:dyDescent="0.2">
      <c r="A890" s="117" t="s">
        <v>3274</v>
      </c>
      <c r="B890" s="118" t="e">
        <f t="shared" ref="B890:B904" si="98">IF(COUNTIF(GIS,A890),"YES","NO")</f>
        <v>#VALUE!</v>
      </c>
      <c r="C890" s="118" t="s">
        <v>612</v>
      </c>
      <c r="D890" s="113">
        <v>39834</v>
      </c>
      <c r="E890" s="84">
        <v>39934</v>
      </c>
      <c r="F890" s="84">
        <f t="shared" ref="F890:F904" si="99">DATE(YEAR(E890)+10,MONTH(E890),DAY(E890))</f>
        <v>43586</v>
      </c>
      <c r="G890" s="229">
        <v>1360</v>
      </c>
      <c r="H890" s="71" t="s">
        <v>3275</v>
      </c>
      <c r="I890" s="71" t="s">
        <v>1147</v>
      </c>
      <c r="J890" s="79"/>
      <c r="K890" s="55">
        <f t="shared" ref="K890:K904" si="100">YEAR(F890)</f>
        <v>2019</v>
      </c>
      <c r="L890" s="80"/>
      <c r="M890" s="80"/>
      <c r="N890" s="73" t="s">
        <v>1132</v>
      </c>
      <c r="O890" s="73" t="s">
        <v>3276</v>
      </c>
      <c r="P890" s="74" t="s">
        <v>3277</v>
      </c>
      <c r="Q890" s="75"/>
      <c r="R890" s="230">
        <v>4900</v>
      </c>
      <c r="S890" s="230"/>
      <c r="T890" s="230">
        <v>4900</v>
      </c>
      <c r="U890" s="231">
        <v>2720</v>
      </c>
      <c r="V890" s="230"/>
      <c r="W890" s="230"/>
      <c r="X890" s="231"/>
      <c r="Y890" s="85">
        <v>0.45</v>
      </c>
      <c r="Z890" s="85">
        <v>0.1</v>
      </c>
      <c r="AA890" s="76"/>
      <c r="AB890" s="77"/>
      <c r="AC890" s="78"/>
    </row>
    <row r="891" spans="1:29" ht="53" customHeight="1" x14ac:dyDescent="0.2">
      <c r="A891" s="117" t="s">
        <v>3278</v>
      </c>
      <c r="B891" s="118" t="e">
        <f t="shared" si="98"/>
        <v>#VALUE!</v>
      </c>
      <c r="C891" s="118" t="s">
        <v>612</v>
      </c>
      <c r="D891" s="113">
        <v>39834</v>
      </c>
      <c r="E891" s="84">
        <v>39934</v>
      </c>
      <c r="F891" s="84">
        <f t="shared" si="99"/>
        <v>43586</v>
      </c>
      <c r="G891" s="229">
        <v>1344.58</v>
      </c>
      <c r="H891" s="71" t="s">
        <v>3275</v>
      </c>
      <c r="I891" s="71" t="s">
        <v>1147</v>
      </c>
      <c r="J891" s="79"/>
      <c r="K891" s="55">
        <f t="shared" si="100"/>
        <v>2019</v>
      </c>
      <c r="L891" s="80"/>
      <c r="M891" s="80"/>
      <c r="N891" s="73" t="s">
        <v>1132</v>
      </c>
      <c r="O891" s="73" t="s">
        <v>3276</v>
      </c>
      <c r="P891" s="74" t="s">
        <v>3279</v>
      </c>
      <c r="Q891" s="75"/>
      <c r="R891" s="230">
        <v>4847.5</v>
      </c>
      <c r="S891" s="230"/>
      <c r="T891" s="230">
        <v>4847.5</v>
      </c>
      <c r="U891" s="231">
        <v>2690</v>
      </c>
      <c r="V891" s="230"/>
      <c r="W891" s="230"/>
      <c r="X891" s="231"/>
      <c r="Y891" s="85">
        <v>0.45</v>
      </c>
      <c r="Z891" s="85">
        <v>0.1</v>
      </c>
      <c r="AA891" s="76"/>
      <c r="AB891" s="77"/>
      <c r="AC891" s="78"/>
    </row>
    <row r="892" spans="1:29" ht="40" customHeight="1" x14ac:dyDescent="0.2">
      <c r="A892" s="117" t="s">
        <v>3280</v>
      </c>
      <c r="B892" s="118" t="e">
        <f t="shared" si="98"/>
        <v>#VALUE!</v>
      </c>
      <c r="C892" s="118" t="s">
        <v>612</v>
      </c>
      <c r="D892" s="113">
        <v>39834</v>
      </c>
      <c r="E892" s="84">
        <v>39934</v>
      </c>
      <c r="F892" s="84">
        <f t="shared" si="99"/>
        <v>43586</v>
      </c>
      <c r="G892" s="229">
        <v>1359.65</v>
      </c>
      <c r="H892" s="71" t="s">
        <v>3281</v>
      </c>
      <c r="I892" s="71" t="s">
        <v>1147</v>
      </c>
      <c r="J892" s="79"/>
      <c r="K892" s="55">
        <f t="shared" si="100"/>
        <v>2019</v>
      </c>
      <c r="L892" s="80"/>
      <c r="M892" s="80"/>
      <c r="N892" s="73" t="s">
        <v>1132</v>
      </c>
      <c r="O892" s="73" t="s">
        <v>3282</v>
      </c>
      <c r="P892" s="74" t="s">
        <v>3283</v>
      </c>
      <c r="Q892" s="75"/>
      <c r="R892" s="230">
        <v>4900</v>
      </c>
      <c r="S892" s="230">
        <v>78880</v>
      </c>
      <c r="T892" s="230">
        <v>83780</v>
      </c>
      <c r="U892" s="231">
        <v>2720</v>
      </c>
      <c r="V892" s="230"/>
      <c r="W892" s="230"/>
      <c r="X892" s="231"/>
      <c r="Y892" s="85">
        <v>0.45</v>
      </c>
      <c r="Z892" s="85">
        <v>0.1</v>
      </c>
      <c r="AA892" s="76"/>
      <c r="AB892" s="77"/>
      <c r="AC892" s="78"/>
    </row>
    <row r="893" spans="1:29" x14ac:dyDescent="0.2">
      <c r="A893" s="117" t="s">
        <v>3284</v>
      </c>
      <c r="B893" s="118" t="e">
        <f t="shared" si="98"/>
        <v>#VALUE!</v>
      </c>
      <c r="C893" s="118" t="s">
        <v>612</v>
      </c>
      <c r="D893" s="113">
        <v>39834</v>
      </c>
      <c r="E893" s="84">
        <v>39934</v>
      </c>
      <c r="F893" s="84">
        <f t="shared" si="99"/>
        <v>43586</v>
      </c>
      <c r="G893" s="229">
        <v>160</v>
      </c>
      <c r="H893" s="71" t="s">
        <v>3285</v>
      </c>
      <c r="I893" s="71" t="s">
        <v>1147</v>
      </c>
      <c r="J893" s="79"/>
      <c r="K893" s="55">
        <f t="shared" si="100"/>
        <v>2019</v>
      </c>
      <c r="L893" s="80"/>
      <c r="M893" s="80"/>
      <c r="N893" s="73" t="s">
        <v>1132</v>
      </c>
      <c r="O893" s="73" t="s">
        <v>3286</v>
      </c>
      <c r="P893" s="74" t="s">
        <v>3287</v>
      </c>
      <c r="Q893" s="75"/>
      <c r="R893" s="230">
        <v>700</v>
      </c>
      <c r="S893" s="230">
        <v>7680</v>
      </c>
      <c r="T893" s="230">
        <v>8380</v>
      </c>
      <c r="U893" s="231">
        <v>320</v>
      </c>
      <c r="V893" s="230"/>
      <c r="W893" s="230"/>
      <c r="X893" s="231"/>
      <c r="Y893" s="85">
        <v>0.45</v>
      </c>
      <c r="Z893" s="85">
        <v>0.1</v>
      </c>
      <c r="AA893" s="76"/>
      <c r="AC893" s="78" t="s">
        <v>3288</v>
      </c>
    </row>
    <row r="894" spans="1:29" x14ac:dyDescent="0.2">
      <c r="A894" s="117" t="s">
        <v>3289</v>
      </c>
      <c r="B894" s="118" t="e">
        <f t="shared" si="98"/>
        <v>#VALUE!</v>
      </c>
      <c r="C894" s="118" t="s">
        <v>612</v>
      </c>
      <c r="D894" s="113">
        <v>39834</v>
      </c>
      <c r="E894" s="84">
        <v>39934</v>
      </c>
      <c r="F894" s="84">
        <f t="shared" si="99"/>
        <v>43586</v>
      </c>
      <c r="G894" s="229">
        <v>2060</v>
      </c>
      <c r="H894" s="71" t="s">
        <v>3290</v>
      </c>
      <c r="I894" s="71" t="s">
        <v>812</v>
      </c>
      <c r="J894" s="79"/>
      <c r="K894" s="55">
        <f t="shared" si="100"/>
        <v>2019</v>
      </c>
      <c r="L894" s="80"/>
      <c r="M894" s="80"/>
      <c r="N894" s="73" t="s">
        <v>3291</v>
      </c>
      <c r="O894" s="73" t="s">
        <v>3292</v>
      </c>
      <c r="P894" s="74" t="s">
        <v>3075</v>
      </c>
      <c r="Q894" s="75"/>
      <c r="R894" s="230">
        <v>7350</v>
      </c>
      <c r="S894" s="230"/>
      <c r="T894" s="230">
        <v>7350</v>
      </c>
      <c r="U894" s="231">
        <v>4120</v>
      </c>
      <c r="V894" s="230"/>
      <c r="W894" s="230"/>
      <c r="X894" s="231"/>
      <c r="Y894" s="85">
        <v>0.45</v>
      </c>
      <c r="Z894" s="85">
        <v>0.1</v>
      </c>
      <c r="AA894" s="76"/>
      <c r="AB894" s="77"/>
      <c r="AC894" s="78"/>
    </row>
    <row r="895" spans="1:29" ht="27" customHeight="1" x14ac:dyDescent="0.2">
      <c r="A895" s="117" t="s">
        <v>3293</v>
      </c>
      <c r="B895" s="118" t="e">
        <f t="shared" si="98"/>
        <v>#VALUE!</v>
      </c>
      <c r="C895" s="118" t="s">
        <v>612</v>
      </c>
      <c r="D895" s="113">
        <v>39834</v>
      </c>
      <c r="E895" s="84">
        <v>39934</v>
      </c>
      <c r="F895" s="84">
        <f t="shared" si="99"/>
        <v>43586</v>
      </c>
      <c r="G895" s="229">
        <v>168.22</v>
      </c>
      <c r="H895" s="71" t="s">
        <v>3294</v>
      </c>
      <c r="I895" s="71" t="s">
        <v>614</v>
      </c>
      <c r="J895" s="79"/>
      <c r="K895" s="55">
        <f t="shared" si="100"/>
        <v>2019</v>
      </c>
      <c r="L895" s="80"/>
      <c r="M895" s="80"/>
      <c r="N895" s="73" t="s">
        <v>3050</v>
      </c>
      <c r="O895" s="73" t="s">
        <v>3295</v>
      </c>
      <c r="P895" s="74" t="s">
        <v>3296</v>
      </c>
      <c r="Q895" s="75"/>
      <c r="R895" s="230">
        <v>731.5</v>
      </c>
      <c r="S895" s="230">
        <v>46137</v>
      </c>
      <c r="T895" s="230">
        <v>46868.5</v>
      </c>
      <c r="U895" s="231">
        <v>338</v>
      </c>
      <c r="V895" s="230"/>
      <c r="W895" s="230"/>
      <c r="X895" s="231"/>
      <c r="Y895" s="85">
        <v>0.45</v>
      </c>
      <c r="Z895" s="85">
        <v>0.1</v>
      </c>
      <c r="AA895" s="76"/>
      <c r="AB895" s="77" t="s">
        <v>1069</v>
      </c>
      <c r="AC895" s="78"/>
    </row>
    <row r="896" spans="1:29" ht="27" customHeight="1" x14ac:dyDescent="0.2">
      <c r="A896" s="117" t="s">
        <v>3297</v>
      </c>
      <c r="B896" s="118" t="e">
        <f t="shared" si="98"/>
        <v>#VALUE!</v>
      </c>
      <c r="C896" s="118" t="s">
        <v>612</v>
      </c>
      <c r="D896" s="113">
        <v>39834</v>
      </c>
      <c r="E896" s="84">
        <v>39934</v>
      </c>
      <c r="F896" s="84">
        <f t="shared" si="99"/>
        <v>43586</v>
      </c>
      <c r="G896" s="229">
        <v>169.1</v>
      </c>
      <c r="H896" s="71" t="s">
        <v>3298</v>
      </c>
      <c r="I896" s="71" t="s">
        <v>614</v>
      </c>
      <c r="J896" s="79"/>
      <c r="K896" s="55">
        <f t="shared" si="100"/>
        <v>2019</v>
      </c>
      <c r="L896" s="80"/>
      <c r="M896" s="80"/>
      <c r="N896" s="73" t="s">
        <v>3299</v>
      </c>
      <c r="O896" s="73" t="s">
        <v>3300</v>
      </c>
      <c r="P896" s="74"/>
      <c r="Q896" s="75"/>
      <c r="R896" s="230">
        <v>735</v>
      </c>
      <c r="S896" s="230">
        <v>55760</v>
      </c>
      <c r="T896" s="230">
        <v>56495</v>
      </c>
      <c r="U896" s="231">
        <v>340</v>
      </c>
      <c r="V896" s="230"/>
      <c r="W896" s="230"/>
      <c r="X896" s="231"/>
      <c r="Y896" s="85">
        <v>0.45</v>
      </c>
      <c r="Z896" s="85">
        <v>0.1</v>
      </c>
      <c r="AA896" s="76"/>
      <c r="AB896" s="77" t="s">
        <v>1069</v>
      </c>
      <c r="AC896" s="78"/>
    </row>
    <row r="897" spans="1:29" ht="27" customHeight="1" x14ac:dyDescent="0.2">
      <c r="A897" s="117" t="s">
        <v>3301</v>
      </c>
      <c r="B897" s="118" t="e">
        <f t="shared" si="98"/>
        <v>#VALUE!</v>
      </c>
      <c r="C897" s="118" t="s">
        <v>612</v>
      </c>
      <c r="D897" s="113">
        <v>39834</v>
      </c>
      <c r="E897" s="84">
        <v>39934</v>
      </c>
      <c r="F897" s="84">
        <f t="shared" si="99"/>
        <v>43586</v>
      </c>
      <c r="G897" s="229">
        <v>26.73</v>
      </c>
      <c r="H897" s="71" t="s">
        <v>3302</v>
      </c>
      <c r="I897" s="71" t="s">
        <v>614</v>
      </c>
      <c r="J897" s="79"/>
      <c r="K897" s="55">
        <f t="shared" si="100"/>
        <v>2019</v>
      </c>
      <c r="L897" s="80"/>
      <c r="M897" s="80"/>
      <c r="N897" s="73" t="s">
        <v>3299</v>
      </c>
      <c r="O897" s="73" t="s">
        <v>3303</v>
      </c>
      <c r="P897" s="74"/>
      <c r="Q897" s="75"/>
      <c r="R897" s="230">
        <v>234.5</v>
      </c>
      <c r="S897" s="230">
        <v>486</v>
      </c>
      <c r="T897" s="230">
        <v>720.5</v>
      </c>
      <c r="U897" s="231">
        <v>54</v>
      </c>
      <c r="V897" s="230"/>
      <c r="W897" s="230"/>
      <c r="X897" s="231"/>
      <c r="Y897" s="85">
        <v>0.45</v>
      </c>
      <c r="Z897" s="85">
        <v>0.1</v>
      </c>
      <c r="AA897" s="76"/>
      <c r="AB897" s="77" t="s">
        <v>1069</v>
      </c>
      <c r="AC897" s="78"/>
    </row>
    <row r="898" spans="1:29" ht="27" customHeight="1" x14ac:dyDescent="0.2">
      <c r="A898" s="117" t="s">
        <v>3304</v>
      </c>
      <c r="B898" s="118" t="e">
        <f t="shared" si="98"/>
        <v>#VALUE!</v>
      </c>
      <c r="C898" s="118" t="s">
        <v>612</v>
      </c>
      <c r="D898" s="113">
        <v>39834</v>
      </c>
      <c r="E898" s="84">
        <v>39934</v>
      </c>
      <c r="F898" s="84">
        <f t="shared" si="99"/>
        <v>43586</v>
      </c>
      <c r="G898" s="229">
        <v>1072.2</v>
      </c>
      <c r="H898" s="71" t="s">
        <v>3305</v>
      </c>
      <c r="I898" s="71" t="s">
        <v>614</v>
      </c>
      <c r="J898" s="79"/>
      <c r="K898" s="55">
        <f t="shared" si="100"/>
        <v>2019</v>
      </c>
      <c r="L898" s="80"/>
      <c r="M898" s="80"/>
      <c r="N898" s="73" t="s">
        <v>3306</v>
      </c>
      <c r="O898" s="73" t="s">
        <v>3307</v>
      </c>
      <c r="P898" s="74"/>
      <c r="Q898" s="75"/>
      <c r="R898" s="230">
        <v>3895.5</v>
      </c>
      <c r="S898" s="230">
        <v>62234</v>
      </c>
      <c r="T898" s="230">
        <v>66129.5</v>
      </c>
      <c r="U898" s="231">
        <v>2146</v>
      </c>
      <c r="V898" s="230"/>
      <c r="W898" s="230"/>
      <c r="X898" s="231"/>
      <c r="Y898" s="85">
        <v>0.45</v>
      </c>
      <c r="Z898" s="85">
        <v>0.1</v>
      </c>
      <c r="AA898" s="76"/>
      <c r="AB898" s="77"/>
      <c r="AC898" s="78" t="s">
        <v>3068</v>
      </c>
    </row>
    <row r="899" spans="1:29" ht="27" customHeight="1" x14ac:dyDescent="0.2">
      <c r="A899" s="117" t="s">
        <v>3308</v>
      </c>
      <c r="B899" s="118" t="e">
        <f t="shared" si="98"/>
        <v>#VALUE!</v>
      </c>
      <c r="C899" s="118" t="s">
        <v>612</v>
      </c>
      <c r="D899" s="113">
        <v>39834</v>
      </c>
      <c r="E899" s="84">
        <v>39934</v>
      </c>
      <c r="F899" s="84">
        <f t="shared" si="99"/>
        <v>43586</v>
      </c>
      <c r="G899" s="229">
        <v>2177.75</v>
      </c>
      <c r="H899" s="71" t="s">
        <v>3305</v>
      </c>
      <c r="I899" s="71" t="s">
        <v>614</v>
      </c>
      <c r="J899" s="79"/>
      <c r="K899" s="55">
        <f t="shared" si="100"/>
        <v>2019</v>
      </c>
      <c r="L899" s="80"/>
      <c r="M899" s="80"/>
      <c r="N899" s="73" t="s">
        <v>3306</v>
      </c>
      <c r="O899" s="73" t="s">
        <v>3309</v>
      </c>
      <c r="P899" s="74"/>
      <c r="Q899" s="75"/>
      <c r="R899" s="230">
        <v>7763</v>
      </c>
      <c r="S899" s="230">
        <v>169884</v>
      </c>
      <c r="T899" s="230">
        <v>177647</v>
      </c>
      <c r="U899" s="231">
        <v>4356</v>
      </c>
      <c r="V899" s="230"/>
      <c r="W899" s="230"/>
      <c r="X899" s="231"/>
      <c r="Y899" s="85">
        <v>0.45</v>
      </c>
      <c r="Z899" s="85">
        <v>0.1</v>
      </c>
      <c r="AA899" s="76"/>
      <c r="AB899" s="77"/>
      <c r="AC899" s="78" t="s">
        <v>3068</v>
      </c>
    </row>
    <row r="900" spans="1:29" ht="27" customHeight="1" x14ac:dyDescent="0.2">
      <c r="A900" s="117" t="s">
        <v>3310</v>
      </c>
      <c r="B900" s="118" t="e">
        <f t="shared" si="98"/>
        <v>#VALUE!</v>
      </c>
      <c r="C900" s="118" t="s">
        <v>612</v>
      </c>
      <c r="D900" s="113">
        <v>39834</v>
      </c>
      <c r="E900" s="84">
        <v>39934</v>
      </c>
      <c r="F900" s="84">
        <f t="shared" si="99"/>
        <v>43586</v>
      </c>
      <c r="G900" s="229">
        <v>916.14</v>
      </c>
      <c r="H900" s="71" t="s">
        <v>3305</v>
      </c>
      <c r="I900" s="71" t="s">
        <v>614</v>
      </c>
      <c r="J900" s="79"/>
      <c r="K900" s="55">
        <f t="shared" si="100"/>
        <v>2019</v>
      </c>
      <c r="L900" s="80"/>
      <c r="M900" s="80"/>
      <c r="N900" s="73" t="s">
        <v>3306</v>
      </c>
      <c r="O900" s="73" t="s">
        <v>3311</v>
      </c>
      <c r="P900" s="74"/>
      <c r="Q900" s="75"/>
      <c r="R900" s="230">
        <v>3349.5</v>
      </c>
      <c r="S900" s="230">
        <v>27510</v>
      </c>
      <c r="T900" s="230">
        <v>30859.5</v>
      </c>
      <c r="U900" s="231">
        <v>1834</v>
      </c>
      <c r="V900" s="230"/>
      <c r="W900" s="230"/>
      <c r="X900" s="231"/>
      <c r="Y900" s="85">
        <v>0.45</v>
      </c>
      <c r="Z900" s="85">
        <v>0.1</v>
      </c>
      <c r="AA900" s="76"/>
      <c r="AB900" s="77"/>
      <c r="AC900" s="78" t="s">
        <v>3068</v>
      </c>
    </row>
    <row r="901" spans="1:29" x14ac:dyDescent="0.2">
      <c r="A901" s="117" t="s">
        <v>3312</v>
      </c>
      <c r="B901" s="118" t="e">
        <f t="shared" si="98"/>
        <v>#VALUE!</v>
      </c>
      <c r="C901" s="118" t="s">
        <v>612</v>
      </c>
      <c r="D901" s="113">
        <v>39834</v>
      </c>
      <c r="E901" s="84">
        <v>39934</v>
      </c>
      <c r="F901" s="84">
        <f t="shared" si="99"/>
        <v>43586</v>
      </c>
      <c r="G901" s="229">
        <v>366</v>
      </c>
      <c r="H901" s="71" t="s">
        <v>3302</v>
      </c>
      <c r="I901" s="71" t="s">
        <v>614</v>
      </c>
      <c r="J901" s="79"/>
      <c r="K901" s="55">
        <f t="shared" si="100"/>
        <v>2019</v>
      </c>
      <c r="L901" s="80"/>
      <c r="M901" s="80"/>
      <c r="N901" s="73" t="s">
        <v>3313</v>
      </c>
      <c r="O901" s="73" t="s">
        <v>3314</v>
      </c>
      <c r="P901" s="74"/>
      <c r="Q901" s="75"/>
      <c r="R901" s="230">
        <v>1421</v>
      </c>
      <c r="S901" s="230">
        <v>6588</v>
      </c>
      <c r="T901" s="230">
        <v>8009</v>
      </c>
      <c r="U901" s="231">
        <v>732</v>
      </c>
      <c r="V901" s="230"/>
      <c r="W901" s="230"/>
      <c r="X901" s="231"/>
      <c r="Y901" s="85">
        <v>0.45</v>
      </c>
      <c r="Z901" s="85">
        <v>0.1</v>
      </c>
      <c r="AA901" s="76"/>
      <c r="AB901" s="77" t="s">
        <v>1069</v>
      </c>
      <c r="AC901" s="78"/>
    </row>
    <row r="902" spans="1:29" ht="27" customHeight="1" x14ac:dyDescent="0.2">
      <c r="A902" s="117" t="s">
        <v>3315</v>
      </c>
      <c r="B902" s="118" t="e">
        <f t="shared" si="98"/>
        <v>#VALUE!</v>
      </c>
      <c r="C902" s="118" t="s">
        <v>612</v>
      </c>
      <c r="D902" s="113">
        <v>39834</v>
      </c>
      <c r="E902" s="84">
        <v>39934</v>
      </c>
      <c r="F902" s="84">
        <f t="shared" si="99"/>
        <v>43586</v>
      </c>
      <c r="G902" s="229">
        <v>2135.0100000000002</v>
      </c>
      <c r="H902" s="71" t="s">
        <v>3305</v>
      </c>
      <c r="I902" s="71" t="s">
        <v>614</v>
      </c>
      <c r="J902" s="79"/>
      <c r="K902" s="55">
        <f t="shared" si="100"/>
        <v>2019</v>
      </c>
      <c r="L902" s="80"/>
      <c r="M902" s="80"/>
      <c r="N902" s="73" t="s">
        <v>3306</v>
      </c>
      <c r="O902" s="73" t="s">
        <v>3316</v>
      </c>
      <c r="P902" s="74"/>
      <c r="Q902" s="75"/>
      <c r="R902" s="230">
        <v>7616</v>
      </c>
      <c r="S902" s="230">
        <v>230688</v>
      </c>
      <c r="T902" s="230">
        <v>238304</v>
      </c>
      <c r="U902" s="231">
        <v>4272</v>
      </c>
      <c r="V902" s="230"/>
      <c r="W902" s="230"/>
      <c r="X902" s="231"/>
      <c r="Y902" s="85">
        <v>0.45</v>
      </c>
      <c r="Z902" s="85">
        <v>0.1</v>
      </c>
      <c r="AA902" s="76"/>
      <c r="AC902" s="78" t="s">
        <v>3068</v>
      </c>
    </row>
    <row r="903" spans="1:29" ht="27" customHeight="1" x14ac:dyDescent="0.2">
      <c r="A903" s="117" t="s">
        <v>3317</v>
      </c>
      <c r="B903" s="118" t="e">
        <f t="shared" si="98"/>
        <v>#VALUE!</v>
      </c>
      <c r="C903" s="118" t="s">
        <v>612</v>
      </c>
      <c r="D903" s="113">
        <v>39834</v>
      </c>
      <c r="E903" s="84">
        <v>39934</v>
      </c>
      <c r="F903" s="84">
        <f t="shared" si="99"/>
        <v>43586</v>
      </c>
      <c r="G903" s="229">
        <v>1673.53</v>
      </c>
      <c r="H903" s="71" t="s">
        <v>3305</v>
      </c>
      <c r="I903" s="71" t="s">
        <v>614</v>
      </c>
      <c r="J903" s="79"/>
      <c r="K903" s="55">
        <f t="shared" si="100"/>
        <v>2019</v>
      </c>
      <c r="L903" s="80"/>
      <c r="M903" s="80"/>
      <c r="N903" s="73" t="s">
        <v>3306</v>
      </c>
      <c r="O903" s="73" t="s">
        <v>3318</v>
      </c>
      <c r="P903" s="74"/>
      <c r="Q903" s="75"/>
      <c r="R903" s="230">
        <v>5999</v>
      </c>
      <c r="S903" s="230">
        <v>80352</v>
      </c>
      <c r="T903" s="230">
        <v>86351</v>
      </c>
      <c r="U903" s="231">
        <v>3348</v>
      </c>
      <c r="V903" s="230"/>
      <c r="W903" s="230"/>
      <c r="X903" s="231"/>
      <c r="Y903" s="85">
        <v>0.45</v>
      </c>
      <c r="Z903" s="85">
        <v>0.1</v>
      </c>
      <c r="AA903" s="76"/>
      <c r="AC903" s="78" t="s">
        <v>3068</v>
      </c>
    </row>
    <row r="904" spans="1:29" ht="27" customHeight="1" x14ac:dyDescent="0.2">
      <c r="A904" s="117" t="s">
        <v>3319</v>
      </c>
      <c r="B904" s="118" t="e">
        <f t="shared" si="98"/>
        <v>#VALUE!</v>
      </c>
      <c r="C904" s="118" t="s">
        <v>612</v>
      </c>
      <c r="D904" s="113">
        <v>39834</v>
      </c>
      <c r="E904" s="84">
        <v>39934</v>
      </c>
      <c r="F904" s="84">
        <f t="shared" si="99"/>
        <v>43586</v>
      </c>
      <c r="G904" s="229">
        <v>2273.08</v>
      </c>
      <c r="H904" s="71" t="s">
        <v>3305</v>
      </c>
      <c r="I904" s="71" t="s">
        <v>614</v>
      </c>
      <c r="J904" s="79"/>
      <c r="K904" s="55">
        <f t="shared" si="100"/>
        <v>2019</v>
      </c>
      <c r="L904" s="80"/>
      <c r="M904" s="80"/>
      <c r="N904" s="73" t="s">
        <v>3306</v>
      </c>
      <c r="O904" s="73" t="s">
        <v>3320</v>
      </c>
      <c r="P904" s="74"/>
      <c r="Q904" s="75"/>
      <c r="R904" s="257">
        <v>8099</v>
      </c>
      <c r="S904" s="257">
        <v>120522</v>
      </c>
      <c r="T904" s="257">
        <v>128621</v>
      </c>
      <c r="U904" s="231">
        <v>4548</v>
      </c>
      <c r="V904" s="230"/>
      <c r="W904" s="230"/>
      <c r="X904" s="231"/>
      <c r="Y904" s="85">
        <v>0.45</v>
      </c>
      <c r="Z904" s="85">
        <v>0.1</v>
      </c>
      <c r="AA904" s="76"/>
      <c r="AC904" s="78" t="s">
        <v>3321</v>
      </c>
    </row>
    <row r="905" spans="1:29" ht="15" hidden="1" customHeight="1" thickBot="1" x14ac:dyDescent="0.25">
      <c r="A905" s="117"/>
      <c r="D905" s="113"/>
      <c r="E905" s="78"/>
      <c r="F905" s="84"/>
      <c r="G905" s="229"/>
      <c r="H905" s="71"/>
      <c r="I905" s="71"/>
      <c r="J905" s="79"/>
      <c r="K905" s="79"/>
      <c r="L905" s="80"/>
      <c r="M905" s="80"/>
      <c r="N905" s="73"/>
      <c r="O905" s="73"/>
      <c r="P905" s="74"/>
      <c r="Q905" s="75"/>
      <c r="R905" s="241">
        <v>62541.5</v>
      </c>
      <c r="S905" s="241">
        <v>886721</v>
      </c>
      <c r="T905" s="241">
        <v>949262.5</v>
      </c>
      <c r="U905" s="231"/>
      <c r="V905" s="230"/>
      <c r="W905" s="230"/>
      <c r="X905" s="231"/>
      <c r="Y905" s="85"/>
      <c r="Z905" s="85"/>
      <c r="AA905" s="76"/>
      <c r="AB905" s="77"/>
      <c r="AC905" s="78"/>
    </row>
    <row r="906" spans="1:29" hidden="1" x14ac:dyDescent="0.2">
      <c r="A906" s="117"/>
      <c r="D906" s="71"/>
      <c r="E906" s="78"/>
      <c r="F906" s="84"/>
      <c r="G906" s="229"/>
      <c r="H906" s="71"/>
      <c r="I906" s="71"/>
      <c r="J906" s="79"/>
      <c r="K906" s="79"/>
      <c r="L906" s="80"/>
      <c r="M906" s="80"/>
      <c r="N906" s="73"/>
      <c r="O906" s="73"/>
      <c r="P906" s="74"/>
      <c r="Q906" s="75" t="s">
        <v>3322</v>
      </c>
      <c r="R906" s="230">
        <v>62541.5</v>
      </c>
      <c r="S906" s="230"/>
      <c r="T906" s="230">
        <v>62541.5</v>
      </c>
      <c r="U906" s="231"/>
      <c r="V906" s="230"/>
      <c r="W906" s="230"/>
      <c r="X906" s="231"/>
      <c r="Y906" s="85"/>
      <c r="Z906" s="85"/>
      <c r="AA906" s="76"/>
      <c r="AB906" s="77"/>
      <c r="AC906" s="78"/>
    </row>
    <row r="907" spans="1:29" hidden="1" x14ac:dyDescent="0.2">
      <c r="A907" s="117"/>
      <c r="D907" s="71"/>
      <c r="E907" s="78"/>
      <c r="F907" s="84"/>
      <c r="G907" s="229"/>
      <c r="H907" s="71"/>
      <c r="I907" s="71"/>
      <c r="J907" s="79"/>
      <c r="K907" s="79"/>
      <c r="L907" s="80"/>
      <c r="M907" s="80"/>
      <c r="N907" s="73"/>
      <c r="O907" s="73"/>
      <c r="P907" s="74"/>
      <c r="Q907" s="75" t="s">
        <v>3323</v>
      </c>
      <c r="R907" s="257"/>
      <c r="S907" s="257">
        <v>886721</v>
      </c>
      <c r="T907" s="257">
        <v>886721</v>
      </c>
      <c r="U907" s="231"/>
      <c r="V907" s="230"/>
      <c r="W907" s="230"/>
      <c r="X907" s="231"/>
      <c r="Y907" s="85"/>
      <c r="Z907" s="85"/>
      <c r="AA907" s="76"/>
      <c r="AB907" s="77"/>
      <c r="AC907" s="78"/>
    </row>
    <row r="908" spans="1:29" ht="15" hidden="1" customHeight="1" thickBot="1" x14ac:dyDescent="0.25">
      <c r="A908" s="117"/>
      <c r="D908" s="71"/>
      <c r="E908" s="78"/>
      <c r="F908" s="84"/>
      <c r="G908" s="229"/>
      <c r="H908" s="71"/>
      <c r="I908" s="71"/>
      <c r="J908" s="79"/>
      <c r="K908" s="79"/>
      <c r="L908" s="80"/>
      <c r="M908" s="80"/>
      <c r="N908" s="73"/>
      <c r="O908" s="73"/>
      <c r="P908" s="74"/>
      <c r="Q908" s="75"/>
      <c r="R908" s="255">
        <v>62541.5</v>
      </c>
      <c r="S908" s="255">
        <v>886721</v>
      </c>
      <c r="T908" s="255">
        <v>949262.5</v>
      </c>
      <c r="U908" s="231"/>
      <c r="V908" s="230"/>
      <c r="W908" s="230"/>
      <c r="X908" s="231"/>
      <c r="Y908" s="85"/>
      <c r="Z908" s="85"/>
      <c r="AA908" s="76"/>
      <c r="AB908" s="77"/>
      <c r="AC908" s="78"/>
    </row>
    <row r="909" spans="1:29" hidden="1" x14ac:dyDescent="0.2">
      <c r="A909" s="117"/>
      <c r="D909" s="71"/>
      <c r="E909" s="78"/>
      <c r="F909" s="84"/>
      <c r="G909" s="229"/>
      <c r="H909" s="71"/>
      <c r="I909" s="71"/>
      <c r="J909" s="79"/>
      <c r="K909" s="79"/>
      <c r="L909" s="80"/>
      <c r="M909" s="80"/>
      <c r="N909" s="73"/>
      <c r="O909" s="73"/>
      <c r="P909" s="74"/>
      <c r="Q909" s="75"/>
      <c r="R909" s="230"/>
      <c r="S909" s="230"/>
      <c r="T909" s="230"/>
      <c r="U909" s="231"/>
      <c r="V909" s="230"/>
      <c r="W909" s="230"/>
      <c r="X909" s="231"/>
      <c r="Y909" s="85"/>
      <c r="Z909" s="85"/>
      <c r="AA909" s="76"/>
      <c r="AB909" s="77"/>
      <c r="AC909" s="78"/>
    </row>
    <row r="910" spans="1:29" ht="27" customHeight="1" x14ac:dyDescent="0.2">
      <c r="A910" s="117" t="s">
        <v>3324</v>
      </c>
      <c r="B910" s="118" t="e">
        <f t="shared" ref="B910:B924" si="101">IF(COUNTIF(GIS,A910),"YES","NO")</f>
        <v>#VALUE!</v>
      </c>
      <c r="C910" s="118" t="s">
        <v>612</v>
      </c>
      <c r="D910" s="113">
        <v>39989</v>
      </c>
      <c r="E910" s="84">
        <v>40057</v>
      </c>
      <c r="F910" s="84">
        <f t="shared" ref="F910:F924" si="102">DATE(YEAR(E910)+10,MONTH(E910),DAY(E910))</f>
        <v>43709</v>
      </c>
      <c r="G910" s="229">
        <v>200</v>
      </c>
      <c r="H910" s="71" t="s">
        <v>1693</v>
      </c>
      <c r="I910" s="71" t="s">
        <v>676</v>
      </c>
      <c r="J910" s="79"/>
      <c r="K910" s="55">
        <f t="shared" ref="K910:K924" si="103">YEAR(F910)</f>
        <v>2019</v>
      </c>
      <c r="L910" s="80"/>
      <c r="M910" s="80"/>
      <c r="N910" s="73" t="s">
        <v>3325</v>
      </c>
      <c r="O910" s="73" t="s">
        <v>3326</v>
      </c>
      <c r="P910" s="74"/>
      <c r="Q910" s="75" t="s">
        <v>3327</v>
      </c>
      <c r="R910" s="230">
        <v>840</v>
      </c>
      <c r="S910" s="230"/>
      <c r="T910" s="230">
        <v>840</v>
      </c>
      <c r="U910" s="231">
        <v>300</v>
      </c>
      <c r="V910" s="230"/>
      <c r="W910" s="230"/>
      <c r="X910" s="231"/>
      <c r="Y910" s="85">
        <v>0.45</v>
      </c>
      <c r="Z910" s="85">
        <v>0.1</v>
      </c>
      <c r="AA910" s="76"/>
      <c r="AB910" s="77"/>
      <c r="AC910" s="78"/>
    </row>
    <row r="911" spans="1:29" ht="27" customHeight="1" x14ac:dyDescent="0.2">
      <c r="A911" s="117" t="s">
        <v>3328</v>
      </c>
      <c r="B911" s="118" t="e">
        <f t="shared" si="101"/>
        <v>#VALUE!</v>
      </c>
      <c r="C911" s="118" t="s">
        <v>612</v>
      </c>
      <c r="D911" s="113">
        <v>39989</v>
      </c>
      <c r="E911" s="84">
        <v>40057</v>
      </c>
      <c r="F911" s="84">
        <f t="shared" si="102"/>
        <v>43709</v>
      </c>
      <c r="G911" s="229">
        <v>80</v>
      </c>
      <c r="H911" s="71" t="s">
        <v>906</v>
      </c>
      <c r="I911" s="71" t="s">
        <v>676</v>
      </c>
      <c r="J911" s="79"/>
      <c r="K911" s="55">
        <f t="shared" si="103"/>
        <v>2019</v>
      </c>
      <c r="L911" s="80"/>
      <c r="M911" s="80"/>
      <c r="N911" s="73" t="s">
        <v>3329</v>
      </c>
      <c r="O911" s="73" t="s">
        <v>3330</v>
      </c>
      <c r="P911" s="74"/>
      <c r="Q911" s="75" t="s">
        <v>3331</v>
      </c>
      <c r="R911" s="230">
        <v>420</v>
      </c>
      <c r="S911" s="230"/>
      <c r="T911" s="230">
        <v>420</v>
      </c>
      <c r="U911" s="231">
        <v>120</v>
      </c>
      <c r="V911" s="230"/>
      <c r="W911" s="230"/>
      <c r="X911" s="231"/>
      <c r="Y911" s="85">
        <v>0.45</v>
      </c>
      <c r="Z911" s="85">
        <v>0.1</v>
      </c>
      <c r="AA911" s="76"/>
      <c r="AB911" s="77"/>
      <c r="AC911" s="78"/>
    </row>
    <row r="912" spans="1:29" ht="27" customHeight="1" x14ac:dyDescent="0.2">
      <c r="A912" s="117" t="s">
        <v>3332</v>
      </c>
      <c r="B912" s="118" t="e">
        <f t="shared" si="101"/>
        <v>#VALUE!</v>
      </c>
      <c r="C912" s="118" t="s">
        <v>612</v>
      </c>
      <c r="D912" s="113">
        <v>39989</v>
      </c>
      <c r="E912" s="84">
        <v>40057</v>
      </c>
      <c r="F912" s="84">
        <f t="shared" si="102"/>
        <v>43709</v>
      </c>
      <c r="G912" s="229">
        <v>308.29000000000002</v>
      </c>
      <c r="H912" s="71" t="s">
        <v>906</v>
      </c>
      <c r="I912" s="71" t="s">
        <v>676</v>
      </c>
      <c r="J912" s="79"/>
      <c r="K912" s="55">
        <f t="shared" si="103"/>
        <v>2019</v>
      </c>
      <c r="L912" s="80"/>
      <c r="M912" s="80"/>
      <c r="N912" s="73" t="s">
        <v>3329</v>
      </c>
      <c r="O912" s="73" t="s">
        <v>3333</v>
      </c>
      <c r="P912" s="74"/>
      <c r="Q912" s="75" t="s">
        <v>3334</v>
      </c>
      <c r="R912" s="230">
        <v>1221.5</v>
      </c>
      <c r="S912" s="230"/>
      <c r="T912" s="230">
        <v>1221.5</v>
      </c>
      <c r="U912" s="231">
        <v>463.5</v>
      </c>
      <c r="V912" s="230"/>
      <c r="W912" s="230"/>
      <c r="X912" s="231"/>
      <c r="Y912" s="85">
        <v>0.45</v>
      </c>
      <c r="Z912" s="85">
        <v>0.1</v>
      </c>
      <c r="AA912" s="76"/>
      <c r="AB912" s="77"/>
      <c r="AC912" s="78"/>
    </row>
    <row r="913" spans="1:29" ht="27" customHeight="1" x14ac:dyDescent="0.2">
      <c r="A913" s="117" t="s">
        <v>3335</v>
      </c>
      <c r="B913" s="118" t="e">
        <f t="shared" si="101"/>
        <v>#VALUE!</v>
      </c>
      <c r="C913" s="118" t="s">
        <v>612</v>
      </c>
      <c r="D913" s="113">
        <v>39989</v>
      </c>
      <c r="E913" s="84">
        <v>40057</v>
      </c>
      <c r="F913" s="84">
        <f t="shared" si="102"/>
        <v>43709</v>
      </c>
      <c r="G913" s="229">
        <v>674.38</v>
      </c>
      <c r="H913" s="71" t="s">
        <v>906</v>
      </c>
      <c r="I913" s="71" t="s">
        <v>676</v>
      </c>
      <c r="J913" s="79"/>
      <c r="K913" s="55">
        <f t="shared" si="103"/>
        <v>2019</v>
      </c>
      <c r="L913" s="80"/>
      <c r="M913" s="80"/>
      <c r="N913" s="73" t="s">
        <v>3329</v>
      </c>
      <c r="O913" s="73" t="s">
        <v>3336</v>
      </c>
      <c r="P913" s="74"/>
      <c r="Q913" s="75" t="s">
        <v>3337</v>
      </c>
      <c r="R913" s="230">
        <v>3177.5</v>
      </c>
      <c r="S913" s="230"/>
      <c r="T913" s="230">
        <v>3177.5</v>
      </c>
      <c r="U913" s="231">
        <v>1012.5</v>
      </c>
      <c r="V913" s="230"/>
      <c r="W913" s="230"/>
      <c r="X913" s="231"/>
      <c r="Y913" s="85">
        <v>0.45</v>
      </c>
      <c r="Z913" s="85">
        <v>0.1</v>
      </c>
      <c r="AA913" s="76"/>
      <c r="AB913" s="77"/>
      <c r="AC913" s="78"/>
    </row>
    <row r="914" spans="1:29" ht="27" customHeight="1" x14ac:dyDescent="0.2">
      <c r="A914" s="117" t="s">
        <v>3338</v>
      </c>
      <c r="B914" s="118" t="e">
        <f t="shared" si="101"/>
        <v>#VALUE!</v>
      </c>
      <c r="C914" s="118" t="s">
        <v>612</v>
      </c>
      <c r="D914" s="113">
        <v>39989</v>
      </c>
      <c r="E914" s="84">
        <v>40057</v>
      </c>
      <c r="F914" s="84">
        <f t="shared" si="102"/>
        <v>43709</v>
      </c>
      <c r="G914" s="229">
        <v>169.24</v>
      </c>
      <c r="H914" s="71" t="s">
        <v>906</v>
      </c>
      <c r="I914" s="71" t="s">
        <v>676</v>
      </c>
      <c r="J914" s="79"/>
      <c r="K914" s="55">
        <f t="shared" si="103"/>
        <v>2019</v>
      </c>
      <c r="L914" s="80"/>
      <c r="M914" s="80"/>
      <c r="N914" s="73" t="s">
        <v>3329</v>
      </c>
      <c r="O914" s="73" t="s">
        <v>3339</v>
      </c>
      <c r="P914" s="74"/>
      <c r="Q914" s="75" t="s">
        <v>3340</v>
      </c>
      <c r="R914" s="230">
        <v>735</v>
      </c>
      <c r="S914" s="230"/>
      <c r="T914" s="230">
        <v>735</v>
      </c>
      <c r="U914" s="231">
        <v>255</v>
      </c>
      <c r="V914" s="230"/>
      <c r="W914" s="230"/>
      <c r="X914" s="231"/>
      <c r="Y914" s="85">
        <v>0.45</v>
      </c>
      <c r="Z914" s="85">
        <v>0.1</v>
      </c>
      <c r="AA914" s="76"/>
      <c r="AB914" s="77"/>
      <c r="AC914" s="78"/>
    </row>
    <row r="915" spans="1:29" ht="27" customHeight="1" x14ac:dyDescent="0.2">
      <c r="A915" s="117" t="s">
        <v>3341</v>
      </c>
      <c r="B915" s="118" t="e">
        <f t="shared" si="101"/>
        <v>#VALUE!</v>
      </c>
      <c r="C915" s="118" t="s">
        <v>612</v>
      </c>
      <c r="D915" s="113">
        <v>39989</v>
      </c>
      <c r="E915" s="84">
        <v>40057</v>
      </c>
      <c r="F915" s="84">
        <f t="shared" si="102"/>
        <v>43709</v>
      </c>
      <c r="G915" s="229">
        <v>200</v>
      </c>
      <c r="H915" s="71" t="s">
        <v>906</v>
      </c>
      <c r="I915" s="71" t="s">
        <v>676</v>
      </c>
      <c r="J915" s="79"/>
      <c r="K915" s="55">
        <f t="shared" si="103"/>
        <v>2019</v>
      </c>
      <c r="L915" s="80"/>
      <c r="M915" s="80"/>
      <c r="N915" s="73" t="s">
        <v>3329</v>
      </c>
      <c r="O915" s="73" t="s">
        <v>3342</v>
      </c>
      <c r="P915" s="74"/>
      <c r="Q915" s="75" t="s">
        <v>3343</v>
      </c>
      <c r="R915" s="230">
        <v>840</v>
      </c>
      <c r="S915" s="230"/>
      <c r="T915" s="230">
        <v>840</v>
      </c>
      <c r="U915" s="231">
        <v>300</v>
      </c>
      <c r="V915" s="230"/>
      <c r="W915" s="230"/>
      <c r="X915" s="231"/>
      <c r="Y915" s="85">
        <v>0.45</v>
      </c>
      <c r="Z915" s="85">
        <v>0.1</v>
      </c>
      <c r="AA915" s="76"/>
      <c r="AB915" s="77"/>
      <c r="AC915" s="78"/>
    </row>
    <row r="916" spans="1:29" ht="27" customHeight="1" x14ac:dyDescent="0.2">
      <c r="A916" s="117" t="s">
        <v>3344</v>
      </c>
      <c r="B916" s="118" t="e">
        <f t="shared" si="101"/>
        <v>#VALUE!</v>
      </c>
      <c r="C916" s="118" t="s">
        <v>612</v>
      </c>
      <c r="D916" s="113">
        <v>39989</v>
      </c>
      <c r="E916" s="84">
        <v>40057</v>
      </c>
      <c r="F916" s="84">
        <f t="shared" si="102"/>
        <v>43709</v>
      </c>
      <c r="G916" s="229">
        <v>10</v>
      </c>
      <c r="H916" s="71" t="s">
        <v>906</v>
      </c>
      <c r="I916" s="71" t="s">
        <v>676</v>
      </c>
      <c r="J916" s="79"/>
      <c r="K916" s="55">
        <f t="shared" si="103"/>
        <v>2019</v>
      </c>
      <c r="L916" s="80"/>
      <c r="M916" s="80"/>
      <c r="N916" s="73" t="s">
        <v>3329</v>
      </c>
      <c r="O916" s="73" t="s">
        <v>3345</v>
      </c>
      <c r="P916" s="74"/>
      <c r="Q916" s="75" t="s">
        <v>3346</v>
      </c>
      <c r="R916" s="230">
        <v>175</v>
      </c>
      <c r="S916" s="230"/>
      <c r="T916" s="230">
        <v>175</v>
      </c>
      <c r="U916" s="231">
        <v>15</v>
      </c>
      <c r="V916" s="230"/>
      <c r="W916" s="230"/>
      <c r="X916" s="231"/>
      <c r="Y916" s="85">
        <v>0.45</v>
      </c>
      <c r="Z916" s="85">
        <v>0.1</v>
      </c>
      <c r="AA916" s="76"/>
      <c r="AB916" s="77"/>
      <c r="AC916" s="78"/>
    </row>
    <row r="917" spans="1:29" ht="27" customHeight="1" x14ac:dyDescent="0.2">
      <c r="A917" s="117" t="s">
        <v>3347</v>
      </c>
      <c r="B917" s="118" t="e">
        <f t="shared" si="101"/>
        <v>#VALUE!</v>
      </c>
      <c r="C917" s="118" t="s">
        <v>612</v>
      </c>
      <c r="D917" s="113">
        <v>39989</v>
      </c>
      <c r="E917" s="84">
        <v>40057</v>
      </c>
      <c r="F917" s="84">
        <f t="shared" si="102"/>
        <v>43709</v>
      </c>
      <c r="G917" s="229">
        <v>120</v>
      </c>
      <c r="H917" s="71" t="s">
        <v>906</v>
      </c>
      <c r="I917" s="71" t="s">
        <v>676</v>
      </c>
      <c r="J917" s="79"/>
      <c r="K917" s="55">
        <f t="shared" si="103"/>
        <v>2019</v>
      </c>
      <c r="L917" s="80"/>
      <c r="M917" s="80"/>
      <c r="N917" s="73" t="s">
        <v>3329</v>
      </c>
      <c r="O917" s="73" t="s">
        <v>3348</v>
      </c>
      <c r="P917" s="74"/>
      <c r="Q917" s="75" t="s">
        <v>3349</v>
      </c>
      <c r="R917" s="230">
        <v>560</v>
      </c>
      <c r="S917" s="230"/>
      <c r="T917" s="230">
        <v>560</v>
      </c>
      <c r="U917" s="231">
        <v>180</v>
      </c>
      <c r="V917" s="230"/>
      <c r="W917" s="230"/>
      <c r="X917" s="231"/>
      <c r="Y917" s="85">
        <v>0.45</v>
      </c>
      <c r="Z917" s="85">
        <v>0.1</v>
      </c>
      <c r="AA917" s="76"/>
      <c r="AB917" s="77"/>
      <c r="AC917" s="78"/>
    </row>
    <row r="918" spans="1:29" x14ac:dyDescent="0.2">
      <c r="A918" s="117" t="s">
        <v>3350</v>
      </c>
      <c r="B918" s="118" t="e">
        <f t="shared" si="101"/>
        <v>#VALUE!</v>
      </c>
      <c r="C918" s="118" t="s">
        <v>612</v>
      </c>
      <c r="D918" s="113">
        <v>39989</v>
      </c>
      <c r="E918" s="84">
        <v>40057</v>
      </c>
      <c r="F918" s="84">
        <f t="shared" si="102"/>
        <v>43709</v>
      </c>
      <c r="G918" s="229">
        <v>590.26</v>
      </c>
      <c r="H918" s="71" t="s">
        <v>697</v>
      </c>
      <c r="I918" s="71" t="s">
        <v>684</v>
      </c>
      <c r="J918" s="79"/>
      <c r="K918" s="55">
        <f t="shared" si="103"/>
        <v>2019</v>
      </c>
      <c r="L918" s="80"/>
      <c r="M918" s="80"/>
      <c r="N918" s="73" t="s">
        <v>3351</v>
      </c>
      <c r="O918" s="73" t="s">
        <v>3352</v>
      </c>
      <c r="P918" s="74"/>
      <c r="Q918" s="75" t="s">
        <v>3353</v>
      </c>
      <c r="R918" s="230">
        <v>2208.5</v>
      </c>
      <c r="S918" s="230"/>
      <c r="T918" s="230">
        <v>2208.5</v>
      </c>
      <c r="U918" s="231">
        <v>886.5</v>
      </c>
      <c r="V918" s="230"/>
      <c r="W918" s="230"/>
      <c r="X918" s="231"/>
      <c r="Y918" s="85">
        <v>0.45</v>
      </c>
      <c r="Z918" s="85">
        <v>0.1</v>
      </c>
      <c r="AA918" s="76"/>
      <c r="AB918" s="77"/>
      <c r="AC918" s="78"/>
    </row>
    <row r="919" spans="1:29" x14ac:dyDescent="0.2">
      <c r="A919" s="117" t="s">
        <v>3354</v>
      </c>
      <c r="B919" s="118" t="e">
        <f t="shared" si="101"/>
        <v>#VALUE!</v>
      </c>
      <c r="C919" s="118" t="s">
        <v>612</v>
      </c>
      <c r="D919" s="113">
        <v>39989</v>
      </c>
      <c r="E919" s="84">
        <v>40057</v>
      </c>
      <c r="F919" s="84">
        <f t="shared" si="102"/>
        <v>43709</v>
      </c>
      <c r="G919" s="229">
        <v>223.07</v>
      </c>
      <c r="H919" s="118" t="s">
        <v>1311</v>
      </c>
      <c r="I919" s="71" t="s">
        <v>684</v>
      </c>
      <c r="J919" s="79"/>
      <c r="K919" s="55">
        <f t="shared" si="103"/>
        <v>2019</v>
      </c>
      <c r="L919" s="80"/>
      <c r="M919" s="80"/>
      <c r="N919" s="73" t="s">
        <v>3351</v>
      </c>
      <c r="O919" s="73" t="s">
        <v>3355</v>
      </c>
      <c r="P919" s="74"/>
      <c r="Q919" s="75" t="s">
        <v>3356</v>
      </c>
      <c r="R919" s="230">
        <v>924</v>
      </c>
      <c r="S919" s="230"/>
      <c r="T919" s="230">
        <v>924</v>
      </c>
      <c r="U919" s="231">
        <v>336</v>
      </c>
      <c r="V919" s="230"/>
      <c r="W919" s="230"/>
      <c r="X919" s="231"/>
      <c r="Y919" s="85">
        <v>0.45</v>
      </c>
      <c r="Z919" s="85">
        <v>0.1</v>
      </c>
      <c r="AA919" s="76"/>
      <c r="AB919" s="77"/>
      <c r="AC919" s="78"/>
    </row>
    <row r="920" spans="1:29" x14ac:dyDescent="0.2">
      <c r="A920" s="117" t="s">
        <v>3357</v>
      </c>
      <c r="B920" s="118" t="e">
        <f t="shared" si="101"/>
        <v>#VALUE!</v>
      </c>
      <c r="C920" s="118" t="s">
        <v>612</v>
      </c>
      <c r="D920" s="113">
        <v>39989</v>
      </c>
      <c r="E920" s="103">
        <v>40148</v>
      </c>
      <c r="F920" s="84">
        <f t="shared" si="102"/>
        <v>43800</v>
      </c>
      <c r="G920" s="229">
        <v>78.52</v>
      </c>
      <c r="H920" s="118" t="s">
        <v>1311</v>
      </c>
      <c r="I920" s="71" t="s">
        <v>684</v>
      </c>
      <c r="J920" s="72" t="s">
        <v>3358</v>
      </c>
      <c r="K920" s="55">
        <f t="shared" si="103"/>
        <v>2019</v>
      </c>
      <c r="L920" s="81"/>
      <c r="M920" s="81"/>
      <c r="N920" s="73" t="s">
        <v>3351</v>
      </c>
      <c r="O920" s="73" t="s">
        <v>3359</v>
      </c>
      <c r="P920" s="74"/>
      <c r="Q920" s="75" t="s">
        <v>3360</v>
      </c>
      <c r="R920" s="230">
        <v>171.5</v>
      </c>
      <c r="S920" s="230">
        <v>245</v>
      </c>
      <c r="T920" s="230">
        <v>416.5</v>
      </c>
      <c r="U920" s="231">
        <v>158</v>
      </c>
      <c r="V920" s="230"/>
      <c r="W920" s="230"/>
      <c r="X920" s="231"/>
      <c r="Y920" s="85">
        <v>0.45</v>
      </c>
      <c r="Z920" s="85">
        <v>0.1</v>
      </c>
      <c r="AA920" s="76"/>
      <c r="AB920" s="77"/>
      <c r="AC920" s="78"/>
    </row>
    <row r="921" spans="1:29" x14ac:dyDescent="0.2">
      <c r="A921" s="117" t="s">
        <v>3361</v>
      </c>
      <c r="B921" s="118" t="e">
        <f t="shared" si="101"/>
        <v>#VALUE!</v>
      </c>
      <c r="C921" s="118" t="s">
        <v>612</v>
      </c>
      <c r="D921" s="113">
        <v>39989</v>
      </c>
      <c r="E921" s="84">
        <v>40057</v>
      </c>
      <c r="F921" s="84">
        <f t="shared" si="102"/>
        <v>43709</v>
      </c>
      <c r="G921" s="229">
        <v>319</v>
      </c>
      <c r="H921" s="118" t="s">
        <v>1311</v>
      </c>
      <c r="I921" s="71" t="s">
        <v>684</v>
      </c>
      <c r="J921" s="79"/>
      <c r="K921" s="55">
        <f t="shared" si="103"/>
        <v>2019</v>
      </c>
      <c r="L921" s="80"/>
      <c r="M921" s="80"/>
      <c r="N921" s="73" t="s">
        <v>3351</v>
      </c>
      <c r="O921" s="73" t="s">
        <v>3362</v>
      </c>
      <c r="P921" s="74"/>
      <c r="Q921" s="75" t="s">
        <v>3363</v>
      </c>
      <c r="R921" s="230">
        <v>1256.5</v>
      </c>
      <c r="S921" s="230"/>
      <c r="T921" s="230">
        <v>1256.5</v>
      </c>
      <c r="U921" s="231">
        <v>478.5</v>
      </c>
      <c r="V921" s="230"/>
      <c r="W921" s="230"/>
      <c r="X921" s="231"/>
      <c r="Y921" s="85">
        <v>0.45</v>
      </c>
      <c r="Z921" s="85">
        <v>0.1</v>
      </c>
      <c r="AA921" s="76"/>
      <c r="AB921" s="77"/>
      <c r="AC921" s="78"/>
    </row>
    <row r="922" spans="1:29" x14ac:dyDescent="0.2">
      <c r="A922" s="117" t="s">
        <v>3364</v>
      </c>
      <c r="B922" s="118" t="e">
        <f t="shared" si="101"/>
        <v>#VALUE!</v>
      </c>
      <c r="C922" s="118" t="s">
        <v>612</v>
      </c>
      <c r="D922" s="113">
        <v>39989</v>
      </c>
      <c r="E922" s="84">
        <v>40057</v>
      </c>
      <c r="F922" s="84">
        <f t="shared" si="102"/>
        <v>43709</v>
      </c>
      <c r="G922" s="229">
        <v>742.23</v>
      </c>
      <c r="H922" s="118" t="s">
        <v>1311</v>
      </c>
      <c r="I922" s="71" t="s">
        <v>684</v>
      </c>
      <c r="J922" s="79"/>
      <c r="K922" s="55">
        <f t="shared" si="103"/>
        <v>2019</v>
      </c>
      <c r="L922" s="80"/>
      <c r="M922" s="80"/>
      <c r="N922" s="73" t="s">
        <v>3351</v>
      </c>
      <c r="O922" s="73" t="s">
        <v>3365</v>
      </c>
      <c r="P922" s="74"/>
      <c r="Q922" s="75" t="s">
        <v>3366</v>
      </c>
      <c r="R922" s="230">
        <v>49549.5</v>
      </c>
      <c r="S922" s="230"/>
      <c r="T922" s="230">
        <v>49549.5</v>
      </c>
      <c r="U922" s="231">
        <v>1114.5</v>
      </c>
      <c r="V922" s="230"/>
      <c r="W922" s="230"/>
      <c r="X922" s="231"/>
      <c r="Y922" s="85">
        <v>0.45</v>
      </c>
      <c r="Z922" s="85">
        <v>0.1</v>
      </c>
      <c r="AA922" s="76"/>
      <c r="AB922" s="77"/>
      <c r="AC922" s="78"/>
    </row>
    <row r="923" spans="1:29" ht="27" customHeight="1" x14ac:dyDescent="0.2">
      <c r="A923" s="117" t="s">
        <v>3367</v>
      </c>
      <c r="B923" s="118" t="e">
        <f t="shared" si="101"/>
        <v>#VALUE!</v>
      </c>
      <c r="C923" s="118" t="s">
        <v>612</v>
      </c>
      <c r="D923" s="113">
        <v>39989</v>
      </c>
      <c r="E923" s="84">
        <v>40057</v>
      </c>
      <c r="F923" s="84">
        <f t="shared" si="102"/>
        <v>43709</v>
      </c>
      <c r="G923" s="229">
        <v>340.15</v>
      </c>
      <c r="H923" s="118" t="s">
        <v>1311</v>
      </c>
      <c r="I923" s="71" t="s">
        <v>684</v>
      </c>
      <c r="J923" s="79"/>
      <c r="K923" s="55">
        <f t="shared" si="103"/>
        <v>2019</v>
      </c>
      <c r="L923" s="80"/>
      <c r="M923" s="80"/>
      <c r="N923" s="73" t="s">
        <v>3351</v>
      </c>
      <c r="O923" s="73" t="s">
        <v>3368</v>
      </c>
      <c r="P923" s="74"/>
      <c r="Q923" s="75" t="s">
        <v>3369</v>
      </c>
      <c r="R923" s="230">
        <v>123411.5</v>
      </c>
      <c r="S923" s="230"/>
      <c r="T923" s="230">
        <v>123411.5</v>
      </c>
      <c r="U923" s="231">
        <v>511.5</v>
      </c>
      <c r="V923" s="230"/>
      <c r="W923" s="230"/>
      <c r="X923" s="231"/>
      <c r="Y923" s="85">
        <v>0.45</v>
      </c>
      <c r="Z923" s="85">
        <v>0.1</v>
      </c>
      <c r="AA923" s="76"/>
      <c r="AB923" s="77"/>
      <c r="AC923" s="78"/>
    </row>
    <row r="924" spans="1:29" x14ac:dyDescent="0.2">
      <c r="A924" s="117" t="s">
        <v>3370</v>
      </c>
      <c r="B924" s="118" t="e">
        <f t="shared" si="101"/>
        <v>#VALUE!</v>
      </c>
      <c r="C924" s="118" t="s">
        <v>612</v>
      </c>
      <c r="D924" s="113">
        <v>39989</v>
      </c>
      <c r="E924" s="84">
        <v>40057</v>
      </c>
      <c r="F924" s="84">
        <f t="shared" si="102"/>
        <v>43709</v>
      </c>
      <c r="G924" s="229">
        <v>488.95</v>
      </c>
      <c r="H924" s="71" t="s">
        <v>3151</v>
      </c>
      <c r="I924" s="71" t="s">
        <v>1703</v>
      </c>
      <c r="J924" s="79"/>
      <c r="K924" s="55">
        <f t="shared" si="103"/>
        <v>2019</v>
      </c>
      <c r="L924" s="80"/>
      <c r="M924" s="80"/>
      <c r="N924" s="73" t="s">
        <v>3371</v>
      </c>
      <c r="O924" s="73" t="s">
        <v>3372</v>
      </c>
      <c r="P924" s="74"/>
      <c r="Q924" s="75" t="s">
        <v>3373</v>
      </c>
      <c r="R924" s="257">
        <v>1851.5</v>
      </c>
      <c r="S924" s="230"/>
      <c r="T924" s="257">
        <v>1851.5</v>
      </c>
      <c r="U924" s="231">
        <v>733.5</v>
      </c>
      <c r="V924" s="230"/>
      <c r="W924" s="230"/>
      <c r="X924" s="231"/>
      <c r="Y924" s="85">
        <v>0.45</v>
      </c>
      <c r="Z924" s="85">
        <v>0.1</v>
      </c>
      <c r="AA924" s="76"/>
      <c r="AB924" s="77"/>
      <c r="AC924" s="78"/>
    </row>
    <row r="925" spans="1:29" ht="15" hidden="1" customHeight="1" thickBot="1" x14ac:dyDescent="0.25">
      <c r="A925" s="117"/>
      <c r="D925" s="71"/>
      <c r="E925" s="78"/>
      <c r="F925" s="84"/>
      <c r="G925" s="229"/>
      <c r="H925" s="71"/>
      <c r="I925" s="71"/>
      <c r="J925" s="79"/>
      <c r="K925" s="79"/>
      <c r="L925" s="80"/>
      <c r="M925" s="80"/>
      <c r="N925" s="73"/>
      <c r="O925" s="73"/>
      <c r="P925" s="74"/>
      <c r="Q925" s="75"/>
      <c r="R925" s="241">
        <v>187342</v>
      </c>
      <c r="S925" s="241">
        <v>245</v>
      </c>
      <c r="T925" s="241">
        <v>187587</v>
      </c>
      <c r="U925" s="231"/>
      <c r="V925" s="230"/>
      <c r="W925" s="230"/>
      <c r="X925" s="231"/>
      <c r="Y925" s="85"/>
      <c r="Z925" s="85"/>
      <c r="AA925" s="76"/>
      <c r="AB925" s="77"/>
      <c r="AC925" s="78"/>
    </row>
    <row r="926" spans="1:29" hidden="1" x14ac:dyDescent="0.2">
      <c r="A926" s="117"/>
      <c r="D926" s="71"/>
      <c r="E926" s="78"/>
      <c r="F926" s="84"/>
      <c r="G926" s="229"/>
      <c r="H926" s="71"/>
      <c r="I926" s="71"/>
      <c r="J926" s="79"/>
      <c r="K926" s="79"/>
      <c r="L926" s="80"/>
      <c r="M926" s="80"/>
      <c r="N926" s="73"/>
      <c r="O926" s="73"/>
      <c r="P926" s="74"/>
      <c r="Q926" s="75" t="s">
        <v>3374</v>
      </c>
      <c r="R926" s="230">
        <v>99999.99</v>
      </c>
      <c r="S926" s="230"/>
      <c r="T926" s="230"/>
      <c r="U926" s="231"/>
      <c r="V926" s="230"/>
      <c r="W926" s="230"/>
      <c r="X926" s="231"/>
      <c r="Y926" s="85"/>
      <c r="Z926" s="85"/>
      <c r="AA926" s="76"/>
      <c r="AB926" s="77"/>
      <c r="AC926" s="78"/>
    </row>
    <row r="927" spans="1:29" hidden="1" x14ac:dyDescent="0.2">
      <c r="A927" s="117"/>
      <c r="D927" s="71"/>
      <c r="E927" s="78"/>
      <c r="F927" s="84"/>
      <c r="G927" s="229"/>
      <c r="H927" s="71"/>
      <c r="I927" s="71"/>
      <c r="J927" s="79"/>
      <c r="K927" s="79"/>
      <c r="L927" s="80"/>
      <c r="M927" s="80"/>
      <c r="N927" s="73"/>
      <c r="O927" s="73"/>
      <c r="P927" s="74"/>
      <c r="Q927" s="75" t="s">
        <v>3375</v>
      </c>
      <c r="R927" s="257">
        <v>87342.01</v>
      </c>
      <c r="S927" s="230"/>
      <c r="T927" s="230"/>
      <c r="U927" s="231"/>
      <c r="V927" s="230"/>
      <c r="W927" s="230"/>
      <c r="X927" s="231"/>
      <c r="Y927" s="85"/>
      <c r="Z927" s="85"/>
      <c r="AA927" s="76"/>
      <c r="AB927" s="77"/>
      <c r="AC927" s="78"/>
    </row>
    <row r="928" spans="1:29" ht="15" hidden="1" customHeight="1" thickBot="1" x14ac:dyDescent="0.25">
      <c r="A928" s="117"/>
      <c r="D928" s="71"/>
      <c r="E928" s="78"/>
      <c r="F928" s="84"/>
      <c r="G928" s="229"/>
      <c r="H928" s="71"/>
      <c r="I928" s="71"/>
      <c r="J928" s="79"/>
      <c r="K928" s="79"/>
      <c r="L928" s="80"/>
      <c r="M928" s="80"/>
      <c r="N928" s="73"/>
      <c r="O928" s="73"/>
      <c r="P928" s="74"/>
      <c r="Q928" s="75"/>
      <c r="R928" s="255">
        <v>187342</v>
      </c>
      <c r="S928" s="230"/>
      <c r="T928" s="230"/>
      <c r="U928" s="231"/>
      <c r="V928" s="230"/>
      <c r="W928" s="230"/>
      <c r="X928" s="231"/>
      <c r="Y928" s="85"/>
      <c r="Z928" s="85"/>
      <c r="AA928" s="76"/>
      <c r="AB928" s="77"/>
      <c r="AC928" s="78"/>
    </row>
    <row r="929" spans="1:29" hidden="1" x14ac:dyDescent="0.2">
      <c r="A929" s="117"/>
      <c r="D929" s="71"/>
      <c r="E929" s="78"/>
      <c r="F929" s="84"/>
      <c r="G929" s="229"/>
      <c r="H929" s="71"/>
      <c r="I929" s="71"/>
      <c r="J929" s="79"/>
      <c r="K929" s="79"/>
      <c r="L929" s="80"/>
      <c r="M929" s="80"/>
      <c r="N929" s="73"/>
      <c r="O929" s="73"/>
      <c r="P929" s="74"/>
      <c r="Q929" s="75"/>
      <c r="R929" s="230"/>
      <c r="S929" s="230"/>
      <c r="T929" s="230"/>
      <c r="U929" s="231"/>
      <c r="V929" s="230"/>
      <c r="W929" s="230"/>
      <c r="X929" s="231"/>
      <c r="Y929" s="85"/>
      <c r="Z929" s="85"/>
      <c r="AA929" s="76"/>
      <c r="AB929" s="77"/>
      <c r="AC929" s="78"/>
    </row>
    <row r="930" spans="1:29" hidden="1" x14ac:dyDescent="0.2">
      <c r="A930" s="117"/>
      <c r="D930" s="71"/>
      <c r="E930" s="78"/>
      <c r="F930" s="84"/>
      <c r="G930" s="229"/>
      <c r="H930" s="71"/>
      <c r="I930" s="71"/>
      <c r="J930" s="79"/>
      <c r="K930" s="79"/>
      <c r="L930" s="80"/>
      <c r="M930" s="80"/>
      <c r="N930" s="73"/>
      <c r="O930" s="73"/>
      <c r="P930" s="74"/>
      <c r="Q930" s="75"/>
      <c r="R930" s="230"/>
      <c r="S930" s="230"/>
      <c r="T930" s="230"/>
      <c r="U930" s="231"/>
      <c r="V930" s="230"/>
      <c r="W930" s="230"/>
      <c r="X930" s="231"/>
      <c r="Y930" s="85"/>
      <c r="Z930" s="85"/>
      <c r="AA930" s="76"/>
      <c r="AB930" s="77"/>
      <c r="AC930" s="78"/>
    </row>
    <row r="931" spans="1:29" ht="29" x14ac:dyDescent="0.2">
      <c r="A931" s="117" t="s">
        <v>3376</v>
      </c>
      <c r="B931" s="118" t="e">
        <f>IF(COUNTIF(GIS,A931),"YES","NO")</f>
        <v>#VALUE!</v>
      </c>
      <c r="C931" s="118" t="s">
        <v>612</v>
      </c>
      <c r="D931" s="113">
        <v>40016</v>
      </c>
      <c r="E931" s="84">
        <v>40057</v>
      </c>
      <c r="F931" s="84">
        <f>DATE(YEAR(E931)+10,MONTH(E931),DAY(E931))</f>
        <v>43709</v>
      </c>
      <c r="G931" s="229">
        <v>1281.43</v>
      </c>
      <c r="H931" s="71" t="s">
        <v>3377</v>
      </c>
      <c r="I931" s="71" t="s">
        <v>1183</v>
      </c>
      <c r="J931" s="79"/>
      <c r="K931" s="55">
        <f>YEAR(F931)</f>
        <v>2019</v>
      </c>
      <c r="L931" s="80"/>
      <c r="M931" s="80"/>
      <c r="N931" s="73" t="s">
        <v>3378</v>
      </c>
      <c r="O931" s="73" t="s">
        <v>3379</v>
      </c>
      <c r="P931" s="74"/>
      <c r="Q931" s="75" t="s">
        <v>3380</v>
      </c>
      <c r="R931" s="230">
        <v>4627</v>
      </c>
      <c r="S931" s="230"/>
      <c r="T931" s="230">
        <v>4627</v>
      </c>
      <c r="U931" s="231">
        <v>1923</v>
      </c>
      <c r="V931" s="230"/>
      <c r="W931" s="230"/>
      <c r="X931" s="231"/>
      <c r="Y931" s="85">
        <v>0.45</v>
      </c>
      <c r="Z931" s="85">
        <v>0.1</v>
      </c>
      <c r="AA931" s="76"/>
      <c r="AB931" s="77"/>
      <c r="AC931" s="78"/>
    </row>
    <row r="932" spans="1:29" x14ac:dyDescent="0.2">
      <c r="A932" s="117" t="s">
        <v>3381</v>
      </c>
      <c r="B932" s="118" t="e">
        <f>IF(COUNTIF(GIS,A932),"YES","NO")</f>
        <v>#VALUE!</v>
      </c>
      <c r="C932" s="118" t="s">
        <v>612</v>
      </c>
      <c r="D932" s="113">
        <v>40016</v>
      </c>
      <c r="E932" s="84">
        <v>40057</v>
      </c>
      <c r="F932" s="84">
        <f>DATE(YEAR(E932)+10,MONTH(E932),DAY(E932))</f>
        <v>43709</v>
      </c>
      <c r="G932" s="229">
        <v>320</v>
      </c>
      <c r="H932" s="71" t="s">
        <v>3382</v>
      </c>
      <c r="I932" s="71" t="s">
        <v>1183</v>
      </c>
      <c r="J932" s="79"/>
      <c r="K932" s="55">
        <f>YEAR(F932)</f>
        <v>2019</v>
      </c>
      <c r="L932" s="80"/>
      <c r="M932" s="80"/>
      <c r="N932" s="73" t="s">
        <v>3383</v>
      </c>
      <c r="O932" s="73" t="s">
        <v>3384</v>
      </c>
      <c r="P932" s="74"/>
      <c r="Q932" s="75" t="s">
        <v>3385</v>
      </c>
      <c r="R932" s="230">
        <v>1260</v>
      </c>
      <c r="S932" s="230"/>
      <c r="T932" s="230">
        <v>1260</v>
      </c>
      <c r="U932" s="231">
        <v>480</v>
      </c>
      <c r="V932" s="230"/>
      <c r="W932" s="230"/>
      <c r="X932" s="231"/>
      <c r="Y932" s="85">
        <v>0.45</v>
      </c>
      <c r="Z932" s="85">
        <v>0.1</v>
      </c>
      <c r="AA932" s="76"/>
      <c r="AB932" s="77"/>
      <c r="AC932" s="78"/>
    </row>
    <row r="933" spans="1:29" x14ac:dyDescent="0.2">
      <c r="A933" s="117" t="s">
        <v>3386</v>
      </c>
      <c r="B933" s="118" t="e">
        <f>IF(COUNTIF(GIS,A933),"YES","NO")</f>
        <v>#VALUE!</v>
      </c>
      <c r="C933" s="118" t="s">
        <v>612</v>
      </c>
      <c r="D933" s="113">
        <v>40016</v>
      </c>
      <c r="E933" s="84">
        <v>40057</v>
      </c>
      <c r="F933" s="84">
        <f>DATE(YEAR(E933)+10,MONTH(E933),DAY(E933))</f>
        <v>43709</v>
      </c>
      <c r="G933" s="229">
        <v>240</v>
      </c>
      <c r="H933" s="71" t="s">
        <v>3377</v>
      </c>
      <c r="I933" s="71" t="s">
        <v>1183</v>
      </c>
      <c r="J933" s="79"/>
      <c r="K933" s="55">
        <f>YEAR(F933)</f>
        <v>2019</v>
      </c>
      <c r="L933" s="80"/>
      <c r="M933" s="80"/>
      <c r="N933" s="73" t="s">
        <v>3387</v>
      </c>
      <c r="O933" s="73" t="s">
        <v>3388</v>
      </c>
      <c r="P933" s="74"/>
      <c r="Q933" s="75" t="s">
        <v>3389</v>
      </c>
      <c r="R933" s="230">
        <v>980</v>
      </c>
      <c r="S933" s="230"/>
      <c r="T933" s="230">
        <v>980</v>
      </c>
      <c r="U933" s="231">
        <v>360</v>
      </c>
      <c r="V933" s="230"/>
      <c r="W933" s="230"/>
      <c r="X933" s="231"/>
      <c r="Y933" s="85">
        <v>0.45</v>
      </c>
      <c r="Z933" s="85">
        <v>0.1</v>
      </c>
      <c r="AA933" s="76"/>
      <c r="AB933" s="77"/>
      <c r="AC933" s="78"/>
    </row>
    <row r="934" spans="1:29" ht="27" customHeight="1" x14ac:dyDescent="0.2">
      <c r="A934" s="117" t="s">
        <v>3390</v>
      </c>
      <c r="B934" s="118" t="e">
        <f>IF(COUNTIF(GIS,A934),"YES","NO")</f>
        <v>#VALUE!</v>
      </c>
      <c r="C934" s="118" t="s">
        <v>612</v>
      </c>
      <c r="D934" s="113">
        <v>40016</v>
      </c>
      <c r="E934" s="84">
        <v>40057</v>
      </c>
      <c r="F934" s="84">
        <f>DATE(YEAR(E934)+10,MONTH(E934),DAY(E934))</f>
        <v>43709</v>
      </c>
      <c r="G934" s="229">
        <v>200</v>
      </c>
      <c r="H934" s="71" t="s">
        <v>1540</v>
      </c>
      <c r="I934" s="71" t="s">
        <v>1147</v>
      </c>
      <c r="J934" s="79"/>
      <c r="K934" s="55">
        <f>YEAR(F934)</f>
        <v>2019</v>
      </c>
      <c r="L934" s="80"/>
      <c r="M934" s="80"/>
      <c r="N934" s="73" t="s">
        <v>3391</v>
      </c>
      <c r="O934" s="73" t="s">
        <v>3392</v>
      </c>
      <c r="P934" s="74"/>
      <c r="Q934" s="75" t="s">
        <v>3393</v>
      </c>
      <c r="R934" s="230">
        <v>80440</v>
      </c>
      <c r="S934" s="230"/>
      <c r="T934" s="230">
        <v>80440</v>
      </c>
      <c r="U934" s="231">
        <v>300</v>
      </c>
      <c r="V934" s="230"/>
      <c r="W934" s="230"/>
      <c r="X934" s="231"/>
      <c r="Y934" s="85">
        <v>0.45</v>
      </c>
      <c r="Z934" s="85">
        <v>0.1</v>
      </c>
      <c r="AA934" s="76"/>
      <c r="AB934" s="77" t="s">
        <v>3394</v>
      </c>
      <c r="AC934" s="78"/>
    </row>
    <row r="935" spans="1:29" ht="15" hidden="1" customHeight="1" thickBot="1" x14ac:dyDescent="0.25">
      <c r="A935" s="117"/>
      <c r="D935" s="71"/>
      <c r="E935" s="78"/>
      <c r="F935" s="84"/>
      <c r="G935" s="229"/>
      <c r="H935" s="71"/>
      <c r="I935" s="71"/>
      <c r="J935" s="79"/>
      <c r="K935" s="79"/>
      <c r="L935" s="80"/>
      <c r="M935" s="80"/>
      <c r="N935" s="73"/>
      <c r="O935" s="73"/>
      <c r="P935" s="74"/>
      <c r="Q935" s="75" t="s">
        <v>3322</v>
      </c>
      <c r="R935" s="241">
        <v>87307</v>
      </c>
      <c r="S935" s="230"/>
      <c r="T935" s="241">
        <v>87307</v>
      </c>
      <c r="U935" s="231"/>
      <c r="V935" s="230"/>
      <c r="W935" s="230"/>
      <c r="X935" s="231"/>
      <c r="Y935" s="85"/>
      <c r="Z935" s="85"/>
      <c r="AA935" s="76"/>
      <c r="AB935" s="77"/>
      <c r="AC935" s="78"/>
    </row>
    <row r="936" spans="1:29" hidden="1" x14ac:dyDescent="0.2">
      <c r="A936" s="117"/>
      <c r="D936" s="71"/>
      <c r="E936" s="78"/>
      <c r="F936" s="84"/>
      <c r="G936" s="229"/>
      <c r="H936" s="71"/>
      <c r="I936" s="71"/>
      <c r="J936" s="79"/>
      <c r="K936" s="79"/>
      <c r="L936" s="80"/>
      <c r="M936" s="80"/>
      <c r="N936" s="73"/>
      <c r="O936" s="73"/>
      <c r="P936" s="74"/>
      <c r="Q936" s="75"/>
      <c r="R936" s="230"/>
      <c r="S936" s="230"/>
      <c r="T936" s="230"/>
      <c r="U936" s="231"/>
      <c r="V936" s="230"/>
      <c r="W936" s="230"/>
      <c r="X936" s="231"/>
      <c r="Y936" s="85"/>
      <c r="Z936" s="85"/>
      <c r="AA936" s="76"/>
      <c r="AB936" s="77"/>
      <c r="AC936" s="78"/>
    </row>
    <row r="937" spans="1:29" ht="27" hidden="1" customHeight="1" x14ac:dyDescent="0.2">
      <c r="A937" s="117" t="s">
        <v>3069</v>
      </c>
      <c r="B937" s="118" t="e">
        <f>IF(COUNTIF(GIS,A937),"YES","NO")</f>
        <v>#VALUE!</v>
      </c>
      <c r="C937" s="118" t="s">
        <v>612</v>
      </c>
      <c r="D937" s="113">
        <v>39645</v>
      </c>
      <c r="E937" s="84">
        <v>39753</v>
      </c>
      <c r="F937" s="84"/>
      <c r="G937" s="245"/>
      <c r="H937" s="71"/>
      <c r="I937" s="71"/>
      <c r="J937" s="72" t="s">
        <v>3395</v>
      </c>
      <c r="K937" s="55"/>
      <c r="L937" s="72"/>
      <c r="M937" s="72"/>
      <c r="N937" s="73"/>
      <c r="O937" s="73"/>
      <c r="P937" s="74"/>
      <c r="Q937" s="260"/>
      <c r="R937" s="244"/>
      <c r="S937" s="244"/>
      <c r="T937" s="230">
        <v>-42225</v>
      </c>
      <c r="U937" s="243"/>
      <c r="V937" s="244"/>
      <c r="W937" s="244"/>
      <c r="X937" s="243"/>
      <c r="Y937" s="85">
        <v>0.5</v>
      </c>
      <c r="Z937" s="85"/>
      <c r="AA937" s="76"/>
      <c r="AB937" s="77"/>
      <c r="AC937" s="78"/>
    </row>
    <row r="938" spans="1:29" hidden="1" x14ac:dyDescent="0.2">
      <c r="A938" s="117"/>
      <c r="D938" s="100"/>
      <c r="E938" s="108"/>
      <c r="F938" s="84"/>
      <c r="G938" s="229"/>
      <c r="H938" s="71"/>
      <c r="I938" s="71"/>
      <c r="J938" s="238" t="s">
        <v>3396</v>
      </c>
      <c r="K938" s="238"/>
      <c r="L938" s="239"/>
      <c r="M938" s="239"/>
      <c r="N938" s="73"/>
      <c r="O938" s="73"/>
      <c r="P938" s="74"/>
      <c r="Q938" s="107" t="s">
        <v>3397</v>
      </c>
      <c r="R938" s="230"/>
      <c r="S938" s="230"/>
      <c r="T938" s="257">
        <v>-86831.5</v>
      </c>
      <c r="U938" s="231"/>
      <c r="V938" s="230"/>
      <c r="W938" s="230"/>
      <c r="X938" s="231"/>
      <c r="Y938" s="85"/>
      <c r="Z938" s="85"/>
      <c r="AA938" s="76"/>
      <c r="AB938" s="77"/>
      <c r="AC938" s="78"/>
    </row>
    <row r="939" spans="1:29" hidden="1" x14ac:dyDescent="0.2">
      <c r="A939" s="117"/>
      <c r="D939" s="71"/>
      <c r="E939" s="78"/>
      <c r="F939" s="84"/>
      <c r="G939" s="229"/>
      <c r="H939" s="71"/>
      <c r="I939" s="71"/>
      <c r="J939" s="79"/>
      <c r="K939" s="79"/>
      <c r="L939" s="80"/>
      <c r="M939" s="80"/>
      <c r="N939" s="73"/>
      <c r="O939" s="73"/>
      <c r="P939" s="74"/>
      <c r="Q939" s="75"/>
      <c r="R939" s="230"/>
      <c r="S939" s="230"/>
      <c r="T939" s="230"/>
      <c r="U939" s="231"/>
      <c r="V939" s="230"/>
      <c r="W939" s="230"/>
      <c r="X939" s="231"/>
      <c r="Y939" s="85"/>
      <c r="Z939" s="85"/>
      <c r="AA939" s="76"/>
      <c r="AB939" s="77"/>
      <c r="AC939" s="78"/>
    </row>
    <row r="940" spans="1:29" ht="15" hidden="1" customHeight="1" thickBot="1" x14ac:dyDescent="0.25">
      <c r="A940" s="117"/>
      <c r="D940" s="71"/>
      <c r="E940" s="78"/>
      <c r="F940" s="84"/>
      <c r="G940" s="229"/>
      <c r="H940" s="71"/>
      <c r="I940" s="71"/>
      <c r="J940" s="79"/>
      <c r="K940" s="79"/>
      <c r="L940" s="80"/>
      <c r="M940" s="80"/>
      <c r="N940" s="73"/>
      <c r="O940" s="73"/>
      <c r="P940" s="74"/>
      <c r="Q940" s="75" t="s">
        <v>3398</v>
      </c>
      <c r="R940" s="230"/>
      <c r="S940" s="230"/>
      <c r="T940" s="255">
        <v>17472861</v>
      </c>
      <c r="U940" s="231"/>
      <c r="V940" s="230"/>
      <c r="W940" s="230"/>
      <c r="X940" s="231"/>
      <c r="Y940" s="85"/>
      <c r="Z940" s="85"/>
      <c r="AA940" s="76"/>
      <c r="AB940" s="77"/>
      <c r="AC940" s="78"/>
    </row>
    <row r="941" spans="1:29" hidden="1" x14ac:dyDescent="0.2">
      <c r="A941" s="117"/>
      <c r="D941" s="71"/>
      <c r="E941" s="78"/>
      <c r="F941" s="84"/>
      <c r="G941" s="229"/>
      <c r="H941" s="71"/>
      <c r="I941" s="71"/>
      <c r="J941" s="79"/>
      <c r="K941" s="79"/>
      <c r="L941" s="80"/>
      <c r="M941" s="80"/>
      <c r="N941" s="73"/>
      <c r="O941" s="73"/>
      <c r="P941" s="74"/>
      <c r="Q941" s="75"/>
      <c r="R941" s="230"/>
      <c r="S941" s="230"/>
      <c r="T941" s="230"/>
      <c r="U941" s="231"/>
      <c r="V941" s="230"/>
      <c r="W941" s="230"/>
      <c r="X941" s="231"/>
      <c r="Y941" s="85"/>
      <c r="Z941" s="85"/>
      <c r="AA941" s="76"/>
      <c r="AB941" s="77"/>
      <c r="AC941" s="78"/>
    </row>
    <row r="942" spans="1:29" x14ac:dyDescent="0.2">
      <c r="A942" s="117" t="s">
        <v>3399</v>
      </c>
      <c r="B942" s="118" t="e">
        <f t="shared" ref="B942:B974" si="104">IF(COUNTIF(GIS,A942),"YES","NO")</f>
        <v>#VALUE!</v>
      </c>
      <c r="C942" s="118" t="s">
        <v>612</v>
      </c>
      <c r="D942" s="113">
        <v>40255</v>
      </c>
      <c r="E942" s="84">
        <v>40330</v>
      </c>
      <c r="F942" s="84">
        <f t="shared" ref="F942:F974" si="105">DATE(YEAR(E942)+10,MONTH(E942),DAY(E942))</f>
        <v>43983</v>
      </c>
      <c r="G942" s="229">
        <v>122</v>
      </c>
      <c r="H942" s="71" t="s">
        <v>3400</v>
      </c>
      <c r="I942" s="71" t="s">
        <v>931</v>
      </c>
      <c r="J942" s="79"/>
      <c r="K942" s="55">
        <f t="shared" ref="K942:K974" si="106">YEAR(F942)</f>
        <v>2020</v>
      </c>
      <c r="L942" s="80"/>
      <c r="M942" s="80"/>
      <c r="N942" s="73" t="s">
        <v>3401</v>
      </c>
      <c r="O942" s="73" t="s">
        <v>3402</v>
      </c>
      <c r="P942" s="74"/>
      <c r="Q942" s="75">
        <v>1</v>
      </c>
      <c r="R942" s="230">
        <v>572</v>
      </c>
      <c r="S942" s="230">
        <v>4026</v>
      </c>
      <c r="T942" s="230">
        <v>4598</v>
      </c>
      <c r="U942" s="231">
        <v>244</v>
      </c>
      <c r="V942" s="230"/>
      <c r="W942" s="230"/>
      <c r="X942" s="231"/>
      <c r="Y942" s="101"/>
      <c r="Z942" s="101">
        <v>0.1</v>
      </c>
      <c r="AA942" s="102"/>
      <c r="AB942" s="77"/>
      <c r="AC942" s="78"/>
    </row>
    <row r="943" spans="1:29" x14ac:dyDescent="0.2">
      <c r="A943" s="117" t="s">
        <v>3403</v>
      </c>
      <c r="B943" s="118" t="e">
        <f t="shared" si="104"/>
        <v>#VALUE!</v>
      </c>
      <c r="C943" s="118" t="s">
        <v>612</v>
      </c>
      <c r="D943" s="113">
        <v>40255</v>
      </c>
      <c r="E943" s="84">
        <v>40330</v>
      </c>
      <c r="F943" s="84">
        <f t="shared" si="105"/>
        <v>43983</v>
      </c>
      <c r="G943" s="229">
        <v>40.700000000000003</v>
      </c>
      <c r="H943" s="71" t="s">
        <v>3404</v>
      </c>
      <c r="I943" s="71" t="s">
        <v>931</v>
      </c>
      <c r="J943" s="79"/>
      <c r="K943" s="55">
        <f t="shared" si="106"/>
        <v>2020</v>
      </c>
      <c r="L943" s="80"/>
      <c r="M943" s="80"/>
      <c r="N943" s="73" t="s">
        <v>3405</v>
      </c>
      <c r="O943" s="73" t="s">
        <v>3406</v>
      </c>
      <c r="P943" s="74"/>
      <c r="Q943" s="75">
        <v>2</v>
      </c>
      <c r="R943" s="230">
        <v>288.5</v>
      </c>
      <c r="S943" s="230"/>
      <c r="T943" s="230">
        <v>288.5</v>
      </c>
      <c r="U943" s="231">
        <v>82</v>
      </c>
      <c r="V943" s="230"/>
      <c r="W943" s="230"/>
      <c r="X943" s="231"/>
      <c r="Y943" s="85"/>
      <c r="Z943" s="101">
        <v>0.1</v>
      </c>
      <c r="AA943" s="102"/>
      <c r="AB943" s="77"/>
      <c r="AC943" s="78"/>
    </row>
    <row r="944" spans="1:29" x14ac:dyDescent="0.2">
      <c r="A944" s="117" t="s">
        <v>3407</v>
      </c>
      <c r="B944" s="118" t="e">
        <f t="shared" si="104"/>
        <v>#VALUE!</v>
      </c>
      <c r="C944" s="118" t="s">
        <v>612</v>
      </c>
      <c r="D944" s="113">
        <v>40255</v>
      </c>
      <c r="E944" s="84">
        <v>40330</v>
      </c>
      <c r="F944" s="84">
        <f t="shared" si="105"/>
        <v>43983</v>
      </c>
      <c r="G944" s="229">
        <v>40</v>
      </c>
      <c r="H944" s="71" t="s">
        <v>3404</v>
      </c>
      <c r="I944" s="71" t="s">
        <v>931</v>
      </c>
      <c r="J944" s="79"/>
      <c r="K944" s="55">
        <f t="shared" si="106"/>
        <v>2020</v>
      </c>
      <c r="L944" s="80"/>
      <c r="M944" s="80"/>
      <c r="N944" s="73" t="s">
        <v>3408</v>
      </c>
      <c r="O944" s="73" t="s">
        <v>3409</v>
      </c>
      <c r="P944" s="74"/>
      <c r="Q944" s="75">
        <v>3</v>
      </c>
      <c r="R944" s="230">
        <v>285</v>
      </c>
      <c r="S944" s="230">
        <v>480</v>
      </c>
      <c r="T944" s="230">
        <v>765</v>
      </c>
      <c r="U944" s="231">
        <v>80</v>
      </c>
      <c r="V944" s="230"/>
      <c r="W944" s="230"/>
      <c r="X944" s="231"/>
      <c r="Y944" s="85"/>
      <c r="Z944" s="101">
        <v>0.1</v>
      </c>
      <c r="AA944" s="102"/>
      <c r="AB944" s="77"/>
      <c r="AC944" s="78"/>
    </row>
    <row r="945" spans="1:29" x14ac:dyDescent="0.2">
      <c r="A945" s="117" t="s">
        <v>3410</v>
      </c>
      <c r="B945" s="118" t="e">
        <f t="shared" si="104"/>
        <v>#VALUE!</v>
      </c>
      <c r="C945" s="118" t="s">
        <v>612</v>
      </c>
      <c r="D945" s="113">
        <v>40255</v>
      </c>
      <c r="E945" s="84">
        <v>40330</v>
      </c>
      <c r="F945" s="84">
        <f t="shared" si="105"/>
        <v>43983</v>
      </c>
      <c r="G945" s="229">
        <v>200</v>
      </c>
      <c r="H945" s="71" t="s">
        <v>3404</v>
      </c>
      <c r="I945" s="71" t="s">
        <v>931</v>
      </c>
      <c r="J945" s="79"/>
      <c r="K945" s="55">
        <f t="shared" si="106"/>
        <v>2020</v>
      </c>
      <c r="L945" s="80"/>
      <c r="M945" s="80"/>
      <c r="N945" s="73" t="s">
        <v>3411</v>
      </c>
      <c r="O945" s="73" t="s">
        <v>3412</v>
      </c>
      <c r="P945" s="74"/>
      <c r="Q945" s="75">
        <v>4</v>
      </c>
      <c r="R945" s="230">
        <v>845</v>
      </c>
      <c r="S945" s="230"/>
      <c r="T945" s="230">
        <v>845</v>
      </c>
      <c r="U945" s="231">
        <v>400</v>
      </c>
      <c r="V945" s="230"/>
      <c r="W945" s="230"/>
      <c r="X945" s="231"/>
      <c r="Y945" s="85"/>
      <c r="Z945" s="101">
        <v>0.1</v>
      </c>
      <c r="AA945" s="102"/>
      <c r="AB945" s="77"/>
      <c r="AC945" s="78"/>
    </row>
    <row r="946" spans="1:29" x14ac:dyDescent="0.2">
      <c r="A946" s="117" t="s">
        <v>3413</v>
      </c>
      <c r="B946" s="118" t="e">
        <f t="shared" si="104"/>
        <v>#VALUE!</v>
      </c>
      <c r="C946" s="118" t="s">
        <v>612</v>
      </c>
      <c r="D946" s="113">
        <v>40255</v>
      </c>
      <c r="E946" s="84">
        <v>40330</v>
      </c>
      <c r="F946" s="84">
        <f t="shared" si="105"/>
        <v>43983</v>
      </c>
      <c r="G946" s="229">
        <v>39.090000000000003</v>
      </c>
      <c r="H946" s="71" t="s">
        <v>3404</v>
      </c>
      <c r="I946" s="71" t="s">
        <v>931</v>
      </c>
      <c r="J946" s="79"/>
      <c r="K946" s="55">
        <f t="shared" si="106"/>
        <v>2020</v>
      </c>
      <c r="L946" s="80"/>
      <c r="M946" s="80"/>
      <c r="N946" s="73" t="s">
        <v>3414</v>
      </c>
      <c r="O946" s="73" t="s">
        <v>3415</v>
      </c>
      <c r="P946" s="74"/>
      <c r="Q946" s="75">
        <v>5</v>
      </c>
      <c r="R946" s="230">
        <v>285</v>
      </c>
      <c r="S946" s="230"/>
      <c r="T946" s="230">
        <v>285</v>
      </c>
      <c r="U946" s="231">
        <v>80</v>
      </c>
      <c r="V946" s="230"/>
      <c r="W946" s="230"/>
      <c r="X946" s="231"/>
      <c r="Y946" s="85"/>
      <c r="Z946" s="101">
        <v>0.1</v>
      </c>
      <c r="AA946" s="102"/>
      <c r="AB946" s="77"/>
      <c r="AC946" s="78"/>
    </row>
    <row r="947" spans="1:29" x14ac:dyDescent="0.2">
      <c r="A947" s="117" t="s">
        <v>3416</v>
      </c>
      <c r="B947" s="118" t="e">
        <f t="shared" si="104"/>
        <v>#VALUE!</v>
      </c>
      <c r="C947" s="118" t="s">
        <v>612</v>
      </c>
      <c r="D947" s="113">
        <v>40255</v>
      </c>
      <c r="E947" s="84">
        <v>40330</v>
      </c>
      <c r="F947" s="84">
        <f t="shared" si="105"/>
        <v>43983</v>
      </c>
      <c r="G947" s="229">
        <v>40</v>
      </c>
      <c r="H947" s="71" t="s">
        <v>930</v>
      </c>
      <c r="I947" s="71" t="s">
        <v>931</v>
      </c>
      <c r="J947" s="79"/>
      <c r="K947" s="55">
        <f t="shared" si="106"/>
        <v>2020</v>
      </c>
      <c r="L947" s="80"/>
      <c r="M947" s="80"/>
      <c r="N947" s="73" t="s">
        <v>3417</v>
      </c>
      <c r="O947" s="73" t="s">
        <v>3418</v>
      </c>
      <c r="P947" s="74"/>
      <c r="Q947" s="75">
        <v>7</v>
      </c>
      <c r="R947" s="230">
        <v>285</v>
      </c>
      <c r="S947" s="230">
        <v>320</v>
      </c>
      <c r="T947" s="230">
        <v>605</v>
      </c>
      <c r="U947" s="231">
        <v>80</v>
      </c>
      <c r="V947" s="230"/>
      <c r="W947" s="230"/>
      <c r="X947" s="231"/>
      <c r="Y947" s="85"/>
      <c r="Z947" s="101">
        <v>0.1</v>
      </c>
      <c r="AA947" s="102"/>
      <c r="AB947" s="77"/>
      <c r="AC947" s="78"/>
    </row>
    <row r="948" spans="1:29" x14ac:dyDescent="0.2">
      <c r="A948" s="117" t="s">
        <v>3419</v>
      </c>
      <c r="B948" s="118" t="e">
        <f t="shared" si="104"/>
        <v>#VALUE!</v>
      </c>
      <c r="C948" s="118" t="s">
        <v>612</v>
      </c>
      <c r="D948" s="113">
        <v>40255</v>
      </c>
      <c r="E948" s="84">
        <v>40330</v>
      </c>
      <c r="F948" s="84">
        <f t="shared" si="105"/>
        <v>43983</v>
      </c>
      <c r="G948" s="229">
        <v>57.26</v>
      </c>
      <c r="H948" s="71" t="s">
        <v>930</v>
      </c>
      <c r="I948" s="71" t="s">
        <v>931</v>
      </c>
      <c r="J948" s="79"/>
      <c r="K948" s="55">
        <f t="shared" si="106"/>
        <v>2020</v>
      </c>
      <c r="L948" s="80"/>
      <c r="M948" s="80"/>
      <c r="N948" s="73" t="s">
        <v>3420</v>
      </c>
      <c r="O948" s="73" t="s">
        <v>3421</v>
      </c>
      <c r="P948" s="74"/>
      <c r="Q948" s="75">
        <v>8</v>
      </c>
      <c r="R948" s="230">
        <v>348</v>
      </c>
      <c r="S948" s="230">
        <v>3364</v>
      </c>
      <c r="T948" s="230">
        <v>3712</v>
      </c>
      <c r="U948" s="231">
        <v>116</v>
      </c>
      <c r="V948" s="230"/>
      <c r="W948" s="230"/>
      <c r="X948" s="231"/>
      <c r="Y948" s="85"/>
      <c r="Z948" s="101">
        <v>0.1</v>
      </c>
      <c r="AA948" s="102"/>
      <c r="AB948" s="77"/>
      <c r="AC948" s="78"/>
    </row>
    <row r="949" spans="1:29" ht="27" customHeight="1" x14ac:dyDescent="0.2">
      <c r="A949" s="117" t="s">
        <v>3422</v>
      </c>
      <c r="B949" s="118" t="e">
        <f t="shared" si="104"/>
        <v>#VALUE!</v>
      </c>
      <c r="C949" s="118" t="s">
        <v>612</v>
      </c>
      <c r="D949" s="113">
        <v>40255</v>
      </c>
      <c r="E949" s="84">
        <v>40330</v>
      </c>
      <c r="F949" s="84">
        <f t="shared" si="105"/>
        <v>43983</v>
      </c>
      <c r="G949" s="229">
        <v>154.30000000000001</v>
      </c>
      <c r="H949" s="71"/>
      <c r="I949" s="71" t="s">
        <v>931</v>
      </c>
      <c r="J949" s="72" t="s">
        <v>3423</v>
      </c>
      <c r="K949" s="55">
        <f t="shared" si="106"/>
        <v>2020</v>
      </c>
      <c r="L949" s="81"/>
      <c r="M949" s="81"/>
      <c r="N949" s="73"/>
      <c r="O949" s="73"/>
      <c r="P949" s="74"/>
      <c r="Q949" s="75">
        <v>9</v>
      </c>
      <c r="R949" s="230">
        <v>687.5</v>
      </c>
      <c r="S949" s="230"/>
      <c r="T949" s="230">
        <v>687.5</v>
      </c>
      <c r="U949" s="231">
        <v>232.5</v>
      </c>
      <c r="V949" s="230"/>
      <c r="W949" s="230"/>
      <c r="X949" s="231"/>
      <c r="Y949" s="85"/>
      <c r="Z949" s="101">
        <v>0.1</v>
      </c>
      <c r="AA949" s="102"/>
      <c r="AB949" s="77"/>
      <c r="AC949" s="78"/>
    </row>
    <row r="950" spans="1:29" x14ac:dyDescent="0.2">
      <c r="A950" s="117" t="s">
        <v>3424</v>
      </c>
      <c r="B950" s="118" t="e">
        <f t="shared" si="104"/>
        <v>#VALUE!</v>
      </c>
      <c r="C950" s="118" t="s">
        <v>612</v>
      </c>
      <c r="D950" s="113">
        <v>40255</v>
      </c>
      <c r="E950" s="84">
        <v>40330</v>
      </c>
      <c r="F950" s="84">
        <f t="shared" si="105"/>
        <v>43983</v>
      </c>
      <c r="G950" s="229">
        <v>600.4</v>
      </c>
      <c r="H950" s="71" t="s">
        <v>3425</v>
      </c>
      <c r="I950" s="71" t="s">
        <v>931</v>
      </c>
      <c r="J950" s="79"/>
      <c r="K950" s="55">
        <f t="shared" si="106"/>
        <v>2020</v>
      </c>
      <c r="L950" s="80"/>
      <c r="M950" s="80"/>
      <c r="N950" s="73" t="s">
        <v>3426</v>
      </c>
      <c r="O950" s="73" t="s">
        <v>3427</v>
      </c>
      <c r="P950" s="74"/>
      <c r="Q950" s="75">
        <v>10</v>
      </c>
      <c r="R950" s="230">
        <v>2248.5</v>
      </c>
      <c r="S950" s="230">
        <v>40868</v>
      </c>
      <c r="T950" s="230">
        <v>43116.5</v>
      </c>
      <c r="U950" s="231">
        <v>1202</v>
      </c>
      <c r="V950" s="230"/>
      <c r="W950" s="230"/>
      <c r="X950" s="231"/>
      <c r="Y950" s="85"/>
      <c r="Z950" s="101">
        <v>0.1</v>
      </c>
      <c r="AA950" s="102"/>
      <c r="AB950" s="77"/>
      <c r="AC950" s="78"/>
    </row>
    <row r="951" spans="1:29" x14ac:dyDescent="0.2">
      <c r="A951" s="117" t="s">
        <v>3428</v>
      </c>
      <c r="B951" s="118" t="e">
        <f t="shared" si="104"/>
        <v>#VALUE!</v>
      </c>
      <c r="C951" s="118" t="s">
        <v>612</v>
      </c>
      <c r="D951" s="113">
        <v>40255</v>
      </c>
      <c r="E951" s="84">
        <v>40330</v>
      </c>
      <c r="F951" s="84">
        <f t="shared" si="105"/>
        <v>43983</v>
      </c>
      <c r="G951" s="229">
        <v>37.9</v>
      </c>
      <c r="H951" s="71" t="s">
        <v>1507</v>
      </c>
      <c r="I951" s="71" t="s">
        <v>931</v>
      </c>
      <c r="J951" s="79"/>
      <c r="K951" s="55">
        <f t="shared" si="106"/>
        <v>2020</v>
      </c>
      <c r="L951" s="80"/>
      <c r="M951" s="80"/>
      <c r="N951" s="73" t="s">
        <v>3429</v>
      </c>
      <c r="O951" s="73" t="s">
        <v>3430</v>
      </c>
      <c r="P951" s="74"/>
      <c r="Q951" s="75">
        <v>11</v>
      </c>
      <c r="R951" s="230">
        <v>278</v>
      </c>
      <c r="S951" s="230"/>
      <c r="T951" s="230">
        <v>278</v>
      </c>
      <c r="U951" s="231">
        <v>76</v>
      </c>
      <c r="V951" s="230"/>
      <c r="W951" s="230"/>
      <c r="X951" s="231"/>
      <c r="Y951" s="85"/>
      <c r="Z951" s="101">
        <v>0.1</v>
      </c>
      <c r="AA951" s="102"/>
      <c r="AB951" s="77"/>
      <c r="AC951" s="78"/>
    </row>
    <row r="952" spans="1:29" x14ac:dyDescent="0.2">
      <c r="A952" s="117" t="s">
        <v>3431</v>
      </c>
      <c r="B952" s="118" t="e">
        <f t="shared" si="104"/>
        <v>#VALUE!</v>
      </c>
      <c r="C952" s="118" t="s">
        <v>612</v>
      </c>
      <c r="D952" s="113">
        <v>40255</v>
      </c>
      <c r="E952" s="84">
        <v>40330</v>
      </c>
      <c r="F952" s="84">
        <f t="shared" si="105"/>
        <v>43983</v>
      </c>
      <c r="G952" s="229">
        <v>213.01</v>
      </c>
      <c r="H952" s="71" t="s">
        <v>3425</v>
      </c>
      <c r="I952" s="71" t="s">
        <v>931</v>
      </c>
      <c r="J952" s="79"/>
      <c r="K952" s="55">
        <f t="shared" si="106"/>
        <v>2020</v>
      </c>
      <c r="L952" s="80"/>
      <c r="M952" s="80"/>
      <c r="N952" s="73" t="s">
        <v>3432</v>
      </c>
      <c r="O952" s="73" t="s">
        <v>3433</v>
      </c>
      <c r="P952" s="74"/>
      <c r="Q952" s="75">
        <v>13</v>
      </c>
      <c r="R952" s="230">
        <v>852</v>
      </c>
      <c r="S952" s="230">
        <v>23836</v>
      </c>
      <c r="T952" s="230">
        <v>24688</v>
      </c>
      <c r="U952" s="231">
        <v>428</v>
      </c>
      <c r="V952" s="230"/>
      <c r="W952" s="230"/>
      <c r="X952" s="231"/>
      <c r="Y952" s="85"/>
      <c r="Z952" s="101">
        <v>0.1</v>
      </c>
      <c r="AA952" s="102"/>
      <c r="AB952" s="77"/>
      <c r="AC952" s="78"/>
    </row>
    <row r="953" spans="1:29" ht="27" customHeight="1" x14ac:dyDescent="0.2">
      <c r="A953" s="117" t="s">
        <v>3434</v>
      </c>
      <c r="B953" s="118" t="e">
        <f t="shared" si="104"/>
        <v>#VALUE!</v>
      </c>
      <c r="C953" s="118" t="s">
        <v>612</v>
      </c>
      <c r="D953" s="113">
        <v>40255</v>
      </c>
      <c r="E953" s="84">
        <v>40330</v>
      </c>
      <c r="F953" s="84">
        <f t="shared" si="105"/>
        <v>43983</v>
      </c>
      <c r="G953" s="229">
        <v>400</v>
      </c>
      <c r="H953" s="71" t="s">
        <v>3435</v>
      </c>
      <c r="I953" s="71" t="s">
        <v>691</v>
      </c>
      <c r="J953" s="79"/>
      <c r="K953" s="55">
        <f t="shared" si="106"/>
        <v>2020</v>
      </c>
      <c r="L953" s="80"/>
      <c r="M953" s="80"/>
      <c r="N953" s="73" t="s">
        <v>3436</v>
      </c>
      <c r="O953" s="73" t="s">
        <v>3437</v>
      </c>
      <c r="P953" s="74"/>
      <c r="Q953" s="75">
        <v>50</v>
      </c>
      <c r="R953" s="230">
        <v>1545</v>
      </c>
      <c r="S953" s="230">
        <v>4800</v>
      </c>
      <c r="T953" s="230">
        <v>6345</v>
      </c>
      <c r="U953" s="231">
        <v>800</v>
      </c>
      <c r="V953" s="230"/>
      <c r="W953" s="230"/>
      <c r="X953" s="231"/>
      <c r="Y953" s="85"/>
      <c r="Z953" s="101">
        <v>0.1</v>
      </c>
      <c r="AA953" s="102"/>
      <c r="AB953" s="77"/>
      <c r="AC953" s="78"/>
    </row>
    <row r="954" spans="1:29" ht="27" customHeight="1" x14ac:dyDescent="0.2">
      <c r="A954" s="117" t="s">
        <v>3438</v>
      </c>
      <c r="B954" s="118" t="e">
        <f t="shared" si="104"/>
        <v>#VALUE!</v>
      </c>
      <c r="C954" s="118" t="s">
        <v>612</v>
      </c>
      <c r="D954" s="113">
        <v>40255</v>
      </c>
      <c r="E954" s="84">
        <v>40330</v>
      </c>
      <c r="F954" s="84">
        <f t="shared" si="105"/>
        <v>43983</v>
      </c>
      <c r="G954" s="229">
        <v>160</v>
      </c>
      <c r="H954" s="71" t="s">
        <v>703</v>
      </c>
      <c r="I954" s="71" t="s">
        <v>691</v>
      </c>
      <c r="J954" s="79"/>
      <c r="K954" s="55">
        <f t="shared" si="106"/>
        <v>2020</v>
      </c>
      <c r="L954" s="80"/>
      <c r="M954" s="80"/>
      <c r="N954" s="73" t="s">
        <v>3439</v>
      </c>
      <c r="O954" s="73" t="s">
        <v>3440</v>
      </c>
      <c r="P954" s="74"/>
      <c r="Q954" s="75">
        <v>52</v>
      </c>
      <c r="R954" s="230">
        <v>705</v>
      </c>
      <c r="S954" s="230">
        <v>71680</v>
      </c>
      <c r="T954" s="230">
        <v>72385</v>
      </c>
      <c r="U954" s="231">
        <v>320</v>
      </c>
      <c r="V954" s="230"/>
      <c r="W954" s="230"/>
      <c r="X954" s="231"/>
      <c r="Y954" s="85"/>
      <c r="Z954" s="101">
        <v>0.1</v>
      </c>
      <c r="AA954" s="102"/>
      <c r="AB954" s="77"/>
      <c r="AC954" s="78"/>
    </row>
    <row r="955" spans="1:29" ht="27" customHeight="1" x14ac:dyDescent="0.2">
      <c r="A955" s="117" t="s">
        <v>3441</v>
      </c>
      <c r="B955" s="118" t="e">
        <f t="shared" si="104"/>
        <v>#VALUE!</v>
      </c>
      <c r="C955" s="118" t="s">
        <v>612</v>
      </c>
      <c r="D955" s="113">
        <v>40255</v>
      </c>
      <c r="E955" s="84">
        <v>40330</v>
      </c>
      <c r="F955" s="84">
        <f t="shared" si="105"/>
        <v>43983</v>
      </c>
      <c r="G955" s="229">
        <v>173.33</v>
      </c>
      <c r="H955" s="71" t="s">
        <v>3442</v>
      </c>
      <c r="I955" s="71" t="s">
        <v>691</v>
      </c>
      <c r="J955" s="79"/>
      <c r="K955" s="55">
        <f t="shared" si="106"/>
        <v>2020</v>
      </c>
      <c r="L955" s="80"/>
      <c r="M955" s="80"/>
      <c r="N955" s="73" t="s">
        <v>3443</v>
      </c>
      <c r="O955" s="73" t="s">
        <v>3444</v>
      </c>
      <c r="P955" s="74"/>
      <c r="Q955" s="75">
        <v>54</v>
      </c>
      <c r="R955" s="230">
        <v>754</v>
      </c>
      <c r="S955" s="230"/>
      <c r="T955" s="230">
        <v>754</v>
      </c>
      <c r="U955" s="231">
        <v>348</v>
      </c>
      <c r="V955" s="230"/>
      <c r="W955" s="230"/>
      <c r="X955" s="231"/>
      <c r="Y955" s="85"/>
      <c r="Z955" s="101">
        <v>0.1</v>
      </c>
      <c r="AA955" s="102"/>
      <c r="AB955" s="77"/>
      <c r="AC955" s="78"/>
    </row>
    <row r="956" spans="1:29" ht="27" customHeight="1" x14ac:dyDescent="0.2">
      <c r="A956" s="117" t="s">
        <v>3445</v>
      </c>
      <c r="B956" s="118" t="e">
        <f t="shared" si="104"/>
        <v>#VALUE!</v>
      </c>
      <c r="C956" s="118" t="s">
        <v>612</v>
      </c>
      <c r="D956" s="113">
        <v>40255</v>
      </c>
      <c r="E956" s="84">
        <v>40330</v>
      </c>
      <c r="F956" s="84">
        <f t="shared" si="105"/>
        <v>43983</v>
      </c>
      <c r="G956" s="229">
        <v>197.56</v>
      </c>
      <c r="H956" s="71" t="s">
        <v>3446</v>
      </c>
      <c r="I956" s="71" t="s">
        <v>3447</v>
      </c>
      <c r="J956" s="79"/>
      <c r="K956" s="55">
        <f t="shared" si="106"/>
        <v>2020</v>
      </c>
      <c r="L956" s="80"/>
      <c r="M956" s="80"/>
      <c r="N956" s="73" t="s">
        <v>3448</v>
      </c>
      <c r="O956" s="73" t="s">
        <v>3449</v>
      </c>
      <c r="P956" s="74"/>
      <c r="Q956" s="75">
        <v>56</v>
      </c>
      <c r="R956" s="230">
        <v>838</v>
      </c>
      <c r="S956" s="230">
        <v>13464</v>
      </c>
      <c r="T956" s="230">
        <v>14302</v>
      </c>
      <c r="U956" s="231">
        <v>396</v>
      </c>
      <c r="V956" s="230"/>
      <c r="W956" s="230"/>
      <c r="X956" s="231"/>
      <c r="Y956" s="85"/>
      <c r="Z956" s="101">
        <v>0.1</v>
      </c>
      <c r="AA956" s="102"/>
      <c r="AB956" s="77"/>
      <c r="AC956" s="78"/>
    </row>
    <row r="957" spans="1:29" x14ac:dyDescent="0.2">
      <c r="A957" s="117" t="s">
        <v>3450</v>
      </c>
      <c r="B957" s="118" t="e">
        <f t="shared" si="104"/>
        <v>#VALUE!</v>
      </c>
      <c r="C957" s="118" t="s">
        <v>612</v>
      </c>
      <c r="D957" s="113">
        <v>40255</v>
      </c>
      <c r="E957" s="84">
        <v>40330</v>
      </c>
      <c r="F957" s="84">
        <f t="shared" si="105"/>
        <v>43983</v>
      </c>
      <c r="G957" s="229">
        <v>145.52000000000001</v>
      </c>
      <c r="H957" s="71" t="s">
        <v>3446</v>
      </c>
      <c r="I957" s="71" t="s">
        <v>3447</v>
      </c>
      <c r="J957" s="72" t="s">
        <v>3451</v>
      </c>
      <c r="K957" s="55">
        <f t="shared" si="106"/>
        <v>2020</v>
      </c>
      <c r="L957" s="81"/>
      <c r="M957" s="81"/>
      <c r="N957" s="73" t="s">
        <v>3452</v>
      </c>
      <c r="O957" s="73" t="s">
        <v>3453</v>
      </c>
      <c r="P957" s="74"/>
      <c r="Q957" s="75">
        <v>57</v>
      </c>
      <c r="R957" s="230">
        <v>656</v>
      </c>
      <c r="S957" s="230">
        <v>10658</v>
      </c>
      <c r="T957" s="230">
        <v>11314</v>
      </c>
      <c r="U957" s="231">
        <v>292</v>
      </c>
      <c r="V957" s="230"/>
      <c r="W957" s="230"/>
      <c r="X957" s="231"/>
      <c r="Y957" s="85"/>
      <c r="Z957" s="101">
        <v>0.1</v>
      </c>
      <c r="AA957" s="102"/>
      <c r="AC957" s="78" t="s">
        <v>3454</v>
      </c>
    </row>
    <row r="958" spans="1:29" x14ac:dyDescent="0.2">
      <c r="A958" s="117" t="s">
        <v>3455</v>
      </c>
      <c r="B958" s="118" t="e">
        <f t="shared" si="104"/>
        <v>#VALUE!</v>
      </c>
      <c r="C958" s="118" t="s">
        <v>612</v>
      </c>
      <c r="D958" s="113">
        <v>40255</v>
      </c>
      <c r="E958" s="84">
        <v>40330</v>
      </c>
      <c r="F958" s="84">
        <f t="shared" si="105"/>
        <v>43983</v>
      </c>
      <c r="G958" s="229">
        <v>30.23</v>
      </c>
      <c r="H958" s="71" t="s">
        <v>3446</v>
      </c>
      <c r="I958" s="71" t="s">
        <v>3447</v>
      </c>
      <c r="J958" s="79"/>
      <c r="K958" s="55">
        <f t="shared" si="106"/>
        <v>2020</v>
      </c>
      <c r="L958" s="80"/>
      <c r="M958" s="80"/>
      <c r="N958" s="73" t="s">
        <v>3456</v>
      </c>
      <c r="O958" s="73" t="s">
        <v>3457</v>
      </c>
      <c r="P958" s="74"/>
      <c r="Q958" s="75">
        <v>58</v>
      </c>
      <c r="R958" s="230">
        <v>253.5</v>
      </c>
      <c r="S958" s="230">
        <v>558</v>
      </c>
      <c r="T958" s="230">
        <v>811.5</v>
      </c>
      <c r="U958" s="231">
        <v>62</v>
      </c>
      <c r="V958" s="230"/>
      <c r="W958" s="230"/>
      <c r="X958" s="231"/>
      <c r="Y958" s="85"/>
      <c r="Z958" s="101">
        <v>0.1</v>
      </c>
      <c r="AA958" s="102"/>
      <c r="AB958" s="77"/>
      <c r="AC958" s="78"/>
    </row>
    <row r="959" spans="1:29" ht="29" x14ac:dyDescent="0.2">
      <c r="A959" s="117" t="s">
        <v>3458</v>
      </c>
      <c r="B959" s="118" t="e">
        <f t="shared" si="104"/>
        <v>#VALUE!</v>
      </c>
      <c r="C959" s="118" t="s">
        <v>612</v>
      </c>
      <c r="D959" s="113">
        <v>40255</v>
      </c>
      <c r="E959" s="84">
        <v>40330</v>
      </c>
      <c r="F959" s="84">
        <f t="shared" si="105"/>
        <v>43983</v>
      </c>
      <c r="G959" s="229">
        <v>1029.5899999999999</v>
      </c>
      <c r="H959" s="71" t="s">
        <v>3459</v>
      </c>
      <c r="I959" s="71" t="s">
        <v>3447</v>
      </c>
      <c r="J959" s="79"/>
      <c r="K959" s="55">
        <f t="shared" si="106"/>
        <v>2020</v>
      </c>
      <c r="L959" s="80"/>
      <c r="M959" s="80"/>
      <c r="N959" s="73" t="s">
        <v>3460</v>
      </c>
      <c r="O959" s="73" t="s">
        <v>3461</v>
      </c>
      <c r="P959" s="74"/>
      <c r="Q959" s="75">
        <v>59</v>
      </c>
      <c r="R959" s="230">
        <v>3750</v>
      </c>
      <c r="S959" s="230"/>
      <c r="T959" s="230">
        <v>3750</v>
      </c>
      <c r="U959" s="231">
        <v>2060</v>
      </c>
      <c r="V959" s="230"/>
      <c r="W959" s="230"/>
      <c r="X959" s="231"/>
      <c r="Y959" s="85"/>
      <c r="Z959" s="101">
        <v>0.1</v>
      </c>
      <c r="AA959" s="102"/>
      <c r="AB959" s="77"/>
      <c r="AC959" s="78"/>
    </row>
    <row r="960" spans="1:29" x14ac:dyDescent="0.2">
      <c r="A960" s="117" t="s">
        <v>3462</v>
      </c>
      <c r="B960" s="118" t="e">
        <f t="shared" si="104"/>
        <v>#VALUE!</v>
      </c>
      <c r="C960" s="118" t="s">
        <v>612</v>
      </c>
      <c r="D960" s="113">
        <v>40255</v>
      </c>
      <c r="E960" s="84">
        <v>40330</v>
      </c>
      <c r="F960" s="84">
        <f t="shared" si="105"/>
        <v>43983</v>
      </c>
      <c r="G960" s="229">
        <v>630.61</v>
      </c>
      <c r="H960" s="71" t="s">
        <v>3459</v>
      </c>
      <c r="I960" s="71" t="s">
        <v>3447</v>
      </c>
      <c r="J960" s="79"/>
      <c r="K960" s="55">
        <f t="shared" si="106"/>
        <v>2020</v>
      </c>
      <c r="L960" s="80"/>
      <c r="M960" s="80"/>
      <c r="N960" s="73" t="s">
        <v>3463</v>
      </c>
      <c r="O960" s="73" t="s">
        <v>3464</v>
      </c>
      <c r="P960" s="74"/>
      <c r="Q960" s="75">
        <v>60</v>
      </c>
      <c r="R960" s="230">
        <v>2353.5</v>
      </c>
      <c r="S960" s="230"/>
      <c r="T960" s="230">
        <v>2353.5</v>
      </c>
      <c r="U960" s="231">
        <v>1262</v>
      </c>
      <c r="V960" s="230"/>
      <c r="W960" s="230"/>
      <c r="X960" s="231"/>
      <c r="Y960" s="85"/>
      <c r="Z960" s="101">
        <v>0.1</v>
      </c>
      <c r="AA960" s="102"/>
      <c r="AB960" s="77"/>
      <c r="AC960" s="78"/>
    </row>
    <row r="961" spans="1:29" ht="27" customHeight="1" x14ac:dyDescent="0.2">
      <c r="A961" s="117" t="s">
        <v>3465</v>
      </c>
      <c r="B961" s="118" t="e">
        <f t="shared" si="104"/>
        <v>#VALUE!</v>
      </c>
      <c r="C961" s="118" t="s">
        <v>612</v>
      </c>
      <c r="D961" s="113">
        <v>40255</v>
      </c>
      <c r="E961" s="84">
        <v>40330</v>
      </c>
      <c r="F961" s="84">
        <f t="shared" si="105"/>
        <v>43983</v>
      </c>
      <c r="G961" s="229">
        <v>80</v>
      </c>
      <c r="H961" s="71" t="s">
        <v>3459</v>
      </c>
      <c r="I961" s="71" t="s">
        <v>3447</v>
      </c>
      <c r="J961" s="72" t="s">
        <v>3466</v>
      </c>
      <c r="K961" s="55">
        <f t="shared" si="106"/>
        <v>2020</v>
      </c>
      <c r="L961" s="81"/>
      <c r="M961" s="81"/>
      <c r="N961" s="73" t="s">
        <v>3463</v>
      </c>
      <c r="O961" s="73" t="s">
        <v>3467</v>
      </c>
      <c r="P961" s="74"/>
      <c r="Q961" s="75">
        <v>61</v>
      </c>
      <c r="R961" s="230">
        <v>425</v>
      </c>
      <c r="S961" s="230"/>
      <c r="T961" s="230">
        <v>425</v>
      </c>
      <c r="U961" s="231">
        <v>120</v>
      </c>
      <c r="V961" s="230"/>
      <c r="W961" s="230"/>
      <c r="X961" s="231"/>
      <c r="Y961" s="85"/>
      <c r="Z961" s="101">
        <v>0.1</v>
      </c>
      <c r="AA961" s="102"/>
      <c r="AB961" s="77"/>
      <c r="AC961" s="78"/>
    </row>
    <row r="962" spans="1:29" ht="27" customHeight="1" x14ac:dyDescent="0.2">
      <c r="A962" s="117" t="s">
        <v>3468</v>
      </c>
      <c r="B962" s="118" t="e">
        <f t="shared" si="104"/>
        <v>#VALUE!</v>
      </c>
      <c r="C962" s="118" t="s">
        <v>612</v>
      </c>
      <c r="D962" s="113">
        <v>40255</v>
      </c>
      <c r="E962" s="84">
        <v>40330</v>
      </c>
      <c r="F962" s="84">
        <f t="shared" si="105"/>
        <v>43983</v>
      </c>
      <c r="G962" s="229">
        <v>460.25</v>
      </c>
      <c r="H962" s="71" t="s">
        <v>3469</v>
      </c>
      <c r="I962" s="71" t="s">
        <v>3447</v>
      </c>
      <c r="J962" s="79"/>
      <c r="K962" s="55">
        <f t="shared" si="106"/>
        <v>2020</v>
      </c>
      <c r="L962" s="80"/>
      <c r="M962" s="80"/>
      <c r="N962" s="73" t="s">
        <v>3470</v>
      </c>
      <c r="O962" s="73" t="s">
        <v>3471</v>
      </c>
      <c r="P962" s="74"/>
      <c r="Q962" s="75">
        <v>62</v>
      </c>
      <c r="R962" s="230">
        <v>1758.5</v>
      </c>
      <c r="S962" s="230"/>
      <c r="T962" s="230">
        <v>1758.5</v>
      </c>
      <c r="U962" s="231">
        <v>922</v>
      </c>
      <c r="V962" s="230"/>
      <c r="W962" s="230"/>
      <c r="X962" s="231"/>
      <c r="Y962" s="85"/>
      <c r="Z962" s="101">
        <v>0.1</v>
      </c>
      <c r="AA962" s="102"/>
      <c r="AB962" s="77"/>
      <c r="AC962" s="78"/>
    </row>
    <row r="963" spans="1:29" ht="29" x14ac:dyDescent="0.2">
      <c r="A963" s="117" t="s">
        <v>3472</v>
      </c>
      <c r="B963" s="118" t="e">
        <f t="shared" si="104"/>
        <v>#VALUE!</v>
      </c>
      <c r="C963" s="118" t="s">
        <v>612</v>
      </c>
      <c r="D963" s="113">
        <v>40255</v>
      </c>
      <c r="E963" s="84">
        <v>40330</v>
      </c>
      <c r="F963" s="84">
        <f t="shared" si="105"/>
        <v>43983</v>
      </c>
      <c r="G963" s="229">
        <v>798.29</v>
      </c>
      <c r="H963" s="71" t="s">
        <v>3469</v>
      </c>
      <c r="I963" s="71" t="s">
        <v>3447</v>
      </c>
      <c r="J963" s="79"/>
      <c r="K963" s="55">
        <f t="shared" si="106"/>
        <v>2020</v>
      </c>
      <c r="L963" s="80"/>
      <c r="M963" s="80"/>
      <c r="N963" s="73" t="s">
        <v>3470</v>
      </c>
      <c r="O963" s="73" t="s">
        <v>3473</v>
      </c>
      <c r="P963" s="74"/>
      <c r="Q963" s="75">
        <v>63</v>
      </c>
      <c r="R963" s="230">
        <v>2941.5</v>
      </c>
      <c r="S963" s="230"/>
      <c r="T963" s="230">
        <v>2941.5</v>
      </c>
      <c r="U963" s="231">
        <v>1598</v>
      </c>
      <c r="V963" s="230"/>
      <c r="W963" s="230"/>
      <c r="X963" s="231"/>
      <c r="Y963" s="85"/>
      <c r="Z963" s="101">
        <v>0.1</v>
      </c>
      <c r="AA963" s="102"/>
      <c r="AB963" s="77"/>
      <c r="AC963" s="78"/>
    </row>
    <row r="964" spans="1:29" x14ac:dyDescent="0.2">
      <c r="A964" s="117" t="s">
        <v>3474</v>
      </c>
      <c r="B964" s="118" t="e">
        <f t="shared" si="104"/>
        <v>#VALUE!</v>
      </c>
      <c r="C964" s="118" t="s">
        <v>612</v>
      </c>
      <c r="D964" s="113">
        <v>40255</v>
      </c>
      <c r="E964" s="84">
        <v>40330</v>
      </c>
      <c r="F964" s="84">
        <f t="shared" si="105"/>
        <v>43983</v>
      </c>
      <c r="G964" s="229">
        <v>700.46</v>
      </c>
      <c r="H964" s="71" t="s">
        <v>3469</v>
      </c>
      <c r="I964" s="71" t="s">
        <v>3447</v>
      </c>
      <c r="J964" s="79"/>
      <c r="K964" s="55">
        <f t="shared" si="106"/>
        <v>2020</v>
      </c>
      <c r="L964" s="80"/>
      <c r="M964" s="80"/>
      <c r="N964" s="73" t="s">
        <v>3470</v>
      </c>
      <c r="O964" s="73" t="s">
        <v>3475</v>
      </c>
      <c r="P964" s="74"/>
      <c r="Q964" s="75">
        <v>64</v>
      </c>
      <c r="R964" s="230">
        <v>2598.5</v>
      </c>
      <c r="S964" s="230"/>
      <c r="T964" s="230">
        <v>2598.5</v>
      </c>
      <c r="U964" s="231">
        <v>1402</v>
      </c>
      <c r="V964" s="230"/>
      <c r="W964" s="230"/>
      <c r="X964" s="231"/>
      <c r="Y964" s="85"/>
      <c r="Z964" s="101">
        <v>0.1</v>
      </c>
      <c r="AA964" s="102"/>
      <c r="AB964" s="77"/>
      <c r="AC964" s="78"/>
    </row>
    <row r="965" spans="1:29" x14ac:dyDescent="0.2">
      <c r="A965" s="117" t="s">
        <v>3476</v>
      </c>
      <c r="B965" s="118" t="e">
        <f t="shared" si="104"/>
        <v>#VALUE!</v>
      </c>
      <c r="C965" s="118" t="s">
        <v>612</v>
      </c>
      <c r="D965" s="113">
        <v>40255</v>
      </c>
      <c r="E965" s="84">
        <v>40330</v>
      </c>
      <c r="F965" s="84">
        <f t="shared" si="105"/>
        <v>43983</v>
      </c>
      <c r="G965" s="229">
        <v>679.17</v>
      </c>
      <c r="H965" s="71" t="s">
        <v>3469</v>
      </c>
      <c r="I965" s="71" t="s">
        <v>3447</v>
      </c>
      <c r="J965" s="79"/>
      <c r="K965" s="55">
        <f t="shared" si="106"/>
        <v>2020</v>
      </c>
      <c r="L965" s="80"/>
      <c r="M965" s="80"/>
      <c r="N965" s="73" t="s">
        <v>3470</v>
      </c>
      <c r="O965" s="73" t="s">
        <v>3477</v>
      </c>
      <c r="P965" s="74"/>
      <c r="Q965" s="75">
        <v>65</v>
      </c>
      <c r="R965" s="230">
        <v>2525</v>
      </c>
      <c r="S965" s="230"/>
      <c r="T965" s="230">
        <v>2525</v>
      </c>
      <c r="U965" s="231">
        <v>1360</v>
      </c>
      <c r="V965" s="230"/>
      <c r="W965" s="230"/>
      <c r="X965" s="231"/>
      <c r="Y965" s="85"/>
      <c r="Z965" s="101">
        <v>0.1</v>
      </c>
      <c r="AA965" s="102"/>
      <c r="AB965" s="77"/>
      <c r="AC965" s="78"/>
    </row>
    <row r="966" spans="1:29" x14ac:dyDescent="0.2">
      <c r="A966" s="117" t="s">
        <v>3478</v>
      </c>
      <c r="B966" s="118" t="e">
        <f t="shared" si="104"/>
        <v>#VALUE!</v>
      </c>
      <c r="C966" s="118" t="s">
        <v>612</v>
      </c>
      <c r="D966" s="113">
        <v>40255</v>
      </c>
      <c r="E966" s="84">
        <v>40330</v>
      </c>
      <c r="F966" s="84">
        <f t="shared" si="105"/>
        <v>43983</v>
      </c>
      <c r="G966" s="229">
        <v>461.69</v>
      </c>
      <c r="H966" s="71" t="s">
        <v>3469</v>
      </c>
      <c r="I966" s="71" t="s">
        <v>3447</v>
      </c>
      <c r="J966" s="79"/>
      <c r="K966" s="55">
        <f t="shared" si="106"/>
        <v>2020</v>
      </c>
      <c r="L966" s="80"/>
      <c r="M966" s="80"/>
      <c r="N966" s="73" t="s">
        <v>3470</v>
      </c>
      <c r="O966" s="73" t="s">
        <v>3479</v>
      </c>
      <c r="P966" s="74"/>
      <c r="Q966" s="75">
        <v>66</v>
      </c>
      <c r="R966" s="230">
        <v>1762</v>
      </c>
      <c r="S966" s="230"/>
      <c r="T966" s="230">
        <v>1762</v>
      </c>
      <c r="U966" s="231">
        <v>924</v>
      </c>
      <c r="V966" s="230"/>
      <c r="W966" s="230"/>
      <c r="X966" s="231"/>
      <c r="Y966" s="85"/>
      <c r="Z966" s="101">
        <v>0.1</v>
      </c>
      <c r="AA966" s="102"/>
      <c r="AB966" s="77"/>
      <c r="AC966" s="78"/>
    </row>
    <row r="967" spans="1:29" x14ac:dyDescent="0.2">
      <c r="A967" s="117" t="s">
        <v>3480</v>
      </c>
      <c r="B967" s="118" t="e">
        <f t="shared" si="104"/>
        <v>#VALUE!</v>
      </c>
      <c r="C967" s="118" t="s">
        <v>612</v>
      </c>
      <c r="D967" s="113">
        <v>40255</v>
      </c>
      <c r="E967" s="84">
        <v>40330</v>
      </c>
      <c r="F967" s="84">
        <f t="shared" si="105"/>
        <v>43983</v>
      </c>
      <c r="G967" s="229">
        <v>992.69</v>
      </c>
      <c r="H967" s="71" t="s">
        <v>3459</v>
      </c>
      <c r="I967" s="71" t="s">
        <v>3447</v>
      </c>
      <c r="J967" s="79"/>
      <c r="K967" s="55">
        <f t="shared" si="106"/>
        <v>2020</v>
      </c>
      <c r="L967" s="80"/>
      <c r="M967" s="80"/>
      <c r="N967" s="73" t="s">
        <v>3481</v>
      </c>
      <c r="O967" s="73" t="s">
        <v>3482</v>
      </c>
      <c r="P967" s="74"/>
      <c r="Q967" s="75">
        <v>67</v>
      </c>
      <c r="R967" s="230">
        <v>3620.5</v>
      </c>
      <c r="S967" s="230"/>
      <c r="T967" s="230">
        <v>3620.5</v>
      </c>
      <c r="U967" s="231">
        <v>1986</v>
      </c>
      <c r="V967" s="230"/>
      <c r="W967" s="230"/>
      <c r="X967" s="231"/>
      <c r="Y967" s="85"/>
      <c r="Z967" s="101">
        <v>0.1</v>
      </c>
      <c r="AA967" s="102"/>
      <c r="AB967" s="77"/>
      <c r="AC967" s="78"/>
    </row>
    <row r="968" spans="1:29" x14ac:dyDescent="0.2">
      <c r="A968" s="117" t="s">
        <v>3483</v>
      </c>
      <c r="B968" s="118" t="e">
        <f t="shared" si="104"/>
        <v>#VALUE!</v>
      </c>
      <c r="C968" s="118" t="s">
        <v>612</v>
      </c>
      <c r="D968" s="113">
        <v>40255</v>
      </c>
      <c r="E968" s="84">
        <v>40330</v>
      </c>
      <c r="F968" s="84">
        <f t="shared" si="105"/>
        <v>43983</v>
      </c>
      <c r="G968" s="229">
        <v>763.5</v>
      </c>
      <c r="H968" s="71" t="s">
        <v>3459</v>
      </c>
      <c r="I968" s="71" t="s">
        <v>3447</v>
      </c>
      <c r="J968" s="79"/>
      <c r="K968" s="55">
        <f t="shared" si="106"/>
        <v>2020</v>
      </c>
      <c r="L968" s="80"/>
      <c r="M968" s="80"/>
      <c r="N968" s="73" t="s">
        <v>3481</v>
      </c>
      <c r="O968" s="73" t="s">
        <v>3484</v>
      </c>
      <c r="P968" s="74"/>
      <c r="Q968" s="75">
        <v>68</v>
      </c>
      <c r="R968" s="230">
        <v>2819</v>
      </c>
      <c r="S968" s="230"/>
      <c r="T968" s="230">
        <v>2819</v>
      </c>
      <c r="U968" s="231">
        <v>1528</v>
      </c>
      <c r="V968" s="230"/>
      <c r="W968" s="230"/>
      <c r="X968" s="231"/>
      <c r="Y968" s="85"/>
      <c r="Z968" s="101">
        <v>0.1</v>
      </c>
      <c r="AA968" s="102"/>
      <c r="AB968" s="77"/>
      <c r="AC968" s="78"/>
    </row>
    <row r="969" spans="1:29" ht="27" customHeight="1" x14ac:dyDescent="0.2">
      <c r="A969" s="117" t="s">
        <v>3485</v>
      </c>
      <c r="B969" s="118" t="e">
        <f t="shared" si="104"/>
        <v>#VALUE!</v>
      </c>
      <c r="C969" s="118" t="s">
        <v>612</v>
      </c>
      <c r="D969" s="113">
        <v>40255</v>
      </c>
      <c r="E969" s="84">
        <v>40330</v>
      </c>
      <c r="F969" s="84">
        <f t="shared" si="105"/>
        <v>43983</v>
      </c>
      <c r="G969" s="229">
        <v>1351.55</v>
      </c>
      <c r="H969" s="71" t="s">
        <v>3459</v>
      </c>
      <c r="I969" s="71" t="s">
        <v>3447</v>
      </c>
      <c r="J969" s="79"/>
      <c r="K969" s="55">
        <f t="shared" si="106"/>
        <v>2020</v>
      </c>
      <c r="L969" s="80"/>
      <c r="M969" s="80"/>
      <c r="N969" s="73" t="s">
        <v>3481</v>
      </c>
      <c r="O969" s="73" t="s">
        <v>3486</v>
      </c>
      <c r="P969" s="74"/>
      <c r="Q969" s="75">
        <v>69</v>
      </c>
      <c r="R969" s="230">
        <v>4877</v>
      </c>
      <c r="S969" s="230"/>
      <c r="T969" s="230">
        <v>4877</v>
      </c>
      <c r="U969" s="231">
        <v>2704</v>
      </c>
      <c r="V969" s="230"/>
      <c r="W969" s="230"/>
      <c r="X969" s="231"/>
      <c r="Y969" s="85"/>
      <c r="Z969" s="101">
        <v>0.1</v>
      </c>
      <c r="AA969" s="102"/>
      <c r="AB969" s="77"/>
      <c r="AC969" s="78"/>
    </row>
    <row r="970" spans="1:29" x14ac:dyDescent="0.2">
      <c r="A970" s="117" t="s">
        <v>3487</v>
      </c>
      <c r="B970" s="118" t="e">
        <f t="shared" si="104"/>
        <v>#VALUE!</v>
      </c>
      <c r="C970" s="118" t="s">
        <v>612</v>
      </c>
      <c r="D970" s="113">
        <v>40255</v>
      </c>
      <c r="E970" s="84">
        <v>40330</v>
      </c>
      <c r="F970" s="84">
        <f t="shared" si="105"/>
        <v>43983</v>
      </c>
      <c r="G970" s="229">
        <v>112.04</v>
      </c>
      <c r="H970" s="71" t="s">
        <v>3459</v>
      </c>
      <c r="I970" s="71" t="s">
        <v>3447</v>
      </c>
      <c r="J970" s="79"/>
      <c r="K970" s="55">
        <f t="shared" si="106"/>
        <v>2020</v>
      </c>
      <c r="L970" s="80"/>
      <c r="M970" s="80"/>
      <c r="N970" s="73" t="s">
        <v>3481</v>
      </c>
      <c r="O970" s="73" t="s">
        <v>3488</v>
      </c>
      <c r="P970" s="74"/>
      <c r="Q970" s="75">
        <v>70</v>
      </c>
      <c r="R970" s="230">
        <v>540.5</v>
      </c>
      <c r="S970" s="230"/>
      <c r="T970" s="230">
        <v>540.5</v>
      </c>
      <c r="U970" s="231">
        <v>226</v>
      </c>
      <c r="V970" s="230"/>
      <c r="W970" s="230"/>
      <c r="X970" s="231"/>
      <c r="Y970" s="85"/>
      <c r="Z970" s="101">
        <v>0.1</v>
      </c>
      <c r="AA970" s="102"/>
      <c r="AB970" s="77"/>
      <c r="AC970" s="78"/>
    </row>
    <row r="971" spans="1:29" x14ac:dyDescent="0.2">
      <c r="A971" s="117" t="s">
        <v>3489</v>
      </c>
      <c r="B971" s="118" t="e">
        <f t="shared" si="104"/>
        <v>#VALUE!</v>
      </c>
      <c r="C971" s="118" t="s">
        <v>612</v>
      </c>
      <c r="D971" s="113">
        <v>40255</v>
      </c>
      <c r="E971" s="84">
        <v>40330</v>
      </c>
      <c r="F971" s="84">
        <f t="shared" si="105"/>
        <v>43983</v>
      </c>
      <c r="G971" s="229">
        <v>535.86</v>
      </c>
      <c r="H971" s="71" t="s">
        <v>3459</v>
      </c>
      <c r="I971" s="71" t="s">
        <v>3447</v>
      </c>
      <c r="J971" s="79"/>
      <c r="K971" s="55">
        <f t="shared" si="106"/>
        <v>2020</v>
      </c>
      <c r="L971" s="80"/>
      <c r="M971" s="80"/>
      <c r="N971" s="73" t="s">
        <v>3481</v>
      </c>
      <c r="O971" s="73" t="s">
        <v>3490</v>
      </c>
      <c r="P971" s="74"/>
      <c r="Q971" s="75">
        <v>71</v>
      </c>
      <c r="R971" s="230">
        <v>2021</v>
      </c>
      <c r="S971" s="230"/>
      <c r="T971" s="230">
        <v>2021</v>
      </c>
      <c r="U971" s="231">
        <v>1072</v>
      </c>
      <c r="V971" s="230"/>
      <c r="W971" s="230"/>
      <c r="X971" s="231"/>
      <c r="Y971" s="85"/>
      <c r="Z971" s="101">
        <v>0.1</v>
      </c>
      <c r="AA971" s="102"/>
      <c r="AB971" s="77"/>
      <c r="AC971" s="78"/>
    </row>
    <row r="972" spans="1:29" x14ac:dyDescent="0.2">
      <c r="A972" s="117" t="s">
        <v>3491</v>
      </c>
      <c r="B972" s="118" t="e">
        <f t="shared" si="104"/>
        <v>#VALUE!</v>
      </c>
      <c r="C972" s="118" t="s">
        <v>612</v>
      </c>
      <c r="D972" s="113">
        <v>40255</v>
      </c>
      <c r="E972" s="84">
        <v>40330</v>
      </c>
      <c r="F972" s="84">
        <f t="shared" si="105"/>
        <v>43983</v>
      </c>
      <c r="G972" s="229">
        <v>119</v>
      </c>
      <c r="H972" s="71" t="s">
        <v>3469</v>
      </c>
      <c r="I972" s="71" t="s">
        <v>3447</v>
      </c>
      <c r="J972" s="79"/>
      <c r="K972" s="55">
        <f t="shared" si="106"/>
        <v>2020</v>
      </c>
      <c r="L972" s="80"/>
      <c r="M972" s="80"/>
      <c r="N972" s="73" t="s">
        <v>3492</v>
      </c>
      <c r="O972" s="73" t="s">
        <v>3493</v>
      </c>
      <c r="P972" s="74" t="s">
        <v>3494</v>
      </c>
      <c r="Q972" s="75">
        <v>72</v>
      </c>
      <c r="R972" s="230">
        <v>561.5</v>
      </c>
      <c r="S972" s="230"/>
      <c r="T972" s="230">
        <v>561.5</v>
      </c>
      <c r="U972" s="231">
        <v>238</v>
      </c>
      <c r="V972" s="230"/>
      <c r="W972" s="230"/>
      <c r="X972" s="231"/>
      <c r="Y972" s="85"/>
      <c r="Z972" s="101">
        <v>0.1</v>
      </c>
      <c r="AA972" s="102"/>
      <c r="AB972" s="77"/>
      <c r="AC972" s="78"/>
    </row>
    <row r="973" spans="1:29" ht="27" customHeight="1" x14ac:dyDescent="0.2">
      <c r="A973" s="117" t="s">
        <v>3495</v>
      </c>
      <c r="B973" s="118" t="e">
        <f t="shared" si="104"/>
        <v>#VALUE!</v>
      </c>
      <c r="C973" s="118" t="s">
        <v>612</v>
      </c>
      <c r="D973" s="113">
        <v>40255</v>
      </c>
      <c r="E973" s="84">
        <v>40330</v>
      </c>
      <c r="F973" s="84">
        <f t="shared" si="105"/>
        <v>43983</v>
      </c>
      <c r="G973" s="229">
        <v>118.28</v>
      </c>
      <c r="H973" s="71"/>
      <c r="I973" s="71" t="s">
        <v>3447</v>
      </c>
      <c r="J973" s="72" t="s">
        <v>3496</v>
      </c>
      <c r="K973" s="55">
        <f t="shared" si="106"/>
        <v>2020</v>
      </c>
      <c r="L973" s="81"/>
      <c r="M973" s="81"/>
      <c r="N973" s="73"/>
      <c r="O973" s="73"/>
      <c r="P973" s="74"/>
      <c r="Q973" s="75">
        <v>73</v>
      </c>
      <c r="R973" s="230">
        <v>561.5</v>
      </c>
      <c r="S973" s="230"/>
      <c r="T973" s="230">
        <v>561.5</v>
      </c>
      <c r="U973" s="231">
        <v>180</v>
      </c>
      <c r="V973" s="230"/>
      <c r="W973" s="230"/>
      <c r="X973" s="231"/>
      <c r="Y973" s="85"/>
      <c r="Z973" s="101">
        <v>0.1</v>
      </c>
      <c r="AA973" s="102"/>
      <c r="AB973" s="77"/>
      <c r="AC973" s="78"/>
    </row>
    <row r="974" spans="1:29" x14ac:dyDescent="0.2">
      <c r="A974" s="117" t="s">
        <v>3497</v>
      </c>
      <c r="B974" s="118" t="e">
        <f t="shared" si="104"/>
        <v>#VALUE!</v>
      </c>
      <c r="C974" s="118" t="s">
        <v>612</v>
      </c>
      <c r="D974" s="113">
        <v>40255</v>
      </c>
      <c r="E974" s="84">
        <v>40330</v>
      </c>
      <c r="F974" s="84">
        <f t="shared" si="105"/>
        <v>43983</v>
      </c>
      <c r="G974" s="229">
        <v>81.17</v>
      </c>
      <c r="H974" s="71" t="s">
        <v>853</v>
      </c>
      <c r="I974" s="71" t="s">
        <v>3447</v>
      </c>
      <c r="J974" s="79"/>
      <c r="K974" s="55">
        <f t="shared" si="106"/>
        <v>2020</v>
      </c>
      <c r="L974" s="80"/>
      <c r="M974" s="80"/>
      <c r="N974" s="73" t="s">
        <v>3498</v>
      </c>
      <c r="O974" s="73" t="s">
        <v>3499</v>
      </c>
      <c r="P974" s="74"/>
      <c r="Q974" s="75">
        <v>79</v>
      </c>
      <c r="R974" s="257">
        <v>432</v>
      </c>
      <c r="S974" s="257">
        <v>3936</v>
      </c>
      <c r="T974" s="257">
        <v>4368</v>
      </c>
      <c r="U974" s="231">
        <v>164</v>
      </c>
      <c r="V974" s="230"/>
      <c r="W974" s="230"/>
      <c r="X974" s="231"/>
      <c r="Y974" s="85"/>
      <c r="Z974" s="101">
        <v>0.1</v>
      </c>
      <c r="AA974" s="102"/>
      <c r="AB974" s="77"/>
      <c r="AC974" s="78"/>
    </row>
    <row r="975" spans="1:29" ht="15" hidden="1" customHeight="1" thickBot="1" x14ac:dyDescent="0.25">
      <c r="A975" s="117"/>
      <c r="D975" s="71"/>
      <c r="E975" s="78"/>
      <c r="F975" s="84"/>
      <c r="G975" s="229"/>
      <c r="H975" s="71"/>
      <c r="I975" s="71"/>
      <c r="J975" s="79"/>
      <c r="K975" s="79"/>
      <c r="L975" s="80"/>
      <c r="M975" s="80"/>
      <c r="N975" s="73"/>
      <c r="O975" s="73"/>
      <c r="P975" s="74"/>
      <c r="Q975" s="75"/>
      <c r="R975" s="255">
        <v>45273</v>
      </c>
      <c r="S975" s="255">
        <v>177990</v>
      </c>
      <c r="T975" s="255">
        <v>223263</v>
      </c>
      <c r="U975" s="231"/>
      <c r="V975" s="230"/>
      <c r="W975" s="230"/>
      <c r="X975" s="231"/>
      <c r="Y975" s="85"/>
      <c r="Z975" s="85"/>
      <c r="AA975" s="76"/>
      <c r="AB975" s="77"/>
      <c r="AC975" s="78"/>
    </row>
    <row r="976" spans="1:29" hidden="1" x14ac:dyDescent="0.2">
      <c r="A976" s="117"/>
      <c r="D976" s="71"/>
      <c r="E976" s="78"/>
      <c r="F976" s="84"/>
      <c r="G976" s="229"/>
      <c r="H976" s="71"/>
      <c r="I976" s="71"/>
      <c r="J976" s="79"/>
      <c r="K976" s="79"/>
      <c r="L976" s="80"/>
      <c r="M976" s="80"/>
      <c r="N976" s="73"/>
      <c r="O976" s="73"/>
      <c r="P976" s="74"/>
      <c r="Q976" s="75" t="s">
        <v>3500</v>
      </c>
      <c r="R976" s="230"/>
      <c r="S976" s="230"/>
      <c r="T976" s="230">
        <v>99999</v>
      </c>
      <c r="U976" s="231"/>
      <c r="V976" s="230"/>
      <c r="W976" s="230"/>
      <c r="X976" s="231"/>
      <c r="Y976" s="85"/>
      <c r="Z976" s="85"/>
      <c r="AA976" s="76"/>
      <c r="AB976" s="77"/>
      <c r="AC976" s="78"/>
    </row>
    <row r="977" spans="1:29" hidden="1" x14ac:dyDescent="0.2">
      <c r="A977" s="117"/>
      <c r="D977" s="71"/>
      <c r="E977" s="78"/>
      <c r="F977" s="84"/>
      <c r="G977" s="229"/>
      <c r="H977" s="71"/>
      <c r="I977" s="71"/>
      <c r="J977" s="79"/>
      <c r="K977" s="79"/>
      <c r="L977" s="80"/>
      <c r="M977" s="80"/>
      <c r="N977" s="73"/>
      <c r="O977" s="73"/>
      <c r="P977" s="74"/>
      <c r="Q977" s="75" t="s">
        <v>3501</v>
      </c>
      <c r="R977" s="230"/>
      <c r="S977" s="230"/>
      <c r="T977" s="230">
        <v>123264</v>
      </c>
      <c r="U977" s="231"/>
      <c r="V977" s="230"/>
      <c r="W977" s="230"/>
      <c r="X977" s="231"/>
      <c r="Y977" s="85"/>
      <c r="Z977" s="85"/>
      <c r="AA977" s="76"/>
      <c r="AB977" s="77"/>
      <c r="AC977" s="78"/>
    </row>
    <row r="978" spans="1:29" ht="15" hidden="1" customHeight="1" thickBot="1" x14ac:dyDescent="0.25">
      <c r="A978" s="117"/>
      <c r="D978" s="71"/>
      <c r="E978" s="78"/>
      <c r="F978" s="84"/>
      <c r="G978" s="229"/>
      <c r="H978" s="71"/>
      <c r="I978" s="71"/>
      <c r="J978" s="79"/>
      <c r="K978" s="79"/>
      <c r="L978" s="80"/>
      <c r="M978" s="80"/>
      <c r="N978" s="73"/>
      <c r="O978" s="73"/>
      <c r="P978" s="74"/>
      <c r="Q978" s="75"/>
      <c r="R978" s="230"/>
      <c r="S978" s="230"/>
      <c r="T978" s="241">
        <v>223263</v>
      </c>
      <c r="U978" s="231"/>
      <c r="V978" s="230"/>
      <c r="W978" s="230"/>
      <c r="X978" s="231"/>
      <c r="Y978" s="85"/>
      <c r="Z978" s="85"/>
      <c r="AA978" s="76"/>
      <c r="AB978" s="77"/>
      <c r="AC978" s="78"/>
    </row>
    <row r="979" spans="1:29" hidden="1" x14ac:dyDescent="0.2">
      <c r="A979" s="117"/>
      <c r="D979" s="71"/>
      <c r="E979" s="78"/>
      <c r="F979" s="84"/>
      <c r="G979" s="229"/>
      <c r="H979" s="71"/>
      <c r="I979" s="71"/>
      <c r="J979" s="79"/>
      <c r="K979" s="79"/>
      <c r="L979" s="80"/>
      <c r="M979" s="80"/>
      <c r="N979" s="73"/>
      <c r="O979" s="73"/>
      <c r="P979" s="74"/>
      <c r="Q979" s="75"/>
      <c r="R979" s="230"/>
      <c r="S979" s="230"/>
      <c r="T979" s="230"/>
      <c r="U979" s="231"/>
      <c r="V979" s="230"/>
      <c r="W979" s="230"/>
      <c r="X979" s="231"/>
      <c r="Y979" s="85"/>
      <c r="Z979" s="85"/>
      <c r="AA979" s="76"/>
      <c r="AB979" s="77"/>
      <c r="AC979" s="78"/>
    </row>
    <row r="980" spans="1:29" hidden="1" x14ac:dyDescent="0.2">
      <c r="A980" s="117"/>
      <c r="D980" s="71"/>
      <c r="E980" s="78"/>
      <c r="F980" s="84"/>
      <c r="G980" s="229"/>
      <c r="H980" s="71"/>
      <c r="I980" s="71"/>
      <c r="J980" s="79"/>
      <c r="K980" s="79"/>
      <c r="L980" s="80"/>
      <c r="M980" s="80"/>
      <c r="N980" s="73"/>
      <c r="O980" s="73"/>
      <c r="P980" s="74"/>
      <c r="Q980" s="75"/>
      <c r="R980" s="230"/>
      <c r="S980" s="230"/>
      <c r="T980" s="230"/>
      <c r="U980" s="231"/>
      <c r="V980" s="230"/>
      <c r="W980" s="230"/>
      <c r="X980" s="231"/>
      <c r="Y980" s="85"/>
      <c r="Z980" s="85"/>
      <c r="AA980" s="76"/>
      <c r="AB980" s="77"/>
      <c r="AC980" s="78"/>
    </row>
    <row r="981" spans="1:29" x14ac:dyDescent="0.2">
      <c r="A981" s="117" t="s">
        <v>3502</v>
      </c>
      <c r="B981" s="118" t="e">
        <f t="shared" ref="B981:B986" si="107">IF(COUNTIF(GIS,A981),"YES","NO")</f>
        <v>#VALUE!</v>
      </c>
      <c r="C981" s="118" t="s">
        <v>612</v>
      </c>
      <c r="D981" s="113">
        <v>40289</v>
      </c>
      <c r="E981" s="84">
        <v>40330</v>
      </c>
      <c r="F981" s="84">
        <f t="shared" ref="F981:F986" si="108">DATE(YEAR(E981)+10,MONTH(E981),DAY(E981))</f>
        <v>43983</v>
      </c>
      <c r="G981" s="229">
        <v>160</v>
      </c>
      <c r="H981" s="71" t="s">
        <v>1152</v>
      </c>
      <c r="I981" s="71" t="s">
        <v>1147</v>
      </c>
      <c r="J981" s="79"/>
      <c r="K981" s="55">
        <f t="shared" ref="K981:K986" si="109">YEAR(F981)</f>
        <v>2020</v>
      </c>
      <c r="L981" s="80"/>
      <c r="M981" s="80"/>
      <c r="N981" s="73" t="s">
        <v>3503</v>
      </c>
      <c r="O981" s="73" t="s">
        <v>3504</v>
      </c>
      <c r="P981" s="74"/>
      <c r="Q981" s="75" t="s">
        <v>3505</v>
      </c>
      <c r="R981" s="230">
        <v>705</v>
      </c>
      <c r="S981" s="230">
        <v>1600</v>
      </c>
      <c r="T981" s="230">
        <v>2305</v>
      </c>
      <c r="U981" s="231">
        <v>320</v>
      </c>
      <c r="V981" s="230"/>
      <c r="W981" s="230"/>
      <c r="X981" s="231"/>
      <c r="Y981" s="85"/>
      <c r="Z981" s="101">
        <v>0.1</v>
      </c>
      <c r="AA981" s="102"/>
      <c r="AB981" s="77"/>
      <c r="AC981" s="78"/>
    </row>
    <row r="982" spans="1:29" x14ac:dyDescent="0.2">
      <c r="A982" s="117" t="s">
        <v>3506</v>
      </c>
      <c r="B982" s="118" t="e">
        <f t="shared" si="107"/>
        <v>#VALUE!</v>
      </c>
      <c r="C982" s="118" t="s">
        <v>612</v>
      </c>
      <c r="D982" s="113">
        <v>40289</v>
      </c>
      <c r="E982" s="84">
        <v>40330</v>
      </c>
      <c r="F982" s="84">
        <f t="shared" si="108"/>
        <v>43983</v>
      </c>
      <c r="G982" s="229">
        <v>1252.68</v>
      </c>
      <c r="H982" s="71" t="s">
        <v>1195</v>
      </c>
      <c r="I982" s="71" t="s">
        <v>1147</v>
      </c>
      <c r="J982" s="79"/>
      <c r="K982" s="55">
        <f t="shared" si="109"/>
        <v>2020</v>
      </c>
      <c r="L982" s="80"/>
      <c r="M982" s="80"/>
      <c r="N982" s="73" t="s">
        <v>3507</v>
      </c>
      <c r="O982" s="73" t="s">
        <v>3508</v>
      </c>
      <c r="P982" s="74"/>
      <c r="Q982" s="75" t="s">
        <v>3509</v>
      </c>
      <c r="R982" s="230">
        <v>4530.5</v>
      </c>
      <c r="S982" s="230">
        <v>711704</v>
      </c>
      <c r="T982" s="230">
        <v>716234.5</v>
      </c>
      <c r="U982" s="231">
        <v>2506</v>
      </c>
      <c r="V982" s="230"/>
      <c r="W982" s="230"/>
      <c r="X982" s="231"/>
      <c r="Y982" s="85"/>
      <c r="Z982" s="101">
        <v>0.1</v>
      </c>
      <c r="AA982" s="102"/>
      <c r="AB982" s="77"/>
      <c r="AC982" s="78"/>
    </row>
    <row r="983" spans="1:29" x14ac:dyDescent="0.2">
      <c r="A983" s="117" t="s">
        <v>3510</v>
      </c>
      <c r="B983" s="118" t="e">
        <f t="shared" si="107"/>
        <v>#VALUE!</v>
      </c>
      <c r="C983" s="118" t="s">
        <v>612</v>
      </c>
      <c r="D983" s="113">
        <v>40289</v>
      </c>
      <c r="E983" s="84">
        <v>40330</v>
      </c>
      <c r="F983" s="84">
        <f t="shared" si="108"/>
        <v>43983</v>
      </c>
      <c r="G983" s="229">
        <v>1280</v>
      </c>
      <c r="H983" s="71" t="s">
        <v>1195</v>
      </c>
      <c r="I983" s="71" t="s">
        <v>1147</v>
      </c>
      <c r="J983" s="79"/>
      <c r="K983" s="55">
        <f t="shared" si="109"/>
        <v>2020</v>
      </c>
      <c r="L983" s="80"/>
      <c r="M983" s="80"/>
      <c r="N983" s="73" t="s">
        <v>3507</v>
      </c>
      <c r="O983" s="73" t="s">
        <v>3511</v>
      </c>
      <c r="P983" s="74"/>
      <c r="Q983" s="75" t="s">
        <v>3512</v>
      </c>
      <c r="R983" s="230">
        <v>4625</v>
      </c>
      <c r="S983" s="230">
        <v>797440</v>
      </c>
      <c r="T983" s="230">
        <v>802065</v>
      </c>
      <c r="U983" s="231">
        <v>2560</v>
      </c>
      <c r="V983" s="230"/>
      <c r="W983" s="230"/>
      <c r="X983" s="231"/>
      <c r="Y983" s="85"/>
      <c r="Z983" s="101">
        <v>0.1</v>
      </c>
      <c r="AA983" s="102"/>
      <c r="AB983" s="77"/>
      <c r="AC983" s="78"/>
    </row>
    <row r="984" spans="1:29" x14ac:dyDescent="0.2">
      <c r="A984" s="117" t="s">
        <v>3513</v>
      </c>
      <c r="B984" s="118" t="e">
        <f t="shared" si="107"/>
        <v>#VALUE!</v>
      </c>
      <c r="C984" s="118" t="s">
        <v>612</v>
      </c>
      <c r="D984" s="113">
        <v>40289</v>
      </c>
      <c r="E984" s="84">
        <v>40330</v>
      </c>
      <c r="F984" s="84">
        <f t="shared" si="108"/>
        <v>43983</v>
      </c>
      <c r="G984" s="229">
        <v>40</v>
      </c>
      <c r="H984" s="71" t="s">
        <v>3514</v>
      </c>
      <c r="I984" s="71" t="s">
        <v>812</v>
      </c>
      <c r="J984" s="79"/>
      <c r="K984" s="55">
        <f t="shared" si="109"/>
        <v>2020</v>
      </c>
      <c r="L984" s="80"/>
      <c r="M984" s="80"/>
      <c r="N984" s="73" t="s">
        <v>3515</v>
      </c>
      <c r="O984" s="73" t="s">
        <v>3516</v>
      </c>
      <c r="P984" s="74"/>
      <c r="Q984" s="75" t="s">
        <v>3517</v>
      </c>
      <c r="R984" s="230">
        <v>285</v>
      </c>
      <c r="S984" s="230">
        <v>17920</v>
      </c>
      <c r="T984" s="230">
        <v>18205</v>
      </c>
      <c r="U984" s="231">
        <v>80</v>
      </c>
      <c r="V984" s="230"/>
      <c r="W984" s="230"/>
      <c r="X984" s="231"/>
      <c r="Y984" s="85"/>
      <c r="Z984" s="101">
        <v>0.1</v>
      </c>
      <c r="AA984" s="102"/>
      <c r="AB984" s="77"/>
      <c r="AC984" s="78"/>
    </row>
    <row r="985" spans="1:29" ht="27" customHeight="1" x14ac:dyDescent="0.2">
      <c r="A985" s="117" t="s">
        <v>3518</v>
      </c>
      <c r="B985" s="118" t="e">
        <f t="shared" si="107"/>
        <v>#VALUE!</v>
      </c>
      <c r="C985" s="118" t="s">
        <v>612</v>
      </c>
      <c r="D985" s="113">
        <v>40289</v>
      </c>
      <c r="E985" s="84">
        <v>40330</v>
      </c>
      <c r="F985" s="84">
        <f t="shared" si="108"/>
        <v>43983</v>
      </c>
      <c r="G985" s="229">
        <v>10.728</v>
      </c>
      <c r="H985" s="71" t="s">
        <v>1209</v>
      </c>
      <c r="I985" s="71" t="s">
        <v>812</v>
      </c>
      <c r="J985" s="79"/>
      <c r="K985" s="55">
        <f t="shared" si="109"/>
        <v>2020</v>
      </c>
      <c r="L985" s="80"/>
      <c r="M985" s="80"/>
      <c r="N985" s="73" t="s">
        <v>3519</v>
      </c>
      <c r="O985" s="73" t="s">
        <v>3520</v>
      </c>
      <c r="P985" s="74"/>
      <c r="Q985" s="75" t="s">
        <v>3521</v>
      </c>
      <c r="R985" s="230">
        <v>183.5</v>
      </c>
      <c r="S985" s="230">
        <v>528</v>
      </c>
      <c r="T985" s="230">
        <v>711.5</v>
      </c>
      <c r="U985" s="231">
        <v>22</v>
      </c>
      <c r="V985" s="230"/>
      <c r="W985" s="230"/>
      <c r="X985" s="231"/>
      <c r="Y985" s="85"/>
      <c r="Z985" s="101">
        <v>0.1</v>
      </c>
      <c r="AA985" s="102"/>
      <c r="AB985" s="77"/>
      <c r="AC985" s="78"/>
    </row>
    <row r="986" spans="1:29" x14ac:dyDescent="0.2">
      <c r="A986" s="117" t="s">
        <v>3522</v>
      </c>
      <c r="B986" s="118" t="e">
        <f t="shared" si="107"/>
        <v>#VALUE!</v>
      </c>
      <c r="C986" s="118" t="s">
        <v>612</v>
      </c>
      <c r="D986" s="113">
        <v>40289</v>
      </c>
      <c r="E986" s="84">
        <v>40330</v>
      </c>
      <c r="F986" s="84">
        <f t="shared" si="108"/>
        <v>43983</v>
      </c>
      <c r="G986" s="229">
        <v>544.82000000000005</v>
      </c>
      <c r="H986" s="71" t="s">
        <v>1503</v>
      </c>
      <c r="I986" s="71" t="s">
        <v>614</v>
      </c>
      <c r="J986" s="79"/>
      <c r="K986" s="55">
        <f t="shared" si="109"/>
        <v>2020</v>
      </c>
      <c r="L986" s="80"/>
      <c r="M986" s="80"/>
      <c r="N986" s="73" t="s">
        <v>3523</v>
      </c>
      <c r="O986" s="73" t="s">
        <v>3524</v>
      </c>
      <c r="P986" s="74"/>
      <c r="Q986" s="75" t="s">
        <v>3525</v>
      </c>
      <c r="R986" s="230">
        <v>2087.5</v>
      </c>
      <c r="S986" s="230">
        <v>26640</v>
      </c>
      <c r="T986" s="230">
        <v>28727.5</v>
      </c>
      <c r="U986" s="231">
        <v>1110</v>
      </c>
      <c r="V986" s="230"/>
      <c r="W986" s="230"/>
      <c r="X986" s="231"/>
      <c r="Y986" s="85"/>
      <c r="Z986" s="101">
        <v>0.1</v>
      </c>
      <c r="AA986" s="102"/>
      <c r="AB986" s="77" t="s">
        <v>1069</v>
      </c>
      <c r="AC986" s="78"/>
    </row>
    <row r="987" spans="1:29" ht="15" hidden="1" customHeight="1" thickBot="1" x14ac:dyDescent="0.25">
      <c r="A987" s="117"/>
      <c r="D987" s="71"/>
      <c r="E987" s="78"/>
      <c r="F987" s="84"/>
      <c r="G987" s="229"/>
      <c r="H987" s="71"/>
      <c r="I987" s="71"/>
      <c r="J987" s="79"/>
      <c r="K987" s="79"/>
      <c r="L987" s="80"/>
      <c r="M987" s="80"/>
      <c r="N987" s="73"/>
      <c r="O987" s="73"/>
      <c r="P987" s="74"/>
      <c r="Q987" s="75"/>
      <c r="R987" s="241">
        <v>12416.5</v>
      </c>
      <c r="S987" s="241">
        <v>1555832</v>
      </c>
      <c r="T987" s="241">
        <v>1568248.5</v>
      </c>
      <c r="U987" s="231"/>
      <c r="V987" s="230"/>
      <c r="W987" s="230"/>
      <c r="X987" s="231"/>
      <c r="Y987" s="85"/>
      <c r="Z987" s="85"/>
      <c r="AA987" s="76"/>
      <c r="AB987" s="77"/>
      <c r="AC987" s="78"/>
    </row>
    <row r="988" spans="1:29" hidden="1" x14ac:dyDescent="0.2">
      <c r="A988" s="117"/>
      <c r="D988" s="71"/>
      <c r="E988" s="78"/>
      <c r="F988" s="84"/>
      <c r="G988" s="229"/>
      <c r="H988" s="71"/>
      <c r="I988" s="71"/>
      <c r="J988" s="79"/>
      <c r="K988" s="79"/>
      <c r="L988" s="80"/>
      <c r="M988" s="80"/>
      <c r="N988" s="73"/>
      <c r="O988" s="73"/>
      <c r="P988" s="74"/>
      <c r="Q988" s="75" t="s">
        <v>3500</v>
      </c>
      <c r="R988" s="230"/>
      <c r="S988" s="230"/>
      <c r="T988" s="230">
        <v>12416.5</v>
      </c>
      <c r="U988" s="231"/>
      <c r="V988" s="230"/>
      <c r="W988" s="230"/>
      <c r="X988" s="231"/>
      <c r="Y988" s="85"/>
      <c r="Z988" s="85"/>
      <c r="AA988" s="76"/>
      <c r="AB988" s="77"/>
      <c r="AC988" s="78"/>
    </row>
    <row r="989" spans="1:29" hidden="1" x14ac:dyDescent="0.2">
      <c r="A989" s="117"/>
      <c r="D989" s="71"/>
      <c r="E989" s="78"/>
      <c r="F989" s="84"/>
      <c r="G989" s="229"/>
      <c r="H989" s="71"/>
      <c r="I989" s="71"/>
      <c r="J989" s="79"/>
      <c r="K989" s="79"/>
      <c r="L989" s="80"/>
      <c r="M989" s="80"/>
      <c r="N989" s="73"/>
      <c r="O989" s="73"/>
      <c r="P989" s="74"/>
      <c r="Q989" s="75" t="s">
        <v>3500</v>
      </c>
      <c r="R989" s="230"/>
      <c r="S989" s="230"/>
      <c r="T989" s="230">
        <v>87000</v>
      </c>
      <c r="U989" s="231"/>
      <c r="V989" s="230"/>
      <c r="W989" s="230"/>
      <c r="X989" s="231"/>
      <c r="Y989" s="85"/>
      <c r="Z989" s="85"/>
      <c r="AA989" s="76"/>
      <c r="AB989" s="77"/>
      <c r="AC989" s="78"/>
    </row>
    <row r="990" spans="1:29" hidden="1" x14ac:dyDescent="0.2">
      <c r="A990" s="117"/>
      <c r="D990" s="71"/>
      <c r="E990" s="78"/>
      <c r="F990" s="84"/>
      <c r="G990" s="229"/>
      <c r="H990" s="71"/>
      <c r="I990" s="71"/>
      <c r="J990" s="79"/>
      <c r="K990" s="79"/>
      <c r="L990" s="80"/>
      <c r="M990" s="80"/>
      <c r="N990" s="73"/>
      <c r="O990" s="73"/>
      <c r="P990" s="74"/>
      <c r="Q990" s="75" t="s">
        <v>3526</v>
      </c>
      <c r="R990" s="230"/>
      <c r="S990" s="230"/>
      <c r="T990" s="230">
        <v>1468832</v>
      </c>
      <c r="U990" s="231"/>
      <c r="V990" s="230"/>
      <c r="W990" s="230"/>
      <c r="X990" s="231"/>
      <c r="Y990" s="85"/>
      <c r="Z990" s="85"/>
      <c r="AA990" s="76"/>
      <c r="AB990" s="77"/>
      <c r="AC990" s="78"/>
    </row>
    <row r="991" spans="1:29" ht="15" hidden="1" customHeight="1" thickBot="1" x14ac:dyDescent="0.25">
      <c r="A991" s="117"/>
      <c r="D991" s="71"/>
      <c r="E991" s="78"/>
      <c r="F991" s="84"/>
      <c r="G991" s="229"/>
      <c r="H991" s="71"/>
      <c r="I991" s="71"/>
      <c r="J991" s="79"/>
      <c r="K991" s="79"/>
      <c r="L991" s="80"/>
      <c r="M991" s="80"/>
      <c r="N991" s="73"/>
      <c r="O991" s="73"/>
      <c r="P991" s="74"/>
      <c r="Q991" s="75"/>
      <c r="R991" s="230"/>
      <c r="S991" s="230"/>
      <c r="T991" s="241">
        <v>1568248.5</v>
      </c>
      <c r="U991" s="231"/>
      <c r="V991" s="230"/>
      <c r="W991" s="230"/>
      <c r="X991" s="231"/>
      <c r="Y991" s="85"/>
      <c r="Z991" s="85"/>
      <c r="AA991" s="76"/>
      <c r="AB991" s="77"/>
      <c r="AC991" s="78"/>
    </row>
    <row r="992" spans="1:29" hidden="1" x14ac:dyDescent="0.2">
      <c r="A992" s="117"/>
      <c r="D992" s="71"/>
      <c r="E992" s="78"/>
      <c r="F992" s="84"/>
      <c r="G992" s="229"/>
      <c r="H992" s="71"/>
      <c r="I992" s="71"/>
      <c r="J992" s="79"/>
      <c r="K992" s="79"/>
      <c r="L992" s="80"/>
      <c r="M992" s="80"/>
      <c r="N992" s="73"/>
      <c r="O992" s="73"/>
      <c r="P992" s="74"/>
      <c r="Q992" s="75"/>
      <c r="R992" s="230"/>
      <c r="S992" s="230"/>
      <c r="T992" s="230"/>
      <c r="U992" s="231"/>
      <c r="V992" s="230"/>
      <c r="W992" s="230"/>
      <c r="X992" s="231"/>
      <c r="Y992" s="85"/>
      <c r="Z992" s="85"/>
      <c r="AA992" s="76"/>
      <c r="AB992" s="77"/>
      <c r="AC992" s="78"/>
    </row>
    <row r="993" spans="1:29" x14ac:dyDescent="0.2">
      <c r="A993" s="117" t="s">
        <v>3527</v>
      </c>
      <c r="B993" s="118" t="e">
        <f t="shared" ref="B993:B1016" si="110">IF(COUNTIF(GIS,A993),"YES","NO")</f>
        <v>#VALUE!</v>
      </c>
      <c r="C993" s="118" t="s">
        <v>612</v>
      </c>
      <c r="D993" s="113">
        <v>40352</v>
      </c>
      <c r="E993" s="84">
        <v>40422</v>
      </c>
      <c r="F993" s="84">
        <f t="shared" ref="F993:F1016" si="111">DATE(YEAR(E993)+10,MONTH(E993),DAY(E993))</f>
        <v>44075</v>
      </c>
      <c r="G993" s="229">
        <v>40</v>
      </c>
      <c r="H993" s="71" t="s">
        <v>3528</v>
      </c>
      <c r="I993" s="71" t="s">
        <v>684</v>
      </c>
      <c r="J993" s="79"/>
      <c r="K993" s="55">
        <f t="shared" ref="K993:K1016" si="112">YEAR(F993)</f>
        <v>2020</v>
      </c>
      <c r="L993" s="80"/>
      <c r="M993" s="80"/>
      <c r="N993" s="73" t="s">
        <v>3529</v>
      </c>
      <c r="O993" s="73" t="s">
        <v>3530</v>
      </c>
      <c r="P993" s="74"/>
      <c r="Q993" s="75"/>
      <c r="R993" s="230">
        <v>285</v>
      </c>
      <c r="S993" s="230"/>
      <c r="T993" s="230">
        <v>285</v>
      </c>
      <c r="U993" s="231">
        <v>60</v>
      </c>
      <c r="V993" s="230"/>
      <c r="W993" s="230"/>
      <c r="X993" s="231"/>
      <c r="Y993" s="85"/>
      <c r="Z993" s="101">
        <v>0.1</v>
      </c>
      <c r="AA993" s="102">
        <v>0.09</v>
      </c>
      <c r="AB993" s="77"/>
      <c r="AC993" s="78"/>
    </row>
    <row r="994" spans="1:29" x14ac:dyDescent="0.2">
      <c r="A994" s="117" t="s">
        <v>3531</v>
      </c>
      <c r="B994" s="118" t="e">
        <f t="shared" si="110"/>
        <v>#VALUE!</v>
      </c>
      <c r="C994" s="118" t="s">
        <v>612</v>
      </c>
      <c r="D994" s="113">
        <v>40352</v>
      </c>
      <c r="E994" s="84">
        <v>40422</v>
      </c>
      <c r="F994" s="84">
        <f t="shared" si="111"/>
        <v>44075</v>
      </c>
      <c r="G994" s="229">
        <v>39.61</v>
      </c>
      <c r="H994" s="71" t="s">
        <v>3532</v>
      </c>
      <c r="I994" s="71" t="s">
        <v>684</v>
      </c>
      <c r="J994" s="79"/>
      <c r="K994" s="55">
        <f t="shared" si="112"/>
        <v>2020</v>
      </c>
      <c r="L994" s="80"/>
      <c r="M994" s="80"/>
      <c r="N994" s="73" t="s">
        <v>3533</v>
      </c>
      <c r="O994" s="73" t="s">
        <v>3534</v>
      </c>
      <c r="P994" s="74"/>
      <c r="Q994" s="75"/>
      <c r="R994" s="230">
        <v>285</v>
      </c>
      <c r="S994" s="230"/>
      <c r="T994" s="230">
        <v>285</v>
      </c>
      <c r="U994" s="231">
        <v>60</v>
      </c>
      <c r="V994" s="230"/>
      <c r="W994" s="230"/>
      <c r="X994" s="231"/>
      <c r="Y994" s="85"/>
      <c r="Z994" s="101">
        <v>0.1</v>
      </c>
      <c r="AA994" s="102">
        <v>0.09</v>
      </c>
      <c r="AB994" s="77"/>
      <c r="AC994" s="78"/>
    </row>
    <row r="995" spans="1:29" x14ac:dyDescent="0.2">
      <c r="A995" s="117" t="s">
        <v>3535</v>
      </c>
      <c r="B995" s="118" t="e">
        <f t="shared" si="110"/>
        <v>#VALUE!</v>
      </c>
      <c r="C995" s="118" t="s">
        <v>612</v>
      </c>
      <c r="D995" s="113">
        <v>40352</v>
      </c>
      <c r="E995" s="84">
        <v>40422</v>
      </c>
      <c r="F995" s="84">
        <f t="shared" si="111"/>
        <v>44075</v>
      </c>
      <c r="G995" s="229">
        <v>239.92</v>
      </c>
      <c r="H995" s="71" t="s">
        <v>3532</v>
      </c>
      <c r="I995" s="71" t="s">
        <v>684</v>
      </c>
      <c r="J995" s="79"/>
      <c r="K995" s="55">
        <f t="shared" si="112"/>
        <v>2020</v>
      </c>
      <c r="L995" s="80"/>
      <c r="M995" s="80"/>
      <c r="N995" s="73" t="s">
        <v>3536</v>
      </c>
      <c r="O995" s="73" t="s">
        <v>3537</v>
      </c>
      <c r="P995" s="74"/>
      <c r="Q995" s="75"/>
      <c r="R995" s="230">
        <v>2185</v>
      </c>
      <c r="S995" s="230"/>
      <c r="T995" s="230">
        <v>2185</v>
      </c>
      <c r="U995" s="231">
        <v>360</v>
      </c>
      <c r="V995" s="230"/>
      <c r="W995" s="230"/>
      <c r="X995" s="231"/>
      <c r="Y995" s="85"/>
      <c r="Z995" s="101">
        <v>0.1</v>
      </c>
      <c r="AA995" s="102">
        <v>0.09</v>
      </c>
      <c r="AB995" s="77"/>
      <c r="AC995" s="78"/>
    </row>
    <row r="996" spans="1:29" x14ac:dyDescent="0.2">
      <c r="A996" s="117" t="s">
        <v>3538</v>
      </c>
      <c r="B996" s="118" t="e">
        <f t="shared" si="110"/>
        <v>#VALUE!</v>
      </c>
      <c r="C996" s="118" t="s">
        <v>612</v>
      </c>
      <c r="D996" s="113">
        <v>40352</v>
      </c>
      <c r="E996" s="84">
        <v>40422</v>
      </c>
      <c r="F996" s="84">
        <f t="shared" si="111"/>
        <v>44075</v>
      </c>
      <c r="G996" s="229">
        <v>510.67</v>
      </c>
      <c r="H996" s="71" t="s">
        <v>3532</v>
      </c>
      <c r="I996" s="71" t="s">
        <v>684</v>
      </c>
      <c r="J996" s="79"/>
      <c r="K996" s="55">
        <f t="shared" si="112"/>
        <v>2020</v>
      </c>
      <c r="L996" s="80"/>
      <c r="M996" s="80"/>
      <c r="N996" s="73" t="s">
        <v>3536</v>
      </c>
      <c r="O996" s="73" t="s">
        <v>3539</v>
      </c>
      <c r="P996" s="74"/>
      <c r="Q996" s="75"/>
      <c r="R996" s="230">
        <v>4488.5</v>
      </c>
      <c r="S996" s="230"/>
      <c r="T996" s="230">
        <v>4488.5</v>
      </c>
      <c r="U996" s="231">
        <v>766.5</v>
      </c>
      <c r="V996" s="230"/>
      <c r="W996" s="230"/>
      <c r="X996" s="231"/>
      <c r="Y996" s="85"/>
      <c r="Z996" s="101">
        <v>0.1</v>
      </c>
      <c r="AA996" s="102">
        <v>0.09</v>
      </c>
      <c r="AB996" s="77"/>
      <c r="AC996" s="78"/>
    </row>
    <row r="997" spans="1:29" x14ac:dyDescent="0.2">
      <c r="A997" s="117" t="s">
        <v>3540</v>
      </c>
      <c r="B997" s="118" t="e">
        <f t="shared" si="110"/>
        <v>#VALUE!</v>
      </c>
      <c r="C997" s="118" t="s">
        <v>612</v>
      </c>
      <c r="D997" s="113">
        <v>40352</v>
      </c>
      <c r="E997" s="84">
        <v>40422</v>
      </c>
      <c r="F997" s="84">
        <f t="shared" si="111"/>
        <v>44075</v>
      </c>
      <c r="G997" s="229">
        <v>40.08</v>
      </c>
      <c r="H997" s="71" t="s">
        <v>3532</v>
      </c>
      <c r="I997" s="71" t="s">
        <v>684</v>
      </c>
      <c r="J997" s="79"/>
      <c r="K997" s="55">
        <f t="shared" si="112"/>
        <v>2020</v>
      </c>
      <c r="L997" s="80"/>
      <c r="M997" s="80"/>
      <c r="N997" s="73" t="s">
        <v>3541</v>
      </c>
      <c r="O997" s="73" t="s">
        <v>3542</v>
      </c>
      <c r="P997" s="74"/>
      <c r="Q997" s="75"/>
      <c r="R997" s="230">
        <v>288.5</v>
      </c>
      <c r="S997" s="230"/>
      <c r="T997" s="230">
        <v>288.5</v>
      </c>
      <c r="U997" s="231">
        <v>61.5</v>
      </c>
      <c r="V997" s="230"/>
      <c r="W997" s="230"/>
      <c r="X997" s="231"/>
      <c r="Y997" s="85"/>
      <c r="Z997" s="101">
        <v>0.1</v>
      </c>
      <c r="AA997" s="102">
        <v>0.09</v>
      </c>
      <c r="AB997" s="77"/>
      <c r="AC997" s="78"/>
    </row>
    <row r="998" spans="1:29" x14ac:dyDescent="0.2">
      <c r="A998" s="117" t="s">
        <v>3543</v>
      </c>
      <c r="B998" s="118" t="e">
        <f t="shared" si="110"/>
        <v>#VALUE!</v>
      </c>
      <c r="C998" s="118" t="s">
        <v>612</v>
      </c>
      <c r="D998" s="113">
        <v>40352</v>
      </c>
      <c r="E998" s="84">
        <v>40422</v>
      </c>
      <c r="F998" s="84">
        <f t="shared" si="111"/>
        <v>44075</v>
      </c>
      <c r="G998" s="229">
        <v>30.44</v>
      </c>
      <c r="H998" s="71" t="s">
        <v>3532</v>
      </c>
      <c r="I998" s="71" t="s">
        <v>684</v>
      </c>
      <c r="J998" s="79"/>
      <c r="K998" s="55">
        <f t="shared" si="112"/>
        <v>2020</v>
      </c>
      <c r="L998" s="80"/>
      <c r="M998" s="80"/>
      <c r="N998" s="73" t="s">
        <v>3544</v>
      </c>
      <c r="O998" s="73" t="s">
        <v>3545</v>
      </c>
      <c r="P998" s="74"/>
      <c r="Q998" s="75"/>
      <c r="R998" s="230">
        <v>253.5</v>
      </c>
      <c r="S998" s="230"/>
      <c r="T998" s="230">
        <v>253.5</v>
      </c>
      <c r="U998" s="231">
        <v>46.5</v>
      </c>
      <c r="V998" s="230"/>
      <c r="W998" s="230"/>
      <c r="X998" s="231"/>
      <c r="Y998" s="85"/>
      <c r="Z998" s="101">
        <v>0.1</v>
      </c>
      <c r="AA998" s="102">
        <v>0.09</v>
      </c>
      <c r="AB998" s="77"/>
      <c r="AC998" s="78"/>
    </row>
    <row r="999" spans="1:29" ht="27" customHeight="1" x14ac:dyDescent="0.2">
      <c r="A999" s="117" t="s">
        <v>3546</v>
      </c>
      <c r="B999" s="118" t="e">
        <f t="shared" si="110"/>
        <v>#VALUE!</v>
      </c>
      <c r="C999" s="118" t="s">
        <v>612</v>
      </c>
      <c r="D999" s="113">
        <v>40352</v>
      </c>
      <c r="E999" s="84">
        <v>40422</v>
      </c>
      <c r="F999" s="84">
        <f t="shared" si="111"/>
        <v>44075</v>
      </c>
      <c r="G999" s="229">
        <v>634.84</v>
      </c>
      <c r="H999" s="71" t="s">
        <v>3532</v>
      </c>
      <c r="I999" s="71" t="s">
        <v>684</v>
      </c>
      <c r="J999" s="79"/>
      <c r="K999" s="55">
        <f t="shared" si="112"/>
        <v>2020</v>
      </c>
      <c r="L999" s="80"/>
      <c r="M999" s="80"/>
      <c r="N999" s="73" t="s">
        <v>3544</v>
      </c>
      <c r="O999" s="73" t="s">
        <v>3547</v>
      </c>
      <c r="P999" s="74"/>
      <c r="Q999" s="75"/>
      <c r="R999" s="230">
        <v>11257.5</v>
      </c>
      <c r="S999" s="230"/>
      <c r="T999" s="230">
        <v>11257.5</v>
      </c>
      <c r="U999" s="231">
        <v>952.5</v>
      </c>
      <c r="V999" s="230"/>
      <c r="W999" s="230"/>
      <c r="X999" s="231"/>
      <c r="Y999" s="85"/>
      <c r="Z999" s="101">
        <v>0.1</v>
      </c>
      <c r="AA999" s="102">
        <v>0.09</v>
      </c>
      <c r="AB999" s="77"/>
      <c r="AC999" s="78"/>
    </row>
    <row r="1000" spans="1:29" x14ac:dyDescent="0.2">
      <c r="A1000" s="117" t="s">
        <v>3548</v>
      </c>
      <c r="B1000" s="118" t="e">
        <f t="shared" si="110"/>
        <v>#VALUE!</v>
      </c>
      <c r="C1000" s="118" t="s">
        <v>612</v>
      </c>
      <c r="D1000" s="113">
        <v>40352</v>
      </c>
      <c r="E1000" s="84">
        <v>40422</v>
      </c>
      <c r="F1000" s="84">
        <f t="shared" si="111"/>
        <v>44075</v>
      </c>
      <c r="G1000" s="229">
        <v>99.41</v>
      </c>
      <c r="H1000" s="71" t="s">
        <v>3532</v>
      </c>
      <c r="I1000" s="71" t="s">
        <v>684</v>
      </c>
      <c r="J1000" s="79"/>
      <c r="K1000" s="55">
        <f t="shared" si="112"/>
        <v>2020</v>
      </c>
      <c r="L1000" s="80"/>
      <c r="M1000" s="80"/>
      <c r="N1000" s="73" t="s">
        <v>3549</v>
      </c>
      <c r="O1000" s="73" t="s">
        <v>3550</v>
      </c>
      <c r="P1000" s="74"/>
      <c r="Q1000" s="75"/>
      <c r="R1000" s="230">
        <v>895</v>
      </c>
      <c r="S1000" s="230"/>
      <c r="T1000" s="230">
        <v>895</v>
      </c>
      <c r="U1000" s="231">
        <v>150</v>
      </c>
      <c r="V1000" s="230"/>
      <c r="W1000" s="230"/>
      <c r="X1000" s="231"/>
      <c r="Y1000" s="85"/>
      <c r="Z1000" s="101">
        <v>0.1</v>
      </c>
      <c r="AA1000" s="102">
        <v>0.09</v>
      </c>
      <c r="AB1000" s="77"/>
      <c r="AC1000" s="78"/>
    </row>
    <row r="1001" spans="1:29" x14ac:dyDescent="0.2">
      <c r="A1001" s="117" t="s">
        <v>3551</v>
      </c>
      <c r="B1001" s="118" t="e">
        <f t="shared" si="110"/>
        <v>#VALUE!</v>
      </c>
      <c r="C1001" s="118" t="s">
        <v>612</v>
      </c>
      <c r="D1001" s="113">
        <v>40352</v>
      </c>
      <c r="E1001" s="84">
        <v>40422</v>
      </c>
      <c r="F1001" s="84">
        <f t="shared" si="111"/>
        <v>44075</v>
      </c>
      <c r="G1001" s="229">
        <v>19.899999999999999</v>
      </c>
      <c r="H1001" s="71" t="s">
        <v>3532</v>
      </c>
      <c r="I1001" s="71" t="s">
        <v>684</v>
      </c>
      <c r="J1001" s="79"/>
      <c r="K1001" s="55">
        <f t="shared" si="112"/>
        <v>2020</v>
      </c>
      <c r="L1001" s="80"/>
      <c r="M1001" s="80"/>
      <c r="N1001" s="73" t="s">
        <v>3549</v>
      </c>
      <c r="O1001" s="73" t="s">
        <v>3552</v>
      </c>
      <c r="P1001" s="74"/>
      <c r="Q1001" s="75"/>
      <c r="R1001" s="230">
        <v>215</v>
      </c>
      <c r="S1001" s="230"/>
      <c r="T1001" s="230">
        <v>215</v>
      </c>
      <c r="U1001" s="231">
        <v>30</v>
      </c>
      <c r="V1001" s="230"/>
      <c r="W1001" s="230"/>
      <c r="X1001" s="231"/>
      <c r="Y1001" s="85"/>
      <c r="Z1001" s="101">
        <v>0.1</v>
      </c>
      <c r="AA1001" s="102">
        <v>0.09</v>
      </c>
      <c r="AB1001" s="77"/>
      <c r="AC1001" s="78"/>
    </row>
    <row r="1002" spans="1:29" x14ac:dyDescent="0.2">
      <c r="A1002" s="117" t="s">
        <v>3553</v>
      </c>
      <c r="B1002" s="118" t="e">
        <f t="shared" si="110"/>
        <v>#VALUE!</v>
      </c>
      <c r="C1002" s="118" t="s">
        <v>612</v>
      </c>
      <c r="D1002" s="113">
        <v>40352</v>
      </c>
      <c r="E1002" s="84">
        <v>40422</v>
      </c>
      <c r="F1002" s="84">
        <f t="shared" si="111"/>
        <v>44075</v>
      </c>
      <c r="G1002" s="229">
        <v>159.91999999999999</v>
      </c>
      <c r="H1002" s="71" t="s">
        <v>3532</v>
      </c>
      <c r="I1002" s="71" t="s">
        <v>684</v>
      </c>
      <c r="J1002" s="79"/>
      <c r="K1002" s="55">
        <f t="shared" si="112"/>
        <v>2020</v>
      </c>
      <c r="L1002" s="80"/>
      <c r="M1002" s="80"/>
      <c r="N1002" s="73" t="s">
        <v>3549</v>
      </c>
      <c r="O1002" s="73" t="s">
        <v>3554</v>
      </c>
      <c r="P1002" s="74"/>
      <c r="Q1002" s="75"/>
      <c r="R1002" s="230">
        <v>1345</v>
      </c>
      <c r="S1002" s="230"/>
      <c r="T1002" s="230">
        <v>1345</v>
      </c>
      <c r="U1002" s="231">
        <v>240</v>
      </c>
      <c r="V1002" s="230"/>
      <c r="W1002" s="230"/>
      <c r="X1002" s="231"/>
      <c r="Y1002" s="85"/>
      <c r="Z1002" s="101">
        <v>0.1</v>
      </c>
      <c r="AA1002" s="102">
        <v>0.09</v>
      </c>
      <c r="AB1002" s="77"/>
      <c r="AC1002" s="78"/>
    </row>
    <row r="1003" spans="1:29" x14ac:dyDescent="0.2">
      <c r="A1003" s="117" t="s">
        <v>3555</v>
      </c>
      <c r="B1003" s="118" t="e">
        <f t="shared" si="110"/>
        <v>#VALUE!</v>
      </c>
      <c r="C1003" s="118" t="s">
        <v>612</v>
      </c>
      <c r="D1003" s="113">
        <v>40352</v>
      </c>
      <c r="E1003" s="84">
        <v>40422</v>
      </c>
      <c r="F1003" s="84">
        <f t="shared" si="111"/>
        <v>44075</v>
      </c>
      <c r="G1003" s="229">
        <v>110</v>
      </c>
      <c r="H1003" s="71" t="s">
        <v>3532</v>
      </c>
      <c r="I1003" s="71" t="s">
        <v>684</v>
      </c>
      <c r="J1003" s="79"/>
      <c r="K1003" s="55">
        <f t="shared" si="112"/>
        <v>2020</v>
      </c>
      <c r="L1003" s="80"/>
      <c r="M1003" s="80"/>
      <c r="N1003" s="73" t="s">
        <v>3549</v>
      </c>
      <c r="O1003" s="73" t="s">
        <v>3556</v>
      </c>
      <c r="P1003" s="74"/>
      <c r="Q1003" s="75"/>
      <c r="R1003" s="230">
        <v>5590</v>
      </c>
      <c r="S1003" s="230"/>
      <c r="T1003" s="230">
        <v>5590</v>
      </c>
      <c r="U1003" s="231">
        <v>165</v>
      </c>
      <c r="V1003" s="230"/>
      <c r="W1003" s="230"/>
      <c r="X1003" s="231"/>
      <c r="Y1003" s="85"/>
      <c r="Z1003" s="101">
        <v>0.1</v>
      </c>
      <c r="AA1003" s="102">
        <v>0.09</v>
      </c>
      <c r="AB1003" s="77"/>
      <c r="AC1003" s="78"/>
    </row>
    <row r="1004" spans="1:29" x14ac:dyDescent="0.2">
      <c r="A1004" s="117" t="s">
        <v>3557</v>
      </c>
      <c r="B1004" s="118" t="e">
        <f t="shared" si="110"/>
        <v>#VALUE!</v>
      </c>
      <c r="C1004" s="118" t="s">
        <v>612</v>
      </c>
      <c r="D1004" s="113">
        <v>40352</v>
      </c>
      <c r="E1004" s="84">
        <v>40422</v>
      </c>
      <c r="F1004" s="84">
        <f t="shared" si="111"/>
        <v>44075</v>
      </c>
      <c r="G1004" s="229">
        <v>80</v>
      </c>
      <c r="H1004" s="71" t="s">
        <v>3558</v>
      </c>
      <c r="I1004" s="71" t="s">
        <v>691</v>
      </c>
      <c r="J1004" s="79"/>
      <c r="K1004" s="55">
        <f t="shared" si="112"/>
        <v>2020</v>
      </c>
      <c r="L1004" s="80"/>
      <c r="M1004" s="80"/>
      <c r="N1004" s="73" t="s">
        <v>3559</v>
      </c>
      <c r="O1004" s="73" t="s">
        <v>3560</v>
      </c>
      <c r="P1004" s="74"/>
      <c r="Q1004" s="75"/>
      <c r="R1004" s="230">
        <v>2345</v>
      </c>
      <c r="S1004" s="230"/>
      <c r="T1004" s="230">
        <v>2345</v>
      </c>
      <c r="U1004" s="231">
        <v>120</v>
      </c>
      <c r="V1004" s="230"/>
      <c r="W1004" s="230"/>
      <c r="X1004" s="231"/>
      <c r="Y1004" s="85"/>
      <c r="Z1004" s="101">
        <v>0.1</v>
      </c>
      <c r="AA1004" s="102">
        <v>0.09</v>
      </c>
      <c r="AB1004" s="77"/>
      <c r="AC1004" s="78"/>
    </row>
    <row r="1005" spans="1:29" x14ac:dyDescent="0.2">
      <c r="A1005" s="117" t="s">
        <v>3561</v>
      </c>
      <c r="B1005" s="118" t="e">
        <f t="shared" si="110"/>
        <v>#VALUE!</v>
      </c>
      <c r="C1005" s="118" t="s">
        <v>612</v>
      </c>
      <c r="D1005" s="113">
        <v>40352</v>
      </c>
      <c r="E1005" s="84">
        <v>40422</v>
      </c>
      <c r="F1005" s="84">
        <f t="shared" si="111"/>
        <v>44075</v>
      </c>
      <c r="G1005" s="229">
        <v>40</v>
      </c>
      <c r="H1005" s="71" t="s">
        <v>3558</v>
      </c>
      <c r="I1005" s="71" t="s">
        <v>691</v>
      </c>
      <c r="J1005" s="79"/>
      <c r="K1005" s="55">
        <f t="shared" si="112"/>
        <v>2020</v>
      </c>
      <c r="L1005" s="80"/>
      <c r="M1005" s="80"/>
      <c r="N1005" s="73" t="s">
        <v>3562</v>
      </c>
      <c r="O1005" s="73" t="s">
        <v>3563</v>
      </c>
      <c r="P1005" s="74"/>
      <c r="Q1005" s="75"/>
      <c r="R1005" s="230">
        <v>285</v>
      </c>
      <c r="S1005" s="230"/>
      <c r="T1005" s="230">
        <v>285</v>
      </c>
      <c r="U1005" s="231">
        <v>60</v>
      </c>
      <c r="V1005" s="230"/>
      <c r="W1005" s="230"/>
      <c r="X1005" s="231"/>
      <c r="Y1005" s="85"/>
      <c r="Z1005" s="101">
        <v>0.1</v>
      </c>
      <c r="AA1005" s="102">
        <v>0.09</v>
      </c>
      <c r="AB1005" s="77"/>
      <c r="AC1005" s="78"/>
    </row>
    <row r="1006" spans="1:29" ht="27" customHeight="1" x14ac:dyDescent="0.2">
      <c r="A1006" s="117" t="s">
        <v>3564</v>
      </c>
      <c r="B1006" s="118" t="e">
        <f t="shared" si="110"/>
        <v>#VALUE!</v>
      </c>
      <c r="C1006" s="118" t="s">
        <v>612</v>
      </c>
      <c r="D1006" s="113">
        <v>40352</v>
      </c>
      <c r="E1006" s="84">
        <v>40422</v>
      </c>
      <c r="F1006" s="84">
        <f t="shared" si="111"/>
        <v>44075</v>
      </c>
      <c r="G1006" s="229">
        <v>160</v>
      </c>
      <c r="H1006" s="71" t="s">
        <v>3558</v>
      </c>
      <c r="I1006" s="71" t="s">
        <v>691</v>
      </c>
      <c r="J1006" s="79"/>
      <c r="K1006" s="55">
        <f t="shared" si="112"/>
        <v>2020</v>
      </c>
      <c r="L1006" s="80"/>
      <c r="M1006" s="80"/>
      <c r="N1006" s="73" t="s">
        <v>3565</v>
      </c>
      <c r="O1006" s="73" t="s">
        <v>3566</v>
      </c>
      <c r="P1006" s="74"/>
      <c r="Q1006" s="75"/>
      <c r="R1006" s="230">
        <v>705</v>
      </c>
      <c r="S1006" s="230"/>
      <c r="T1006" s="230">
        <v>705</v>
      </c>
      <c r="U1006" s="231">
        <v>240</v>
      </c>
      <c r="V1006" s="230"/>
      <c r="W1006" s="230"/>
      <c r="X1006" s="231"/>
      <c r="Y1006" s="85"/>
      <c r="Z1006" s="101">
        <v>0.1</v>
      </c>
      <c r="AA1006" s="102">
        <v>0.09</v>
      </c>
      <c r="AB1006" s="77"/>
      <c r="AC1006" s="78"/>
    </row>
    <row r="1007" spans="1:29" x14ac:dyDescent="0.2">
      <c r="A1007" s="117" t="s">
        <v>3567</v>
      </c>
      <c r="B1007" s="118" t="e">
        <f t="shared" si="110"/>
        <v>#VALUE!</v>
      </c>
      <c r="C1007" s="118" t="s">
        <v>612</v>
      </c>
      <c r="D1007" s="113">
        <v>40352</v>
      </c>
      <c r="E1007" s="84">
        <v>40422</v>
      </c>
      <c r="F1007" s="84">
        <f t="shared" si="111"/>
        <v>44075</v>
      </c>
      <c r="G1007" s="229">
        <v>120</v>
      </c>
      <c r="H1007" s="71" t="s">
        <v>3568</v>
      </c>
      <c r="I1007" s="71" t="s">
        <v>691</v>
      </c>
      <c r="J1007" s="79"/>
      <c r="K1007" s="55">
        <f t="shared" si="112"/>
        <v>2020</v>
      </c>
      <c r="L1007" s="80"/>
      <c r="M1007" s="80"/>
      <c r="N1007" s="73" t="s">
        <v>3569</v>
      </c>
      <c r="O1007" s="73" t="s">
        <v>3570</v>
      </c>
      <c r="P1007" s="74"/>
      <c r="Q1007" s="75"/>
      <c r="R1007" s="230">
        <v>1285</v>
      </c>
      <c r="S1007" s="230"/>
      <c r="T1007" s="230">
        <v>1285</v>
      </c>
      <c r="U1007" s="231">
        <v>180</v>
      </c>
      <c r="V1007" s="230"/>
      <c r="W1007" s="230"/>
      <c r="X1007" s="231"/>
      <c r="Y1007" s="85"/>
      <c r="Z1007" s="101">
        <v>0.1</v>
      </c>
      <c r="AA1007" s="102">
        <v>0.09</v>
      </c>
      <c r="AB1007" s="77"/>
      <c r="AC1007" s="78"/>
    </row>
    <row r="1008" spans="1:29" x14ac:dyDescent="0.2">
      <c r="A1008" s="117" t="s">
        <v>3571</v>
      </c>
      <c r="B1008" s="118" t="e">
        <f t="shared" si="110"/>
        <v>#VALUE!</v>
      </c>
      <c r="C1008" s="118" t="s">
        <v>612</v>
      </c>
      <c r="D1008" s="113">
        <v>40352</v>
      </c>
      <c r="E1008" s="84">
        <v>40422</v>
      </c>
      <c r="F1008" s="84">
        <f t="shared" si="111"/>
        <v>44075</v>
      </c>
      <c r="G1008" s="229">
        <v>40</v>
      </c>
      <c r="H1008" s="71" t="s">
        <v>3558</v>
      </c>
      <c r="I1008" s="71" t="s">
        <v>691</v>
      </c>
      <c r="J1008" s="79"/>
      <c r="K1008" s="55">
        <f t="shared" si="112"/>
        <v>2020</v>
      </c>
      <c r="L1008" s="80"/>
      <c r="M1008" s="80"/>
      <c r="N1008" s="73" t="s">
        <v>3572</v>
      </c>
      <c r="O1008" s="73" t="s">
        <v>3573</v>
      </c>
      <c r="P1008" s="74"/>
      <c r="Q1008" s="75"/>
      <c r="R1008" s="230">
        <v>445</v>
      </c>
      <c r="S1008" s="230"/>
      <c r="T1008" s="230">
        <v>445</v>
      </c>
      <c r="U1008" s="231">
        <v>60</v>
      </c>
      <c r="V1008" s="230"/>
      <c r="W1008" s="230"/>
      <c r="X1008" s="231"/>
      <c r="Y1008" s="85"/>
      <c r="Z1008" s="101">
        <v>0.1</v>
      </c>
      <c r="AA1008" s="102">
        <v>0.09</v>
      </c>
      <c r="AB1008" s="77"/>
      <c r="AC1008" s="78"/>
    </row>
    <row r="1009" spans="1:29" x14ac:dyDescent="0.2">
      <c r="A1009" s="117" t="s">
        <v>3574</v>
      </c>
      <c r="B1009" s="118" t="e">
        <f t="shared" si="110"/>
        <v>#VALUE!</v>
      </c>
      <c r="C1009" s="118" t="s">
        <v>612</v>
      </c>
      <c r="D1009" s="113">
        <v>40352</v>
      </c>
      <c r="E1009" s="84">
        <v>40422</v>
      </c>
      <c r="F1009" s="84">
        <f t="shared" si="111"/>
        <v>44075</v>
      </c>
      <c r="G1009" s="229">
        <v>80</v>
      </c>
      <c r="H1009" s="71" t="s">
        <v>3558</v>
      </c>
      <c r="I1009" s="71" t="s">
        <v>691</v>
      </c>
      <c r="J1009" s="79"/>
      <c r="K1009" s="55">
        <f t="shared" si="112"/>
        <v>2020</v>
      </c>
      <c r="L1009" s="80"/>
      <c r="M1009" s="80"/>
      <c r="N1009" s="73" t="s">
        <v>3572</v>
      </c>
      <c r="O1009" s="73" t="s">
        <v>3575</v>
      </c>
      <c r="P1009" s="74"/>
      <c r="Q1009" s="75"/>
      <c r="R1009" s="230">
        <v>2025</v>
      </c>
      <c r="S1009" s="230"/>
      <c r="T1009" s="230">
        <v>2025</v>
      </c>
      <c r="U1009" s="231">
        <v>120</v>
      </c>
      <c r="V1009" s="230"/>
      <c r="W1009" s="230"/>
      <c r="X1009" s="231"/>
      <c r="Y1009" s="85"/>
      <c r="Z1009" s="101">
        <v>0.1</v>
      </c>
      <c r="AA1009" s="102">
        <v>0.09</v>
      </c>
      <c r="AB1009" s="77"/>
      <c r="AC1009" s="78"/>
    </row>
    <row r="1010" spans="1:29" ht="53" customHeight="1" x14ac:dyDescent="0.2">
      <c r="A1010" s="117" t="s">
        <v>3576</v>
      </c>
      <c r="B1010" s="118" t="e">
        <f t="shared" si="110"/>
        <v>#VALUE!</v>
      </c>
      <c r="C1010" s="118" t="s">
        <v>612</v>
      </c>
      <c r="D1010" s="113">
        <v>40352</v>
      </c>
      <c r="E1010" s="84">
        <v>40422</v>
      </c>
      <c r="F1010" s="84">
        <f t="shared" si="111"/>
        <v>44075</v>
      </c>
      <c r="G1010" s="229">
        <v>60</v>
      </c>
      <c r="H1010" s="71" t="s">
        <v>3558</v>
      </c>
      <c r="I1010" s="71" t="s">
        <v>691</v>
      </c>
      <c r="J1010" s="79"/>
      <c r="K1010" s="55">
        <f t="shared" si="112"/>
        <v>2020</v>
      </c>
      <c r="L1010" s="80"/>
      <c r="M1010" s="80"/>
      <c r="N1010" s="73" t="s">
        <v>3577</v>
      </c>
      <c r="O1010" s="73" t="s">
        <v>3578</v>
      </c>
      <c r="P1010" s="74" t="s">
        <v>3579</v>
      </c>
      <c r="Q1010" s="75"/>
      <c r="R1010" s="230">
        <v>355</v>
      </c>
      <c r="S1010" s="230"/>
      <c r="T1010" s="230">
        <v>355</v>
      </c>
      <c r="U1010" s="231">
        <v>90</v>
      </c>
      <c r="V1010" s="230"/>
      <c r="W1010" s="230"/>
      <c r="X1010" s="231"/>
      <c r="Y1010" s="85"/>
      <c r="Z1010" s="101">
        <v>0.1</v>
      </c>
      <c r="AA1010" s="102">
        <v>0.09</v>
      </c>
      <c r="AB1010" s="77"/>
      <c r="AC1010" s="78"/>
    </row>
    <row r="1011" spans="1:29" x14ac:dyDescent="0.2">
      <c r="A1011" s="117" t="s">
        <v>3580</v>
      </c>
      <c r="B1011" s="118" t="e">
        <f t="shared" si="110"/>
        <v>#VALUE!</v>
      </c>
      <c r="C1011" s="118" t="s">
        <v>612</v>
      </c>
      <c r="D1011" s="113">
        <v>40352</v>
      </c>
      <c r="E1011" s="84">
        <v>40422</v>
      </c>
      <c r="F1011" s="84">
        <f t="shared" si="111"/>
        <v>44075</v>
      </c>
      <c r="G1011" s="229">
        <v>80</v>
      </c>
      <c r="H1011" s="71" t="s">
        <v>3459</v>
      </c>
      <c r="I1011" s="71" t="s">
        <v>691</v>
      </c>
      <c r="J1011" s="79"/>
      <c r="K1011" s="55">
        <f t="shared" si="112"/>
        <v>2020</v>
      </c>
      <c r="L1011" s="80"/>
      <c r="M1011" s="80"/>
      <c r="N1011" s="73" t="s">
        <v>3577</v>
      </c>
      <c r="O1011" s="73" t="s">
        <v>3581</v>
      </c>
      <c r="P1011" s="74"/>
      <c r="Q1011" s="75"/>
      <c r="R1011" s="230">
        <v>425</v>
      </c>
      <c r="S1011" s="230"/>
      <c r="T1011" s="230">
        <v>425</v>
      </c>
      <c r="U1011" s="231">
        <v>120</v>
      </c>
      <c r="V1011" s="230"/>
      <c r="W1011" s="230"/>
      <c r="X1011" s="231"/>
      <c r="Y1011" s="85"/>
      <c r="Z1011" s="101">
        <v>0.1</v>
      </c>
      <c r="AA1011" s="102">
        <v>0.09</v>
      </c>
      <c r="AB1011" s="77"/>
      <c r="AC1011" s="78"/>
    </row>
    <row r="1012" spans="1:29" x14ac:dyDescent="0.2">
      <c r="A1012" s="117" t="s">
        <v>3582</v>
      </c>
      <c r="B1012" s="118" t="e">
        <f t="shared" si="110"/>
        <v>#VALUE!</v>
      </c>
      <c r="C1012" s="118" t="s">
        <v>612</v>
      </c>
      <c r="D1012" s="113">
        <v>40352</v>
      </c>
      <c r="E1012" s="84">
        <v>40422</v>
      </c>
      <c r="F1012" s="84">
        <f t="shared" si="111"/>
        <v>44075</v>
      </c>
      <c r="G1012" s="229">
        <v>40</v>
      </c>
      <c r="H1012" s="71" t="s">
        <v>3558</v>
      </c>
      <c r="I1012" s="71" t="s">
        <v>691</v>
      </c>
      <c r="J1012" s="79"/>
      <c r="K1012" s="55">
        <f t="shared" si="112"/>
        <v>2020</v>
      </c>
      <c r="L1012" s="80"/>
      <c r="M1012" s="80"/>
      <c r="N1012" s="73" t="s">
        <v>3583</v>
      </c>
      <c r="O1012" s="73" t="s">
        <v>3584</v>
      </c>
      <c r="P1012" s="74"/>
      <c r="Q1012" s="75"/>
      <c r="R1012" s="230">
        <v>285</v>
      </c>
      <c r="S1012" s="230"/>
      <c r="T1012" s="230">
        <v>285</v>
      </c>
      <c r="U1012" s="231">
        <v>60</v>
      </c>
      <c r="V1012" s="230"/>
      <c r="W1012" s="230"/>
      <c r="X1012" s="231"/>
      <c r="Y1012" s="85"/>
      <c r="Z1012" s="101">
        <v>0.1</v>
      </c>
      <c r="AA1012" s="102">
        <v>0.09</v>
      </c>
      <c r="AB1012" s="77"/>
      <c r="AC1012" s="78"/>
    </row>
    <row r="1013" spans="1:29" x14ac:dyDescent="0.2">
      <c r="A1013" s="117" t="s">
        <v>3585</v>
      </c>
      <c r="B1013" s="118" t="e">
        <f t="shared" si="110"/>
        <v>#VALUE!</v>
      </c>
      <c r="C1013" s="118" t="s">
        <v>612</v>
      </c>
      <c r="D1013" s="113">
        <v>40352</v>
      </c>
      <c r="E1013" s="84">
        <v>40422</v>
      </c>
      <c r="F1013" s="84">
        <f t="shared" si="111"/>
        <v>44075</v>
      </c>
      <c r="G1013" s="229">
        <v>160</v>
      </c>
      <c r="H1013" s="71" t="s">
        <v>3558</v>
      </c>
      <c r="I1013" s="71" t="s">
        <v>691</v>
      </c>
      <c r="J1013" s="79"/>
      <c r="K1013" s="55">
        <f t="shared" si="112"/>
        <v>2020</v>
      </c>
      <c r="L1013" s="80"/>
      <c r="M1013" s="80"/>
      <c r="N1013" s="73" t="s">
        <v>3583</v>
      </c>
      <c r="O1013" s="73" t="s">
        <v>3586</v>
      </c>
      <c r="P1013" s="74"/>
      <c r="Q1013" s="75"/>
      <c r="R1013" s="230">
        <v>705</v>
      </c>
      <c r="S1013" s="230"/>
      <c r="T1013" s="230">
        <v>705</v>
      </c>
      <c r="U1013" s="231">
        <v>240</v>
      </c>
      <c r="V1013" s="230"/>
      <c r="W1013" s="230"/>
      <c r="X1013" s="231"/>
      <c r="Y1013" s="85"/>
      <c r="Z1013" s="101">
        <v>0.1</v>
      </c>
      <c r="AA1013" s="102">
        <v>0.09</v>
      </c>
      <c r="AB1013" s="77"/>
      <c r="AC1013" s="78"/>
    </row>
    <row r="1014" spans="1:29" x14ac:dyDescent="0.2">
      <c r="A1014" s="117" t="s">
        <v>3587</v>
      </c>
      <c r="B1014" s="118" t="e">
        <f t="shared" si="110"/>
        <v>#VALUE!</v>
      </c>
      <c r="C1014" s="118" t="s">
        <v>612</v>
      </c>
      <c r="D1014" s="113">
        <v>40352</v>
      </c>
      <c r="E1014" s="84">
        <v>40422</v>
      </c>
      <c r="F1014" s="84">
        <f t="shared" si="111"/>
        <v>44075</v>
      </c>
      <c r="G1014" s="229">
        <v>40</v>
      </c>
      <c r="H1014" s="71" t="s">
        <v>3558</v>
      </c>
      <c r="I1014" s="71" t="s">
        <v>691</v>
      </c>
      <c r="J1014" s="79"/>
      <c r="K1014" s="55">
        <f t="shared" si="112"/>
        <v>2020</v>
      </c>
      <c r="L1014" s="80"/>
      <c r="M1014" s="80"/>
      <c r="N1014" s="73" t="s">
        <v>3588</v>
      </c>
      <c r="O1014" s="73" t="s">
        <v>3589</v>
      </c>
      <c r="P1014" s="74"/>
      <c r="Q1014" s="75"/>
      <c r="R1014" s="230">
        <v>285</v>
      </c>
      <c r="S1014" s="230"/>
      <c r="T1014" s="230">
        <v>285</v>
      </c>
      <c r="U1014" s="231">
        <v>60</v>
      </c>
      <c r="V1014" s="230"/>
      <c r="W1014" s="230"/>
      <c r="X1014" s="231"/>
      <c r="Y1014" s="85"/>
      <c r="Z1014" s="101">
        <v>0.1</v>
      </c>
      <c r="AA1014" s="102">
        <v>0.09</v>
      </c>
      <c r="AB1014" s="77"/>
      <c r="AC1014" s="78"/>
    </row>
    <row r="1015" spans="1:29" x14ac:dyDescent="0.2">
      <c r="A1015" s="117" t="s">
        <v>3590</v>
      </c>
      <c r="B1015" s="118" t="e">
        <f t="shared" si="110"/>
        <v>#VALUE!</v>
      </c>
      <c r="C1015" s="118" t="s">
        <v>612</v>
      </c>
      <c r="D1015" s="113">
        <v>40352</v>
      </c>
      <c r="E1015" s="84">
        <v>40422</v>
      </c>
      <c r="F1015" s="84">
        <f t="shared" si="111"/>
        <v>44075</v>
      </c>
      <c r="G1015" s="229">
        <v>80</v>
      </c>
      <c r="H1015" s="71" t="s">
        <v>3591</v>
      </c>
      <c r="I1015" s="71" t="s">
        <v>691</v>
      </c>
      <c r="J1015" s="79"/>
      <c r="K1015" s="55">
        <f t="shared" si="112"/>
        <v>2020</v>
      </c>
      <c r="L1015" s="80"/>
      <c r="M1015" s="80"/>
      <c r="N1015" s="73" t="s">
        <v>3592</v>
      </c>
      <c r="O1015" s="73" t="s">
        <v>3593</v>
      </c>
      <c r="P1015" s="74"/>
      <c r="Q1015" s="75"/>
      <c r="R1015" s="230">
        <v>425</v>
      </c>
      <c r="S1015" s="230"/>
      <c r="T1015" s="230">
        <v>425</v>
      </c>
      <c r="U1015" s="231">
        <v>120</v>
      </c>
      <c r="V1015" s="230"/>
      <c r="W1015" s="230"/>
      <c r="X1015" s="231"/>
      <c r="Y1015" s="85"/>
      <c r="Z1015" s="101">
        <v>0.1</v>
      </c>
      <c r="AA1015" s="102">
        <v>0.09</v>
      </c>
      <c r="AB1015" s="77"/>
      <c r="AC1015" s="78"/>
    </row>
    <row r="1016" spans="1:29" x14ac:dyDescent="0.2">
      <c r="A1016" s="117" t="s">
        <v>3594</v>
      </c>
      <c r="B1016" s="118" t="e">
        <f t="shared" si="110"/>
        <v>#VALUE!</v>
      </c>
      <c r="C1016" s="118" t="s">
        <v>612</v>
      </c>
      <c r="D1016" s="113">
        <v>40352</v>
      </c>
      <c r="E1016" s="84">
        <v>40422</v>
      </c>
      <c r="F1016" s="84">
        <f t="shared" si="111"/>
        <v>44075</v>
      </c>
      <c r="G1016" s="229">
        <v>80</v>
      </c>
      <c r="H1016" s="71" t="s">
        <v>3558</v>
      </c>
      <c r="I1016" s="71" t="s">
        <v>691</v>
      </c>
      <c r="J1016" s="79"/>
      <c r="K1016" s="55">
        <f t="shared" si="112"/>
        <v>2020</v>
      </c>
      <c r="L1016" s="80"/>
      <c r="M1016" s="80"/>
      <c r="N1016" s="73" t="s">
        <v>3572</v>
      </c>
      <c r="O1016" s="73" t="s">
        <v>3595</v>
      </c>
      <c r="P1016" s="74"/>
      <c r="Q1016" s="75"/>
      <c r="R1016" s="257">
        <v>425</v>
      </c>
      <c r="S1016" s="257"/>
      <c r="T1016" s="257">
        <v>425</v>
      </c>
      <c r="U1016" s="231">
        <v>120</v>
      </c>
      <c r="V1016" s="230"/>
      <c r="W1016" s="230"/>
      <c r="X1016" s="231"/>
      <c r="Y1016" s="85"/>
      <c r="Z1016" s="101">
        <v>0.1</v>
      </c>
      <c r="AA1016" s="102">
        <v>0.09</v>
      </c>
      <c r="AB1016" s="77"/>
      <c r="AC1016" s="78"/>
    </row>
    <row r="1017" spans="1:29" ht="15" hidden="1" customHeight="1" thickBot="1" x14ac:dyDescent="0.25">
      <c r="A1017" s="117"/>
      <c r="D1017" s="113"/>
      <c r="E1017" s="78"/>
      <c r="F1017" s="84"/>
      <c r="G1017" s="229"/>
      <c r="H1017" s="71"/>
      <c r="I1017" s="71"/>
      <c r="J1017" s="79"/>
      <c r="K1017" s="79"/>
      <c r="L1017" s="80"/>
      <c r="M1017" s="80"/>
      <c r="N1017" s="73"/>
      <c r="O1017" s="73"/>
      <c r="P1017" s="74"/>
      <c r="Q1017" s="75"/>
      <c r="R1017" s="255">
        <v>37083</v>
      </c>
      <c r="S1017" s="255">
        <v>0</v>
      </c>
      <c r="T1017" s="255">
        <v>37083</v>
      </c>
      <c r="U1017" s="231"/>
      <c r="V1017" s="230"/>
      <c r="W1017" s="230"/>
      <c r="X1017" s="231"/>
      <c r="Y1017" s="85"/>
      <c r="Z1017" s="101"/>
      <c r="AA1017" s="102"/>
      <c r="AB1017" s="77"/>
      <c r="AC1017" s="78"/>
    </row>
    <row r="1018" spans="1:29" hidden="1" x14ac:dyDescent="0.2">
      <c r="A1018" s="117"/>
      <c r="D1018" s="113"/>
      <c r="E1018" s="78"/>
      <c r="F1018" s="84"/>
      <c r="G1018" s="229"/>
      <c r="H1018" s="71"/>
      <c r="I1018" s="71"/>
      <c r="J1018" s="79"/>
      <c r="K1018" s="79"/>
      <c r="L1018" s="80"/>
      <c r="M1018" s="80"/>
      <c r="N1018" s="73"/>
      <c r="O1018" s="73"/>
      <c r="P1018" s="74"/>
      <c r="Q1018" s="75"/>
      <c r="R1018" s="230"/>
      <c r="S1018" s="230"/>
      <c r="T1018" s="230"/>
      <c r="U1018" s="231"/>
      <c r="V1018" s="230"/>
      <c r="W1018" s="230"/>
      <c r="X1018" s="231"/>
      <c r="Y1018" s="85"/>
      <c r="Z1018" s="101"/>
      <c r="AA1018" s="102"/>
      <c r="AB1018" s="77"/>
      <c r="AC1018" s="78"/>
    </row>
    <row r="1019" spans="1:29" x14ac:dyDescent="0.2">
      <c r="A1019" s="117" t="s">
        <v>3596</v>
      </c>
      <c r="B1019" s="118" t="e">
        <f t="shared" ref="B1019:B1050" si="113">IF(COUNTIF(GIS,A1019),"YES","NO")</f>
        <v>#VALUE!</v>
      </c>
      <c r="C1019" s="118" t="s">
        <v>612</v>
      </c>
      <c r="D1019" s="113">
        <v>40380</v>
      </c>
      <c r="E1019" s="84">
        <v>40452</v>
      </c>
      <c r="F1019" s="84">
        <f t="shared" ref="F1019:F1050" si="114">DATE(YEAR(E1019)+10,MONTH(E1019),DAY(E1019))</f>
        <v>44105</v>
      </c>
      <c r="G1019" s="229">
        <v>160</v>
      </c>
      <c r="H1019" s="71" t="s">
        <v>1534</v>
      </c>
      <c r="I1019" s="71" t="s">
        <v>1147</v>
      </c>
      <c r="J1019" s="79"/>
      <c r="K1019" s="55">
        <f t="shared" ref="K1019:K1050" si="115">YEAR(F1019)</f>
        <v>2020</v>
      </c>
      <c r="L1019" s="80"/>
      <c r="M1019" s="80"/>
      <c r="N1019" s="73" t="s">
        <v>3597</v>
      </c>
      <c r="O1019" s="73" t="s">
        <v>3598</v>
      </c>
      <c r="P1019" s="74"/>
      <c r="Q1019" s="75" t="s">
        <v>3599</v>
      </c>
      <c r="R1019" s="230">
        <v>705</v>
      </c>
      <c r="S1019" s="230">
        <v>1280</v>
      </c>
      <c r="T1019" s="230">
        <v>1985</v>
      </c>
      <c r="U1019" s="231">
        <v>240</v>
      </c>
      <c r="V1019" s="230"/>
      <c r="W1019" s="230"/>
      <c r="X1019" s="231"/>
      <c r="Y1019" s="85"/>
      <c r="Z1019" s="101">
        <v>0.1</v>
      </c>
      <c r="AA1019" s="102">
        <v>0.09</v>
      </c>
      <c r="AB1019" s="77"/>
      <c r="AC1019" s="78"/>
    </row>
    <row r="1020" spans="1:29" x14ac:dyDescent="0.2">
      <c r="A1020" s="117" t="s">
        <v>3600</v>
      </c>
      <c r="B1020" s="118" t="e">
        <f t="shared" si="113"/>
        <v>#VALUE!</v>
      </c>
      <c r="C1020" s="118" t="s">
        <v>612</v>
      </c>
      <c r="D1020" s="113">
        <v>40380</v>
      </c>
      <c r="E1020" s="84">
        <v>40452</v>
      </c>
      <c r="F1020" s="84">
        <f t="shared" si="114"/>
        <v>44105</v>
      </c>
      <c r="G1020" s="229">
        <v>320</v>
      </c>
      <c r="H1020" s="71" t="s">
        <v>1534</v>
      </c>
      <c r="I1020" s="71" t="s">
        <v>1147</v>
      </c>
      <c r="J1020" s="79"/>
      <c r="K1020" s="55">
        <f t="shared" si="115"/>
        <v>2020</v>
      </c>
      <c r="L1020" s="80"/>
      <c r="M1020" s="80"/>
      <c r="N1020" s="73" t="s">
        <v>3597</v>
      </c>
      <c r="O1020" s="73" t="s">
        <v>3601</v>
      </c>
      <c r="P1020" s="74"/>
      <c r="Q1020" s="75" t="s">
        <v>3602</v>
      </c>
      <c r="R1020" s="230">
        <v>1265</v>
      </c>
      <c r="S1020" s="230">
        <v>2560</v>
      </c>
      <c r="T1020" s="230">
        <v>3825</v>
      </c>
      <c r="U1020" s="231">
        <v>480</v>
      </c>
      <c r="V1020" s="230"/>
      <c r="W1020" s="230"/>
      <c r="X1020" s="231"/>
      <c r="Y1020" s="85"/>
      <c r="Z1020" s="101">
        <v>0.1</v>
      </c>
      <c r="AA1020" s="102">
        <v>0.09</v>
      </c>
      <c r="AB1020" s="77"/>
      <c r="AC1020" s="78"/>
    </row>
    <row r="1021" spans="1:29" x14ac:dyDescent="0.2">
      <c r="A1021" s="117" t="s">
        <v>3603</v>
      </c>
      <c r="B1021" s="118" t="e">
        <f t="shared" si="113"/>
        <v>#VALUE!</v>
      </c>
      <c r="C1021" s="118" t="s">
        <v>612</v>
      </c>
      <c r="D1021" s="113">
        <v>40380</v>
      </c>
      <c r="E1021" s="84">
        <v>40452</v>
      </c>
      <c r="F1021" s="84">
        <f t="shared" si="114"/>
        <v>44105</v>
      </c>
      <c r="G1021" s="229">
        <v>41.04</v>
      </c>
      <c r="H1021" s="71" t="s">
        <v>2692</v>
      </c>
      <c r="I1021" s="71" t="s">
        <v>1147</v>
      </c>
      <c r="J1021" s="79"/>
      <c r="K1021" s="55">
        <f t="shared" si="115"/>
        <v>2020</v>
      </c>
      <c r="L1021" s="80"/>
      <c r="M1021" s="80"/>
      <c r="N1021" s="73" t="s">
        <v>3604</v>
      </c>
      <c r="O1021" s="73" t="s">
        <v>3605</v>
      </c>
      <c r="P1021" s="74"/>
      <c r="Q1021" s="75" t="s">
        <v>3602</v>
      </c>
      <c r="R1021" s="230">
        <v>292</v>
      </c>
      <c r="S1021" s="230">
        <v>756</v>
      </c>
      <c r="T1021" s="230">
        <v>1048</v>
      </c>
      <c r="U1021" s="231">
        <v>63</v>
      </c>
      <c r="V1021" s="230"/>
      <c r="W1021" s="230"/>
      <c r="X1021" s="231"/>
      <c r="Y1021" s="85"/>
      <c r="Z1021" s="101">
        <v>0.1</v>
      </c>
      <c r="AA1021" s="102">
        <v>0.09</v>
      </c>
      <c r="AB1021" s="77"/>
      <c r="AC1021" s="78"/>
    </row>
    <row r="1022" spans="1:29" x14ac:dyDescent="0.2">
      <c r="A1022" s="117" t="s">
        <v>3606</v>
      </c>
      <c r="B1022" s="118" t="e">
        <f t="shared" si="113"/>
        <v>#VALUE!</v>
      </c>
      <c r="C1022" s="118" t="s">
        <v>612</v>
      </c>
      <c r="D1022" s="113">
        <v>40380</v>
      </c>
      <c r="E1022" s="84">
        <v>40452</v>
      </c>
      <c r="F1022" s="84">
        <f t="shared" si="114"/>
        <v>44105</v>
      </c>
      <c r="G1022" s="229">
        <v>40</v>
      </c>
      <c r="H1022" s="71" t="s">
        <v>2692</v>
      </c>
      <c r="I1022" s="71" t="s">
        <v>1147</v>
      </c>
      <c r="J1022" s="79"/>
      <c r="K1022" s="55">
        <f t="shared" si="115"/>
        <v>2020</v>
      </c>
      <c r="L1022" s="80"/>
      <c r="M1022" s="80"/>
      <c r="N1022" s="73" t="s">
        <v>3607</v>
      </c>
      <c r="O1022" s="73" t="s">
        <v>3608</v>
      </c>
      <c r="P1022" s="74"/>
      <c r="Q1022" s="75" t="s">
        <v>3609</v>
      </c>
      <c r="R1022" s="230">
        <v>285</v>
      </c>
      <c r="S1022" s="230">
        <v>480</v>
      </c>
      <c r="T1022" s="230">
        <v>765</v>
      </c>
      <c r="U1022" s="231">
        <v>60</v>
      </c>
      <c r="V1022" s="230"/>
      <c r="W1022" s="230"/>
      <c r="X1022" s="231"/>
      <c r="Y1022" s="85"/>
      <c r="Z1022" s="101">
        <v>0.1</v>
      </c>
      <c r="AA1022" s="102">
        <v>0.09</v>
      </c>
      <c r="AB1022" s="77"/>
      <c r="AC1022" s="78"/>
    </row>
    <row r="1023" spans="1:29" x14ac:dyDescent="0.2">
      <c r="A1023" s="117" t="s">
        <v>3610</v>
      </c>
      <c r="B1023" s="118" t="e">
        <f t="shared" si="113"/>
        <v>#VALUE!</v>
      </c>
      <c r="C1023" s="118" t="s">
        <v>612</v>
      </c>
      <c r="D1023" s="113">
        <v>40380</v>
      </c>
      <c r="E1023" s="84">
        <v>40452</v>
      </c>
      <c r="F1023" s="84">
        <f t="shared" si="114"/>
        <v>44105</v>
      </c>
      <c r="G1023" s="229">
        <v>40</v>
      </c>
      <c r="H1023" s="71" t="s">
        <v>2692</v>
      </c>
      <c r="I1023" s="71" t="s">
        <v>1147</v>
      </c>
      <c r="J1023" s="79"/>
      <c r="K1023" s="55">
        <f t="shared" si="115"/>
        <v>2020</v>
      </c>
      <c r="L1023" s="80"/>
      <c r="M1023" s="80"/>
      <c r="N1023" s="73" t="s">
        <v>3607</v>
      </c>
      <c r="O1023" s="73" t="s">
        <v>3611</v>
      </c>
      <c r="P1023" s="74"/>
      <c r="Q1023" s="75" t="s">
        <v>3612</v>
      </c>
      <c r="R1023" s="230">
        <v>285</v>
      </c>
      <c r="S1023" s="230">
        <v>720</v>
      </c>
      <c r="T1023" s="230">
        <v>1005</v>
      </c>
      <c r="U1023" s="231">
        <v>60</v>
      </c>
      <c r="V1023" s="230"/>
      <c r="W1023" s="230"/>
      <c r="X1023" s="231"/>
      <c r="Y1023" s="85"/>
      <c r="Z1023" s="101">
        <v>0.1</v>
      </c>
      <c r="AA1023" s="102">
        <v>0.09</v>
      </c>
      <c r="AB1023" s="77"/>
      <c r="AC1023" s="78"/>
    </row>
    <row r="1024" spans="1:29" x14ac:dyDescent="0.2">
      <c r="A1024" s="117" t="s">
        <v>3613</v>
      </c>
      <c r="B1024" s="118" t="e">
        <f t="shared" si="113"/>
        <v>#VALUE!</v>
      </c>
      <c r="C1024" s="118" t="s">
        <v>612</v>
      </c>
      <c r="D1024" s="113">
        <v>40380</v>
      </c>
      <c r="E1024" s="84">
        <v>40452</v>
      </c>
      <c r="F1024" s="84">
        <f t="shared" si="114"/>
        <v>44105</v>
      </c>
      <c r="G1024" s="229">
        <v>40</v>
      </c>
      <c r="H1024" s="71" t="s">
        <v>2692</v>
      </c>
      <c r="I1024" s="71" t="s">
        <v>1147</v>
      </c>
      <c r="J1024" s="79"/>
      <c r="K1024" s="55">
        <f t="shared" si="115"/>
        <v>2020</v>
      </c>
      <c r="L1024" s="80"/>
      <c r="M1024" s="80"/>
      <c r="N1024" s="73" t="s">
        <v>3607</v>
      </c>
      <c r="O1024" s="73" t="s">
        <v>3614</v>
      </c>
      <c r="P1024" s="74"/>
      <c r="Q1024" s="75" t="s">
        <v>3615</v>
      </c>
      <c r="R1024" s="230">
        <v>285</v>
      </c>
      <c r="S1024" s="230">
        <v>720</v>
      </c>
      <c r="T1024" s="230">
        <v>1005</v>
      </c>
      <c r="U1024" s="231">
        <v>60</v>
      </c>
      <c r="V1024" s="230"/>
      <c r="W1024" s="230"/>
      <c r="X1024" s="231"/>
      <c r="Y1024" s="85"/>
      <c r="Z1024" s="101">
        <v>0.1</v>
      </c>
      <c r="AA1024" s="102">
        <v>0.09</v>
      </c>
      <c r="AB1024" s="77"/>
      <c r="AC1024" s="78"/>
    </row>
    <row r="1025" spans="1:29" x14ac:dyDescent="0.2">
      <c r="A1025" s="117" t="s">
        <v>3616</v>
      </c>
      <c r="B1025" s="118" t="e">
        <f t="shared" si="113"/>
        <v>#VALUE!</v>
      </c>
      <c r="C1025" s="118" t="s">
        <v>612</v>
      </c>
      <c r="D1025" s="113">
        <v>40380</v>
      </c>
      <c r="E1025" s="84">
        <v>40452</v>
      </c>
      <c r="F1025" s="84">
        <f t="shared" si="114"/>
        <v>44105</v>
      </c>
      <c r="G1025" s="229">
        <v>440</v>
      </c>
      <c r="H1025" s="71" t="s">
        <v>2692</v>
      </c>
      <c r="I1025" s="71" t="s">
        <v>1147</v>
      </c>
      <c r="J1025" s="79"/>
      <c r="K1025" s="55">
        <f t="shared" si="115"/>
        <v>2020</v>
      </c>
      <c r="L1025" s="80"/>
      <c r="M1025" s="80"/>
      <c r="N1025" s="73" t="s">
        <v>3607</v>
      </c>
      <c r="O1025" s="73" t="s">
        <v>3617</v>
      </c>
      <c r="P1025" s="74"/>
      <c r="Q1025" s="75" t="s">
        <v>3618</v>
      </c>
      <c r="R1025" s="230">
        <v>1685</v>
      </c>
      <c r="S1025" s="230">
        <v>4400</v>
      </c>
      <c r="T1025" s="230">
        <v>6085</v>
      </c>
      <c r="U1025" s="231">
        <v>660</v>
      </c>
      <c r="V1025" s="230"/>
      <c r="W1025" s="230"/>
      <c r="X1025" s="231"/>
      <c r="Y1025" s="85"/>
      <c r="Z1025" s="101">
        <v>0.1</v>
      </c>
      <c r="AA1025" s="102">
        <v>0.09</v>
      </c>
      <c r="AB1025" s="77"/>
      <c r="AC1025" s="78"/>
    </row>
    <row r="1026" spans="1:29" x14ac:dyDescent="0.2">
      <c r="A1026" s="117" t="s">
        <v>3619</v>
      </c>
      <c r="B1026" s="118" t="e">
        <f t="shared" si="113"/>
        <v>#VALUE!</v>
      </c>
      <c r="C1026" s="118" t="s">
        <v>612</v>
      </c>
      <c r="D1026" s="113">
        <v>40380</v>
      </c>
      <c r="E1026" s="84">
        <v>40452</v>
      </c>
      <c r="F1026" s="84">
        <f t="shared" si="114"/>
        <v>44105</v>
      </c>
      <c r="G1026" s="229">
        <v>40</v>
      </c>
      <c r="H1026" s="71" t="s">
        <v>2692</v>
      </c>
      <c r="I1026" s="71" t="s">
        <v>1147</v>
      </c>
      <c r="J1026" s="79"/>
      <c r="K1026" s="55">
        <f t="shared" si="115"/>
        <v>2020</v>
      </c>
      <c r="L1026" s="80"/>
      <c r="M1026" s="80"/>
      <c r="N1026" s="73" t="s">
        <v>3607</v>
      </c>
      <c r="O1026" s="73" t="s">
        <v>3620</v>
      </c>
      <c r="P1026" s="74"/>
      <c r="Q1026" s="75" t="s">
        <v>3621</v>
      </c>
      <c r="R1026" s="230">
        <v>285</v>
      </c>
      <c r="S1026" s="230">
        <v>1120</v>
      </c>
      <c r="T1026" s="230">
        <v>1405</v>
      </c>
      <c r="U1026" s="231">
        <v>60</v>
      </c>
      <c r="V1026" s="230"/>
      <c r="W1026" s="230"/>
      <c r="X1026" s="231"/>
      <c r="Y1026" s="85"/>
      <c r="Z1026" s="101">
        <v>0.1</v>
      </c>
      <c r="AA1026" s="102">
        <v>0.09</v>
      </c>
      <c r="AB1026" s="77"/>
      <c r="AC1026" s="78"/>
    </row>
    <row r="1027" spans="1:29" x14ac:dyDescent="0.2">
      <c r="A1027" s="117" t="s">
        <v>3622</v>
      </c>
      <c r="B1027" s="118" t="e">
        <f t="shared" si="113"/>
        <v>#VALUE!</v>
      </c>
      <c r="C1027" s="118" t="s">
        <v>612</v>
      </c>
      <c r="D1027" s="113">
        <v>40380</v>
      </c>
      <c r="E1027" s="84">
        <v>40452</v>
      </c>
      <c r="F1027" s="84">
        <f t="shared" si="114"/>
        <v>44105</v>
      </c>
      <c r="G1027" s="229">
        <v>240</v>
      </c>
      <c r="H1027" s="71" t="s">
        <v>2692</v>
      </c>
      <c r="I1027" s="71" t="s">
        <v>1147</v>
      </c>
      <c r="J1027" s="79"/>
      <c r="K1027" s="55">
        <f t="shared" si="115"/>
        <v>2020</v>
      </c>
      <c r="L1027" s="80"/>
      <c r="M1027" s="80"/>
      <c r="N1027" s="73" t="s">
        <v>3623</v>
      </c>
      <c r="O1027" s="73" t="s">
        <v>3624</v>
      </c>
      <c r="P1027" s="74"/>
      <c r="Q1027" s="75" t="s">
        <v>3625</v>
      </c>
      <c r="R1027" s="230">
        <v>985</v>
      </c>
      <c r="S1027" s="230">
        <v>2400</v>
      </c>
      <c r="T1027" s="230">
        <v>3385</v>
      </c>
      <c r="U1027" s="231">
        <v>360</v>
      </c>
      <c r="V1027" s="230"/>
      <c r="W1027" s="230"/>
      <c r="X1027" s="231"/>
      <c r="Y1027" s="85"/>
      <c r="Z1027" s="101">
        <v>0.1</v>
      </c>
      <c r="AA1027" s="102">
        <v>0.09</v>
      </c>
      <c r="AB1027" s="77"/>
      <c r="AC1027" s="78"/>
    </row>
    <row r="1028" spans="1:29" x14ac:dyDescent="0.2">
      <c r="A1028" s="117" t="s">
        <v>3626</v>
      </c>
      <c r="B1028" s="118" t="e">
        <f t="shared" si="113"/>
        <v>#VALUE!</v>
      </c>
      <c r="C1028" s="118" t="s">
        <v>612</v>
      </c>
      <c r="D1028" s="113">
        <v>40380</v>
      </c>
      <c r="E1028" s="84">
        <v>40452</v>
      </c>
      <c r="F1028" s="84">
        <f t="shared" si="114"/>
        <v>44105</v>
      </c>
      <c r="G1028" s="229">
        <v>120</v>
      </c>
      <c r="H1028" s="71" t="s">
        <v>2692</v>
      </c>
      <c r="I1028" s="71" t="s">
        <v>1147</v>
      </c>
      <c r="J1028" s="79"/>
      <c r="K1028" s="55">
        <f t="shared" si="115"/>
        <v>2020</v>
      </c>
      <c r="L1028" s="80"/>
      <c r="M1028" s="80"/>
      <c r="N1028" s="73" t="s">
        <v>3623</v>
      </c>
      <c r="O1028" s="73" t="s">
        <v>3627</v>
      </c>
      <c r="P1028" s="74"/>
      <c r="Q1028" s="75" t="s">
        <v>3628</v>
      </c>
      <c r="R1028" s="230">
        <v>565</v>
      </c>
      <c r="S1028" s="230">
        <v>3360</v>
      </c>
      <c r="T1028" s="230">
        <v>3925</v>
      </c>
      <c r="U1028" s="231">
        <v>180</v>
      </c>
      <c r="V1028" s="230"/>
      <c r="W1028" s="230"/>
      <c r="X1028" s="231"/>
      <c r="Y1028" s="85"/>
      <c r="Z1028" s="101">
        <v>0.1</v>
      </c>
      <c r="AA1028" s="102">
        <v>0.09</v>
      </c>
      <c r="AB1028" s="77"/>
      <c r="AC1028" s="78"/>
    </row>
    <row r="1029" spans="1:29" x14ac:dyDescent="0.2">
      <c r="A1029" s="117" t="s">
        <v>3629</v>
      </c>
      <c r="B1029" s="118" t="e">
        <f t="shared" si="113"/>
        <v>#VALUE!</v>
      </c>
      <c r="C1029" s="118" t="s">
        <v>612</v>
      </c>
      <c r="D1029" s="113">
        <v>40380</v>
      </c>
      <c r="E1029" s="84">
        <v>40452</v>
      </c>
      <c r="F1029" s="84">
        <f t="shared" si="114"/>
        <v>44105</v>
      </c>
      <c r="G1029" s="229">
        <v>40</v>
      </c>
      <c r="H1029" s="71" t="s">
        <v>2692</v>
      </c>
      <c r="I1029" s="71" t="s">
        <v>1147</v>
      </c>
      <c r="J1029" s="79"/>
      <c r="K1029" s="55">
        <f t="shared" si="115"/>
        <v>2020</v>
      </c>
      <c r="L1029" s="80"/>
      <c r="M1029" s="80"/>
      <c r="N1029" s="73" t="s">
        <v>3630</v>
      </c>
      <c r="O1029" s="73" t="s">
        <v>3631</v>
      </c>
      <c r="P1029" s="74"/>
      <c r="Q1029" s="75" t="s">
        <v>3632</v>
      </c>
      <c r="R1029" s="230">
        <v>285</v>
      </c>
      <c r="S1029" s="230">
        <v>640</v>
      </c>
      <c r="T1029" s="230">
        <v>925</v>
      </c>
      <c r="U1029" s="231">
        <v>60</v>
      </c>
      <c r="V1029" s="230"/>
      <c r="W1029" s="230"/>
      <c r="X1029" s="231"/>
      <c r="Y1029" s="85"/>
      <c r="Z1029" s="101">
        <v>0.1</v>
      </c>
      <c r="AA1029" s="102">
        <v>0.09</v>
      </c>
      <c r="AB1029" s="77"/>
      <c r="AC1029" s="78"/>
    </row>
    <row r="1030" spans="1:29" x14ac:dyDescent="0.2">
      <c r="A1030" s="117" t="s">
        <v>3633</v>
      </c>
      <c r="B1030" s="118" t="e">
        <f t="shared" si="113"/>
        <v>#VALUE!</v>
      </c>
      <c r="C1030" s="118" t="s">
        <v>612</v>
      </c>
      <c r="D1030" s="113">
        <v>40380</v>
      </c>
      <c r="E1030" s="84">
        <v>40452</v>
      </c>
      <c r="F1030" s="84">
        <f t="shared" si="114"/>
        <v>44105</v>
      </c>
      <c r="G1030" s="229">
        <v>40</v>
      </c>
      <c r="H1030" s="71" t="s">
        <v>2692</v>
      </c>
      <c r="I1030" s="71" t="s">
        <v>1147</v>
      </c>
      <c r="J1030" s="79"/>
      <c r="K1030" s="55">
        <f t="shared" si="115"/>
        <v>2020</v>
      </c>
      <c r="L1030" s="80"/>
      <c r="M1030" s="80"/>
      <c r="N1030" s="73" t="s">
        <v>3630</v>
      </c>
      <c r="O1030" s="73" t="s">
        <v>3634</v>
      </c>
      <c r="P1030" s="74"/>
      <c r="Q1030" s="75" t="s">
        <v>3635</v>
      </c>
      <c r="R1030" s="230">
        <v>285</v>
      </c>
      <c r="S1030" s="230">
        <v>720</v>
      </c>
      <c r="T1030" s="230">
        <v>1005</v>
      </c>
      <c r="U1030" s="231">
        <v>60</v>
      </c>
      <c r="V1030" s="230"/>
      <c r="W1030" s="230"/>
      <c r="X1030" s="231"/>
      <c r="Y1030" s="85"/>
      <c r="Z1030" s="101">
        <v>0.1</v>
      </c>
      <c r="AA1030" s="102">
        <v>0.09</v>
      </c>
      <c r="AB1030" s="77"/>
      <c r="AC1030" s="78"/>
    </row>
    <row r="1031" spans="1:29" x14ac:dyDescent="0.2">
      <c r="A1031" s="117" t="s">
        <v>3636</v>
      </c>
      <c r="B1031" s="118" t="e">
        <f t="shared" si="113"/>
        <v>#VALUE!</v>
      </c>
      <c r="C1031" s="118" t="s">
        <v>612</v>
      </c>
      <c r="D1031" s="113">
        <v>40380</v>
      </c>
      <c r="E1031" s="84">
        <v>40452</v>
      </c>
      <c r="F1031" s="84">
        <f t="shared" si="114"/>
        <v>44105</v>
      </c>
      <c r="G1031" s="229">
        <v>40</v>
      </c>
      <c r="H1031" s="71" t="s">
        <v>2692</v>
      </c>
      <c r="I1031" s="71" t="s">
        <v>1147</v>
      </c>
      <c r="J1031" s="79"/>
      <c r="K1031" s="55">
        <f t="shared" si="115"/>
        <v>2020</v>
      </c>
      <c r="L1031" s="80"/>
      <c r="M1031" s="80"/>
      <c r="N1031" s="73" t="s">
        <v>3630</v>
      </c>
      <c r="O1031" s="73" t="s">
        <v>3637</v>
      </c>
      <c r="P1031" s="74"/>
      <c r="Q1031" s="75">
        <v>201007</v>
      </c>
      <c r="R1031" s="230">
        <v>285</v>
      </c>
      <c r="S1031" s="230">
        <v>800</v>
      </c>
      <c r="T1031" s="230">
        <v>1085</v>
      </c>
      <c r="U1031" s="231">
        <v>60</v>
      </c>
      <c r="V1031" s="230"/>
      <c r="W1031" s="230"/>
      <c r="X1031" s="231"/>
      <c r="Y1031" s="85"/>
      <c r="Z1031" s="101">
        <v>0.1</v>
      </c>
      <c r="AA1031" s="102">
        <v>0.09</v>
      </c>
      <c r="AB1031" s="77"/>
      <c r="AC1031" s="78"/>
    </row>
    <row r="1032" spans="1:29" ht="27" customHeight="1" x14ac:dyDescent="0.2">
      <c r="A1032" s="117" t="s">
        <v>3638</v>
      </c>
      <c r="B1032" s="118" t="e">
        <f t="shared" si="113"/>
        <v>#VALUE!</v>
      </c>
      <c r="C1032" s="118" t="s">
        <v>612</v>
      </c>
      <c r="D1032" s="113">
        <v>40380</v>
      </c>
      <c r="E1032" s="84">
        <v>40452</v>
      </c>
      <c r="F1032" s="84">
        <f t="shared" si="114"/>
        <v>44105</v>
      </c>
      <c r="G1032" s="229">
        <v>520</v>
      </c>
      <c r="H1032" s="71" t="s">
        <v>2692</v>
      </c>
      <c r="I1032" s="71" t="s">
        <v>1147</v>
      </c>
      <c r="J1032" s="79"/>
      <c r="K1032" s="55">
        <f t="shared" si="115"/>
        <v>2020</v>
      </c>
      <c r="L1032" s="80"/>
      <c r="M1032" s="80"/>
      <c r="N1032" s="73" t="s">
        <v>3630</v>
      </c>
      <c r="O1032" s="73" t="s">
        <v>3639</v>
      </c>
      <c r="P1032" s="74" t="s">
        <v>3640</v>
      </c>
      <c r="Q1032" s="75">
        <v>201007</v>
      </c>
      <c r="R1032" s="230">
        <v>1965</v>
      </c>
      <c r="S1032" s="230">
        <v>10400</v>
      </c>
      <c r="T1032" s="230">
        <v>12365</v>
      </c>
      <c r="U1032" s="231">
        <v>780</v>
      </c>
      <c r="V1032" s="230"/>
      <c r="W1032" s="230"/>
      <c r="X1032" s="231"/>
      <c r="Y1032" s="85"/>
      <c r="Z1032" s="101">
        <v>0.1</v>
      </c>
      <c r="AA1032" s="102">
        <v>0.09</v>
      </c>
      <c r="AB1032" s="77"/>
      <c r="AC1032" s="78"/>
    </row>
    <row r="1033" spans="1:29" x14ac:dyDescent="0.2">
      <c r="A1033" s="117" t="s">
        <v>3641</v>
      </c>
      <c r="B1033" s="118" t="e">
        <f t="shared" si="113"/>
        <v>#VALUE!</v>
      </c>
      <c r="C1033" s="118" t="s">
        <v>612</v>
      </c>
      <c r="D1033" s="113">
        <v>40380</v>
      </c>
      <c r="E1033" s="84">
        <v>40452</v>
      </c>
      <c r="F1033" s="84">
        <f t="shared" si="114"/>
        <v>44105</v>
      </c>
      <c r="G1033" s="229">
        <v>400</v>
      </c>
      <c r="H1033" s="71" t="s">
        <v>2692</v>
      </c>
      <c r="I1033" s="71" t="s">
        <v>1147</v>
      </c>
      <c r="J1033" s="79"/>
      <c r="K1033" s="55">
        <f t="shared" si="115"/>
        <v>2020</v>
      </c>
      <c r="L1033" s="80"/>
      <c r="M1033" s="80"/>
      <c r="N1033" s="73" t="s">
        <v>3630</v>
      </c>
      <c r="O1033" s="73" t="s">
        <v>3642</v>
      </c>
      <c r="P1033" s="74"/>
      <c r="Q1033" s="75">
        <v>201007</v>
      </c>
      <c r="R1033" s="230">
        <v>1545</v>
      </c>
      <c r="S1033" s="230">
        <v>2400</v>
      </c>
      <c r="T1033" s="230">
        <v>3945</v>
      </c>
      <c r="U1033" s="231">
        <v>600</v>
      </c>
      <c r="V1033" s="230"/>
      <c r="W1033" s="230"/>
      <c r="X1033" s="231"/>
      <c r="Y1033" s="85"/>
      <c r="Z1033" s="101">
        <v>0.1</v>
      </c>
      <c r="AA1033" s="102">
        <v>0.09</v>
      </c>
      <c r="AB1033" s="77"/>
      <c r="AC1033" s="78"/>
    </row>
    <row r="1034" spans="1:29" x14ac:dyDescent="0.2">
      <c r="A1034" s="117" t="s">
        <v>3643</v>
      </c>
      <c r="B1034" s="118" t="e">
        <f t="shared" si="113"/>
        <v>#VALUE!</v>
      </c>
      <c r="C1034" s="118" t="s">
        <v>612</v>
      </c>
      <c r="D1034" s="113">
        <v>40380</v>
      </c>
      <c r="E1034" s="84">
        <v>40452</v>
      </c>
      <c r="F1034" s="84">
        <f t="shared" si="114"/>
        <v>44105</v>
      </c>
      <c r="G1034" s="229">
        <v>40</v>
      </c>
      <c r="H1034" s="71" t="s">
        <v>2692</v>
      </c>
      <c r="I1034" s="71" t="s">
        <v>1147</v>
      </c>
      <c r="J1034" s="79"/>
      <c r="K1034" s="55">
        <f t="shared" si="115"/>
        <v>2020</v>
      </c>
      <c r="L1034" s="80"/>
      <c r="M1034" s="80"/>
      <c r="N1034" s="73" t="s">
        <v>3630</v>
      </c>
      <c r="O1034" s="73" t="s">
        <v>3644</v>
      </c>
      <c r="P1034" s="74"/>
      <c r="Q1034" s="75">
        <v>201007</v>
      </c>
      <c r="R1034" s="230">
        <v>285</v>
      </c>
      <c r="S1034" s="230">
        <v>0</v>
      </c>
      <c r="T1034" s="230">
        <v>285</v>
      </c>
      <c r="U1034" s="231">
        <v>60</v>
      </c>
      <c r="V1034" s="230"/>
      <c r="W1034" s="230"/>
      <c r="X1034" s="231"/>
      <c r="Y1034" s="85"/>
      <c r="Z1034" s="101">
        <v>0.1</v>
      </c>
      <c r="AA1034" s="102">
        <v>0.09</v>
      </c>
      <c r="AB1034" s="77"/>
      <c r="AC1034" s="78"/>
    </row>
    <row r="1035" spans="1:29" ht="40" customHeight="1" x14ac:dyDescent="0.2">
      <c r="A1035" s="117" t="s">
        <v>3645</v>
      </c>
      <c r="B1035" s="118" t="e">
        <f t="shared" si="113"/>
        <v>#VALUE!</v>
      </c>
      <c r="C1035" s="118" t="s">
        <v>612</v>
      </c>
      <c r="D1035" s="113">
        <v>40380</v>
      </c>
      <c r="E1035" s="84">
        <v>40452</v>
      </c>
      <c r="F1035" s="84">
        <f t="shared" si="114"/>
        <v>44105</v>
      </c>
      <c r="G1035" s="229">
        <v>600</v>
      </c>
      <c r="H1035" s="71" t="s">
        <v>2692</v>
      </c>
      <c r="I1035" s="71" t="s">
        <v>1147</v>
      </c>
      <c r="J1035" s="79"/>
      <c r="K1035" s="55">
        <f t="shared" si="115"/>
        <v>2020</v>
      </c>
      <c r="L1035" s="80"/>
      <c r="M1035" s="80"/>
      <c r="N1035" s="73" t="s">
        <v>3630</v>
      </c>
      <c r="O1035" s="73" t="s">
        <v>3646</v>
      </c>
      <c r="P1035" s="74" t="s">
        <v>3647</v>
      </c>
      <c r="Q1035" s="75">
        <v>201007</v>
      </c>
      <c r="R1035" s="230">
        <v>2245</v>
      </c>
      <c r="S1035" s="230">
        <v>14400</v>
      </c>
      <c r="T1035" s="230">
        <v>16645</v>
      </c>
      <c r="U1035" s="231">
        <v>900</v>
      </c>
      <c r="V1035" s="230"/>
      <c r="W1035" s="230"/>
      <c r="X1035" s="231"/>
      <c r="Y1035" s="85"/>
      <c r="Z1035" s="101">
        <v>0.1</v>
      </c>
      <c r="AA1035" s="102">
        <v>0.09</v>
      </c>
      <c r="AB1035" s="77"/>
      <c r="AC1035" s="78"/>
    </row>
    <row r="1036" spans="1:29" x14ac:dyDescent="0.2">
      <c r="A1036" s="117" t="s">
        <v>3648</v>
      </c>
      <c r="B1036" s="118" t="e">
        <f t="shared" si="113"/>
        <v>#VALUE!</v>
      </c>
      <c r="C1036" s="118" t="s">
        <v>612</v>
      </c>
      <c r="D1036" s="113">
        <v>40380</v>
      </c>
      <c r="E1036" s="84">
        <v>40452</v>
      </c>
      <c r="F1036" s="84">
        <f t="shared" si="114"/>
        <v>44105</v>
      </c>
      <c r="G1036" s="229">
        <v>40</v>
      </c>
      <c r="H1036" s="71" t="s">
        <v>2692</v>
      </c>
      <c r="I1036" s="71" t="s">
        <v>1147</v>
      </c>
      <c r="J1036" s="79"/>
      <c r="K1036" s="55">
        <f t="shared" si="115"/>
        <v>2020</v>
      </c>
      <c r="L1036" s="80"/>
      <c r="M1036" s="80"/>
      <c r="N1036" s="73" t="s">
        <v>3630</v>
      </c>
      <c r="O1036" s="73" t="s">
        <v>3649</v>
      </c>
      <c r="P1036" s="74"/>
      <c r="Q1036" s="75">
        <v>201007</v>
      </c>
      <c r="R1036" s="230">
        <v>285</v>
      </c>
      <c r="S1036" s="230">
        <v>640</v>
      </c>
      <c r="T1036" s="230">
        <v>925</v>
      </c>
      <c r="U1036" s="231">
        <v>60</v>
      </c>
      <c r="V1036" s="230"/>
      <c r="W1036" s="230"/>
      <c r="X1036" s="231"/>
      <c r="Y1036" s="85"/>
      <c r="Z1036" s="101">
        <v>0.1</v>
      </c>
      <c r="AA1036" s="102">
        <v>0.09</v>
      </c>
      <c r="AB1036" s="77"/>
      <c r="AC1036" s="78"/>
    </row>
    <row r="1037" spans="1:29" x14ac:dyDescent="0.2">
      <c r="A1037" s="117" t="s">
        <v>3650</v>
      </c>
      <c r="B1037" s="118" t="e">
        <f t="shared" si="113"/>
        <v>#VALUE!</v>
      </c>
      <c r="C1037" s="118" t="s">
        <v>612</v>
      </c>
      <c r="D1037" s="113">
        <v>40380</v>
      </c>
      <c r="E1037" s="84">
        <v>40452</v>
      </c>
      <c r="F1037" s="84">
        <f t="shared" si="114"/>
        <v>44105</v>
      </c>
      <c r="G1037" s="229">
        <v>120</v>
      </c>
      <c r="H1037" s="71" t="s">
        <v>2692</v>
      </c>
      <c r="I1037" s="71" t="s">
        <v>1147</v>
      </c>
      <c r="J1037" s="79"/>
      <c r="K1037" s="55">
        <f t="shared" si="115"/>
        <v>2020</v>
      </c>
      <c r="L1037" s="80"/>
      <c r="M1037" s="80"/>
      <c r="N1037" s="73" t="s">
        <v>3630</v>
      </c>
      <c r="O1037" s="73" t="s">
        <v>3651</v>
      </c>
      <c r="P1037" s="74"/>
      <c r="Q1037" s="75">
        <v>201007</v>
      </c>
      <c r="R1037" s="230">
        <v>565</v>
      </c>
      <c r="S1037" s="230">
        <v>1200</v>
      </c>
      <c r="T1037" s="230">
        <v>1765</v>
      </c>
      <c r="U1037" s="231">
        <v>180</v>
      </c>
      <c r="V1037" s="230"/>
      <c r="W1037" s="230"/>
      <c r="X1037" s="231"/>
      <c r="Y1037" s="85"/>
      <c r="Z1037" s="101">
        <v>0.1</v>
      </c>
      <c r="AA1037" s="102">
        <v>0.09</v>
      </c>
      <c r="AB1037" s="77"/>
      <c r="AC1037" s="78"/>
    </row>
    <row r="1038" spans="1:29" ht="27" customHeight="1" x14ac:dyDescent="0.2">
      <c r="A1038" s="117" t="s">
        <v>3652</v>
      </c>
      <c r="B1038" s="118" t="e">
        <f t="shared" si="113"/>
        <v>#VALUE!</v>
      </c>
      <c r="C1038" s="118" t="s">
        <v>612</v>
      </c>
      <c r="D1038" s="113">
        <v>40380</v>
      </c>
      <c r="E1038" s="84">
        <v>40452</v>
      </c>
      <c r="F1038" s="84">
        <f t="shared" si="114"/>
        <v>44105</v>
      </c>
      <c r="G1038" s="229">
        <v>280</v>
      </c>
      <c r="H1038" s="71" t="s">
        <v>2692</v>
      </c>
      <c r="I1038" s="71" t="s">
        <v>1147</v>
      </c>
      <c r="J1038" s="79"/>
      <c r="K1038" s="55">
        <f t="shared" si="115"/>
        <v>2020</v>
      </c>
      <c r="L1038" s="80"/>
      <c r="M1038" s="80"/>
      <c r="N1038" s="73" t="s">
        <v>3630</v>
      </c>
      <c r="O1038" s="73" t="s">
        <v>3653</v>
      </c>
      <c r="P1038" s="74" t="s">
        <v>3654</v>
      </c>
      <c r="Q1038" s="75">
        <v>201007</v>
      </c>
      <c r="R1038" s="230">
        <v>1125</v>
      </c>
      <c r="S1038" s="230">
        <v>5600</v>
      </c>
      <c r="T1038" s="230">
        <v>6725</v>
      </c>
      <c r="U1038" s="231">
        <v>420</v>
      </c>
      <c r="V1038" s="230"/>
      <c r="W1038" s="230"/>
      <c r="X1038" s="231"/>
      <c r="Y1038" s="85"/>
      <c r="Z1038" s="101">
        <v>0.1</v>
      </c>
      <c r="AA1038" s="102">
        <v>0.09</v>
      </c>
      <c r="AB1038" s="77"/>
      <c r="AC1038" s="78"/>
    </row>
    <row r="1039" spans="1:29" x14ac:dyDescent="0.2">
      <c r="A1039" s="117" t="s">
        <v>3655</v>
      </c>
      <c r="B1039" s="118" t="e">
        <f t="shared" si="113"/>
        <v>#VALUE!</v>
      </c>
      <c r="C1039" s="118" t="s">
        <v>612</v>
      </c>
      <c r="D1039" s="113">
        <v>40380</v>
      </c>
      <c r="E1039" s="84">
        <v>40452</v>
      </c>
      <c r="F1039" s="84">
        <f t="shared" si="114"/>
        <v>44105</v>
      </c>
      <c r="G1039" s="229">
        <v>40.29</v>
      </c>
      <c r="H1039" s="71" t="s">
        <v>2692</v>
      </c>
      <c r="I1039" s="71" t="s">
        <v>1147</v>
      </c>
      <c r="J1039" s="79"/>
      <c r="K1039" s="55">
        <f t="shared" si="115"/>
        <v>2020</v>
      </c>
      <c r="L1039" s="80"/>
      <c r="M1039" s="80"/>
      <c r="N1039" s="73" t="s">
        <v>3630</v>
      </c>
      <c r="O1039" s="73" t="s">
        <v>3656</v>
      </c>
      <c r="P1039" s="74"/>
      <c r="Q1039" s="75">
        <v>201007</v>
      </c>
      <c r="R1039" s="230">
        <v>288.5</v>
      </c>
      <c r="S1039" s="230">
        <v>574</v>
      </c>
      <c r="T1039" s="230">
        <v>862.5</v>
      </c>
      <c r="U1039" s="231">
        <v>61.5</v>
      </c>
      <c r="V1039" s="230"/>
      <c r="W1039" s="230"/>
      <c r="X1039" s="231"/>
      <c r="Y1039" s="85"/>
      <c r="Z1039" s="101">
        <v>0.1</v>
      </c>
      <c r="AA1039" s="102">
        <v>0.09</v>
      </c>
      <c r="AB1039" s="77"/>
      <c r="AC1039" s="78"/>
    </row>
    <row r="1040" spans="1:29" x14ac:dyDescent="0.2">
      <c r="A1040" s="117" t="s">
        <v>3657</v>
      </c>
      <c r="B1040" s="118" t="e">
        <f t="shared" si="113"/>
        <v>#VALUE!</v>
      </c>
      <c r="C1040" s="118" t="s">
        <v>612</v>
      </c>
      <c r="D1040" s="113">
        <v>40380</v>
      </c>
      <c r="E1040" s="84">
        <v>40452</v>
      </c>
      <c r="F1040" s="84">
        <f t="shared" si="114"/>
        <v>44105</v>
      </c>
      <c r="G1040" s="229">
        <v>40</v>
      </c>
      <c r="H1040" s="71" t="s">
        <v>2692</v>
      </c>
      <c r="I1040" s="71" t="s">
        <v>1147</v>
      </c>
      <c r="J1040" s="79"/>
      <c r="K1040" s="55">
        <f t="shared" si="115"/>
        <v>2020</v>
      </c>
      <c r="L1040" s="80"/>
      <c r="M1040" s="80"/>
      <c r="N1040" s="73" t="s">
        <v>3630</v>
      </c>
      <c r="O1040" s="73" t="s">
        <v>3658</v>
      </c>
      <c r="P1040" s="74"/>
      <c r="Q1040" s="75">
        <v>201007</v>
      </c>
      <c r="R1040" s="230">
        <v>285</v>
      </c>
      <c r="S1040" s="230">
        <v>960</v>
      </c>
      <c r="T1040" s="230">
        <v>1245</v>
      </c>
      <c r="U1040" s="231">
        <v>60</v>
      </c>
      <c r="V1040" s="230"/>
      <c r="W1040" s="230"/>
      <c r="X1040" s="231"/>
      <c r="Y1040" s="85"/>
      <c r="Z1040" s="101">
        <v>0.1</v>
      </c>
      <c r="AA1040" s="102">
        <v>0.09</v>
      </c>
      <c r="AB1040" s="77"/>
      <c r="AC1040" s="78"/>
    </row>
    <row r="1041" spans="1:29" x14ac:dyDescent="0.2">
      <c r="A1041" s="117" t="s">
        <v>3659</v>
      </c>
      <c r="B1041" s="118" t="e">
        <f t="shared" si="113"/>
        <v>#VALUE!</v>
      </c>
      <c r="C1041" s="118" t="s">
        <v>612</v>
      </c>
      <c r="D1041" s="113">
        <v>40380</v>
      </c>
      <c r="E1041" s="84">
        <v>40452</v>
      </c>
      <c r="F1041" s="84">
        <f t="shared" si="114"/>
        <v>44105</v>
      </c>
      <c r="G1041" s="229">
        <v>40</v>
      </c>
      <c r="H1041" s="71" t="s">
        <v>2692</v>
      </c>
      <c r="I1041" s="71" t="s">
        <v>1147</v>
      </c>
      <c r="J1041" s="79"/>
      <c r="K1041" s="55">
        <f t="shared" si="115"/>
        <v>2020</v>
      </c>
      <c r="L1041" s="80"/>
      <c r="M1041" s="80"/>
      <c r="N1041" s="73" t="s">
        <v>3660</v>
      </c>
      <c r="O1041" s="73" t="s">
        <v>3661</v>
      </c>
      <c r="P1041" s="74"/>
      <c r="Q1041" s="75">
        <v>201007</v>
      </c>
      <c r="R1041" s="230">
        <v>285</v>
      </c>
      <c r="S1041" s="230">
        <v>640</v>
      </c>
      <c r="T1041" s="230">
        <v>925</v>
      </c>
      <c r="U1041" s="231">
        <v>60</v>
      </c>
      <c r="V1041" s="230"/>
      <c r="W1041" s="230"/>
      <c r="X1041" s="231"/>
      <c r="Y1041" s="85"/>
      <c r="Z1041" s="101">
        <v>0.1</v>
      </c>
      <c r="AA1041" s="102">
        <v>0.09</v>
      </c>
      <c r="AB1041" s="77"/>
      <c r="AC1041" s="78"/>
    </row>
    <row r="1042" spans="1:29" x14ac:dyDescent="0.2">
      <c r="A1042" s="117" t="s">
        <v>3662</v>
      </c>
      <c r="B1042" s="118" t="e">
        <f t="shared" si="113"/>
        <v>#VALUE!</v>
      </c>
      <c r="C1042" s="118" t="s">
        <v>612</v>
      </c>
      <c r="D1042" s="113">
        <v>40380</v>
      </c>
      <c r="E1042" s="84">
        <v>40452</v>
      </c>
      <c r="F1042" s="84">
        <f t="shared" si="114"/>
        <v>44105</v>
      </c>
      <c r="G1042" s="229">
        <v>40</v>
      </c>
      <c r="H1042" s="71" t="s">
        <v>2692</v>
      </c>
      <c r="I1042" s="71" t="s">
        <v>1147</v>
      </c>
      <c r="J1042" s="79"/>
      <c r="K1042" s="55">
        <f t="shared" si="115"/>
        <v>2020</v>
      </c>
      <c r="L1042" s="80"/>
      <c r="M1042" s="80"/>
      <c r="N1042" s="73" t="s">
        <v>3660</v>
      </c>
      <c r="O1042" s="73" t="s">
        <v>3663</v>
      </c>
      <c r="P1042" s="74"/>
      <c r="Q1042" s="75">
        <v>201007</v>
      </c>
      <c r="R1042" s="230">
        <v>285</v>
      </c>
      <c r="S1042" s="230">
        <v>600</v>
      </c>
      <c r="T1042" s="230">
        <v>885</v>
      </c>
      <c r="U1042" s="231">
        <v>60</v>
      </c>
      <c r="V1042" s="230"/>
      <c r="W1042" s="230"/>
      <c r="X1042" s="231"/>
      <c r="Y1042" s="85"/>
      <c r="Z1042" s="101">
        <v>0.1</v>
      </c>
      <c r="AA1042" s="102">
        <v>0.09</v>
      </c>
      <c r="AB1042" s="77"/>
      <c r="AC1042" s="78"/>
    </row>
    <row r="1043" spans="1:29" x14ac:dyDescent="0.2">
      <c r="A1043" s="117" t="s">
        <v>3664</v>
      </c>
      <c r="B1043" s="118" t="e">
        <f t="shared" si="113"/>
        <v>#VALUE!</v>
      </c>
      <c r="C1043" s="118" t="s">
        <v>612</v>
      </c>
      <c r="D1043" s="113">
        <v>40380</v>
      </c>
      <c r="E1043" s="84">
        <v>40452</v>
      </c>
      <c r="F1043" s="84">
        <f t="shared" si="114"/>
        <v>44105</v>
      </c>
      <c r="G1043" s="229">
        <v>40</v>
      </c>
      <c r="H1043" s="71" t="s">
        <v>2692</v>
      </c>
      <c r="I1043" s="71" t="s">
        <v>1147</v>
      </c>
      <c r="J1043" s="79"/>
      <c r="K1043" s="55">
        <f t="shared" si="115"/>
        <v>2020</v>
      </c>
      <c r="L1043" s="80"/>
      <c r="M1043" s="80"/>
      <c r="N1043" s="73" t="s">
        <v>3660</v>
      </c>
      <c r="O1043" s="73" t="s">
        <v>3665</v>
      </c>
      <c r="P1043" s="74"/>
      <c r="Q1043" s="75">
        <v>201007</v>
      </c>
      <c r="R1043" s="230">
        <v>285</v>
      </c>
      <c r="S1043" s="230">
        <v>680</v>
      </c>
      <c r="T1043" s="230">
        <v>965</v>
      </c>
      <c r="U1043" s="231">
        <v>60</v>
      </c>
      <c r="V1043" s="230"/>
      <c r="W1043" s="230"/>
      <c r="X1043" s="231"/>
      <c r="Y1043" s="85"/>
      <c r="Z1043" s="101">
        <v>0.1</v>
      </c>
      <c r="AA1043" s="102">
        <v>0.09</v>
      </c>
      <c r="AB1043" s="77"/>
      <c r="AC1043" s="78"/>
    </row>
    <row r="1044" spans="1:29" x14ac:dyDescent="0.2">
      <c r="A1044" s="117" t="s">
        <v>3666</v>
      </c>
      <c r="B1044" s="118" t="e">
        <f t="shared" si="113"/>
        <v>#VALUE!</v>
      </c>
      <c r="C1044" s="118" t="s">
        <v>612</v>
      </c>
      <c r="D1044" s="113">
        <v>40380</v>
      </c>
      <c r="E1044" s="84">
        <v>40452</v>
      </c>
      <c r="F1044" s="84">
        <f t="shared" si="114"/>
        <v>44105</v>
      </c>
      <c r="G1044" s="229">
        <v>40</v>
      </c>
      <c r="H1044" s="71" t="s">
        <v>2692</v>
      </c>
      <c r="I1044" s="71" t="s">
        <v>1147</v>
      </c>
      <c r="J1044" s="79"/>
      <c r="K1044" s="55">
        <f t="shared" si="115"/>
        <v>2020</v>
      </c>
      <c r="L1044" s="80"/>
      <c r="M1044" s="80"/>
      <c r="N1044" s="73" t="s">
        <v>3660</v>
      </c>
      <c r="O1044" s="73" t="s">
        <v>3667</v>
      </c>
      <c r="P1044" s="74"/>
      <c r="Q1044" s="75">
        <v>201007</v>
      </c>
      <c r="R1044" s="230">
        <v>285</v>
      </c>
      <c r="S1044" s="230">
        <v>720</v>
      </c>
      <c r="T1044" s="230">
        <v>1005</v>
      </c>
      <c r="U1044" s="231">
        <v>60</v>
      </c>
      <c r="V1044" s="230"/>
      <c r="W1044" s="230"/>
      <c r="X1044" s="231"/>
      <c r="Y1044" s="85"/>
      <c r="Z1044" s="101">
        <v>0.1</v>
      </c>
      <c r="AA1044" s="102">
        <v>0.09</v>
      </c>
      <c r="AB1044" s="77"/>
      <c r="AC1044" s="78"/>
    </row>
    <row r="1045" spans="1:29" x14ac:dyDescent="0.2">
      <c r="A1045" s="117" t="s">
        <v>3668</v>
      </c>
      <c r="B1045" s="118" t="e">
        <f t="shared" si="113"/>
        <v>#VALUE!</v>
      </c>
      <c r="C1045" s="118" t="s">
        <v>612</v>
      </c>
      <c r="D1045" s="113">
        <v>40380</v>
      </c>
      <c r="E1045" s="84">
        <v>40452</v>
      </c>
      <c r="F1045" s="84">
        <f t="shared" si="114"/>
        <v>44105</v>
      </c>
      <c r="G1045" s="229">
        <v>40</v>
      </c>
      <c r="H1045" s="71" t="s">
        <v>2692</v>
      </c>
      <c r="I1045" s="71" t="s">
        <v>1147</v>
      </c>
      <c r="J1045" s="79"/>
      <c r="K1045" s="55">
        <f t="shared" si="115"/>
        <v>2020</v>
      </c>
      <c r="L1045" s="80"/>
      <c r="M1045" s="80"/>
      <c r="N1045" s="73" t="s">
        <v>3660</v>
      </c>
      <c r="O1045" s="73" t="s">
        <v>3669</v>
      </c>
      <c r="P1045" s="74"/>
      <c r="Q1045" s="75">
        <v>201007</v>
      </c>
      <c r="R1045" s="230">
        <v>285</v>
      </c>
      <c r="S1045" s="230">
        <v>800</v>
      </c>
      <c r="T1045" s="230">
        <v>1085</v>
      </c>
      <c r="U1045" s="231">
        <v>60</v>
      </c>
      <c r="V1045" s="230"/>
      <c r="W1045" s="230"/>
      <c r="X1045" s="231"/>
      <c r="Y1045" s="85"/>
      <c r="Z1045" s="101">
        <v>0.1</v>
      </c>
      <c r="AA1045" s="102">
        <v>0.09</v>
      </c>
      <c r="AB1045" s="77"/>
      <c r="AC1045" s="78"/>
    </row>
    <row r="1046" spans="1:29" x14ac:dyDescent="0.2">
      <c r="A1046" s="117" t="s">
        <v>3670</v>
      </c>
      <c r="B1046" s="118" t="e">
        <f t="shared" si="113"/>
        <v>#VALUE!</v>
      </c>
      <c r="C1046" s="118" t="s">
        <v>612</v>
      </c>
      <c r="D1046" s="113">
        <v>40380</v>
      </c>
      <c r="E1046" s="84">
        <v>40452</v>
      </c>
      <c r="F1046" s="84">
        <f t="shared" si="114"/>
        <v>44105</v>
      </c>
      <c r="G1046" s="229">
        <v>760</v>
      </c>
      <c r="H1046" s="71" t="s">
        <v>2692</v>
      </c>
      <c r="I1046" s="71" t="s">
        <v>1147</v>
      </c>
      <c r="J1046" s="79"/>
      <c r="K1046" s="55">
        <f t="shared" si="115"/>
        <v>2020</v>
      </c>
      <c r="L1046" s="80"/>
      <c r="M1046" s="80"/>
      <c r="N1046" s="73" t="s">
        <v>3660</v>
      </c>
      <c r="O1046" s="73" t="s">
        <v>3671</v>
      </c>
      <c r="P1046" s="74" t="s">
        <v>3672</v>
      </c>
      <c r="Q1046" s="75">
        <v>201007</v>
      </c>
      <c r="R1046" s="230">
        <v>2805</v>
      </c>
      <c r="S1046" s="230">
        <v>9120</v>
      </c>
      <c r="T1046" s="230">
        <v>11925</v>
      </c>
      <c r="U1046" s="231">
        <v>1140</v>
      </c>
      <c r="V1046" s="230"/>
      <c r="W1046" s="230"/>
      <c r="X1046" s="231"/>
      <c r="Y1046" s="85"/>
      <c r="Z1046" s="101">
        <v>0.1</v>
      </c>
      <c r="AA1046" s="102">
        <v>0.09</v>
      </c>
      <c r="AB1046" s="77"/>
      <c r="AC1046" s="78"/>
    </row>
    <row r="1047" spans="1:29" x14ac:dyDescent="0.2">
      <c r="A1047" s="117" t="s">
        <v>3673</v>
      </c>
      <c r="B1047" s="118" t="e">
        <f t="shared" si="113"/>
        <v>#VALUE!</v>
      </c>
      <c r="C1047" s="118" t="s">
        <v>612</v>
      </c>
      <c r="D1047" s="113">
        <v>40380</v>
      </c>
      <c r="E1047" s="84">
        <v>40452</v>
      </c>
      <c r="F1047" s="84">
        <f t="shared" si="114"/>
        <v>44105</v>
      </c>
      <c r="G1047" s="229">
        <v>600</v>
      </c>
      <c r="H1047" s="71" t="s">
        <v>2692</v>
      </c>
      <c r="I1047" s="71" t="s">
        <v>1147</v>
      </c>
      <c r="J1047" s="79"/>
      <c r="K1047" s="55">
        <f t="shared" si="115"/>
        <v>2020</v>
      </c>
      <c r="L1047" s="80"/>
      <c r="M1047" s="80"/>
      <c r="N1047" s="73" t="s">
        <v>3660</v>
      </c>
      <c r="O1047" s="73" t="s">
        <v>3674</v>
      </c>
      <c r="P1047" s="74"/>
      <c r="Q1047" s="75">
        <v>201007</v>
      </c>
      <c r="R1047" s="230">
        <v>2245</v>
      </c>
      <c r="S1047" s="230">
        <v>3600</v>
      </c>
      <c r="T1047" s="230">
        <v>5845</v>
      </c>
      <c r="U1047" s="231">
        <v>900</v>
      </c>
      <c r="V1047" s="230"/>
      <c r="W1047" s="230"/>
      <c r="X1047" s="231"/>
      <c r="Y1047" s="85"/>
      <c r="Z1047" s="101">
        <v>0.1</v>
      </c>
      <c r="AA1047" s="102">
        <v>0.09</v>
      </c>
      <c r="AB1047" s="77"/>
      <c r="AC1047" s="78"/>
    </row>
    <row r="1048" spans="1:29" ht="27" customHeight="1" x14ac:dyDescent="0.2">
      <c r="A1048" s="117" t="s">
        <v>3675</v>
      </c>
      <c r="B1048" s="118" t="e">
        <f t="shared" si="113"/>
        <v>#VALUE!</v>
      </c>
      <c r="C1048" s="118" t="s">
        <v>612</v>
      </c>
      <c r="D1048" s="113">
        <v>40380</v>
      </c>
      <c r="E1048" s="84">
        <v>40452</v>
      </c>
      <c r="F1048" s="84">
        <f t="shared" si="114"/>
        <v>44105</v>
      </c>
      <c r="G1048" s="229">
        <v>678.4</v>
      </c>
      <c r="H1048" s="71" t="s">
        <v>2692</v>
      </c>
      <c r="I1048" s="71" t="s">
        <v>1147</v>
      </c>
      <c r="J1048" s="79"/>
      <c r="K1048" s="55">
        <f t="shared" si="115"/>
        <v>2020</v>
      </c>
      <c r="L1048" s="80"/>
      <c r="M1048" s="80"/>
      <c r="N1048" s="73" t="s">
        <v>3660</v>
      </c>
      <c r="O1048" s="73" t="s">
        <v>3676</v>
      </c>
      <c r="P1048" s="74" t="s">
        <v>3677</v>
      </c>
      <c r="Q1048" s="75">
        <v>201007</v>
      </c>
      <c r="R1048" s="230">
        <v>2521.5</v>
      </c>
      <c r="S1048" s="230">
        <v>4074</v>
      </c>
      <c r="T1048" s="230">
        <v>6595.5</v>
      </c>
      <c r="U1048" s="231">
        <v>1018.5</v>
      </c>
      <c r="V1048" s="230"/>
      <c r="W1048" s="230"/>
      <c r="X1048" s="231"/>
      <c r="Y1048" s="85"/>
      <c r="Z1048" s="101">
        <v>0.1</v>
      </c>
      <c r="AA1048" s="102">
        <v>0.09</v>
      </c>
      <c r="AB1048" s="77"/>
      <c r="AC1048" s="78"/>
    </row>
    <row r="1049" spans="1:29" x14ac:dyDescent="0.2">
      <c r="A1049" s="117" t="s">
        <v>3678</v>
      </c>
      <c r="B1049" s="118" t="e">
        <f t="shared" si="113"/>
        <v>#VALUE!</v>
      </c>
      <c r="C1049" s="118" t="s">
        <v>612</v>
      </c>
      <c r="D1049" s="113">
        <v>40380</v>
      </c>
      <c r="E1049" s="84">
        <v>40452</v>
      </c>
      <c r="F1049" s="84">
        <f t="shared" si="114"/>
        <v>44105</v>
      </c>
      <c r="G1049" s="229">
        <v>280</v>
      </c>
      <c r="H1049" s="71" t="s">
        <v>2692</v>
      </c>
      <c r="I1049" s="71" t="s">
        <v>1147</v>
      </c>
      <c r="J1049" s="79"/>
      <c r="K1049" s="55">
        <f t="shared" si="115"/>
        <v>2020</v>
      </c>
      <c r="L1049" s="80"/>
      <c r="M1049" s="80"/>
      <c r="N1049" s="73" t="s">
        <v>3660</v>
      </c>
      <c r="O1049" s="73" t="s">
        <v>3679</v>
      </c>
      <c r="P1049" s="74"/>
      <c r="Q1049" s="75">
        <v>201007</v>
      </c>
      <c r="R1049" s="230">
        <v>1125</v>
      </c>
      <c r="S1049" s="230">
        <v>3360</v>
      </c>
      <c r="T1049" s="230">
        <v>4485</v>
      </c>
      <c r="U1049" s="231">
        <v>420</v>
      </c>
      <c r="V1049" s="230"/>
      <c r="W1049" s="230"/>
      <c r="X1049" s="231"/>
      <c r="Y1049" s="85"/>
      <c r="Z1049" s="101">
        <v>0.1</v>
      </c>
      <c r="AA1049" s="102">
        <v>0.09</v>
      </c>
      <c r="AB1049" s="77"/>
      <c r="AC1049" s="78"/>
    </row>
    <row r="1050" spans="1:29" x14ac:dyDescent="0.2">
      <c r="A1050" s="117" t="s">
        <v>3680</v>
      </c>
      <c r="B1050" s="118" t="e">
        <f t="shared" si="113"/>
        <v>#VALUE!</v>
      </c>
      <c r="C1050" s="118" t="s">
        <v>612</v>
      </c>
      <c r="D1050" s="113">
        <v>40380</v>
      </c>
      <c r="E1050" s="84">
        <v>40452</v>
      </c>
      <c r="F1050" s="84">
        <f t="shared" si="114"/>
        <v>44105</v>
      </c>
      <c r="G1050" s="229">
        <v>40</v>
      </c>
      <c r="H1050" s="71" t="s">
        <v>2692</v>
      </c>
      <c r="I1050" s="71" t="s">
        <v>1147</v>
      </c>
      <c r="J1050" s="79"/>
      <c r="K1050" s="55">
        <f t="shared" si="115"/>
        <v>2020</v>
      </c>
      <c r="L1050" s="80"/>
      <c r="M1050" s="80"/>
      <c r="N1050" s="73" t="s">
        <v>3660</v>
      </c>
      <c r="O1050" s="73" t="s">
        <v>3681</v>
      </c>
      <c r="P1050" s="74"/>
      <c r="Q1050" s="75">
        <v>201007</v>
      </c>
      <c r="R1050" s="230">
        <v>285</v>
      </c>
      <c r="S1050" s="230">
        <v>720</v>
      </c>
      <c r="T1050" s="230">
        <v>1005</v>
      </c>
      <c r="U1050" s="231">
        <v>60</v>
      </c>
      <c r="V1050" s="230"/>
      <c r="W1050" s="230"/>
      <c r="X1050" s="231"/>
      <c r="Y1050" s="85"/>
      <c r="Z1050" s="101">
        <v>0.1</v>
      </c>
      <c r="AA1050" s="102">
        <v>0.09</v>
      </c>
      <c r="AB1050" s="77"/>
      <c r="AC1050" s="78"/>
    </row>
    <row r="1051" spans="1:29" x14ac:dyDescent="0.2">
      <c r="A1051" s="117" t="s">
        <v>3682</v>
      </c>
      <c r="B1051" s="118" t="e">
        <f t="shared" ref="B1051:B1082" si="116">IF(COUNTIF(GIS,A1051),"YES","NO")</f>
        <v>#VALUE!</v>
      </c>
      <c r="C1051" s="118" t="s">
        <v>612</v>
      </c>
      <c r="D1051" s="113">
        <v>40380</v>
      </c>
      <c r="E1051" s="84">
        <v>40452</v>
      </c>
      <c r="F1051" s="84">
        <f t="shared" ref="F1051:F1082" si="117">DATE(YEAR(E1051)+10,MONTH(E1051),DAY(E1051))</f>
        <v>44105</v>
      </c>
      <c r="G1051" s="229">
        <v>720</v>
      </c>
      <c r="H1051" s="71" t="s">
        <v>2692</v>
      </c>
      <c r="I1051" s="71" t="s">
        <v>1147</v>
      </c>
      <c r="J1051" s="79"/>
      <c r="K1051" s="55">
        <f t="shared" ref="K1051:K1082" si="118">YEAR(F1051)</f>
        <v>2020</v>
      </c>
      <c r="L1051" s="80"/>
      <c r="M1051" s="80"/>
      <c r="N1051" s="73" t="s">
        <v>3660</v>
      </c>
      <c r="O1051" s="73" t="s">
        <v>3683</v>
      </c>
      <c r="P1051" s="74" t="s">
        <v>3684</v>
      </c>
      <c r="Q1051" s="75">
        <v>201007</v>
      </c>
      <c r="R1051" s="230">
        <v>2665</v>
      </c>
      <c r="S1051" s="230">
        <v>10080</v>
      </c>
      <c r="T1051" s="230">
        <v>12745</v>
      </c>
      <c r="U1051" s="231">
        <v>1080</v>
      </c>
      <c r="V1051" s="230"/>
      <c r="W1051" s="230"/>
      <c r="X1051" s="231"/>
      <c r="Y1051" s="85"/>
      <c r="Z1051" s="101">
        <v>0.1</v>
      </c>
      <c r="AA1051" s="102">
        <v>0.09</v>
      </c>
      <c r="AB1051" s="77"/>
      <c r="AC1051" s="78"/>
    </row>
    <row r="1052" spans="1:29" x14ac:dyDescent="0.2">
      <c r="A1052" s="117" t="s">
        <v>3685</v>
      </c>
      <c r="B1052" s="118" t="e">
        <f t="shared" si="116"/>
        <v>#VALUE!</v>
      </c>
      <c r="C1052" s="118" t="s">
        <v>612</v>
      </c>
      <c r="D1052" s="113">
        <v>40380</v>
      </c>
      <c r="E1052" s="84">
        <v>40452</v>
      </c>
      <c r="F1052" s="84">
        <f t="shared" si="117"/>
        <v>44105</v>
      </c>
      <c r="G1052" s="229">
        <v>517.16</v>
      </c>
      <c r="H1052" s="71" t="s">
        <v>2692</v>
      </c>
      <c r="I1052" s="71" t="s">
        <v>1147</v>
      </c>
      <c r="J1052" s="79"/>
      <c r="K1052" s="55">
        <f t="shared" si="118"/>
        <v>2020</v>
      </c>
      <c r="L1052" s="80"/>
      <c r="M1052" s="80"/>
      <c r="N1052" s="73" t="s">
        <v>3660</v>
      </c>
      <c r="O1052" s="73" t="s">
        <v>3686</v>
      </c>
      <c r="P1052" s="74" t="s">
        <v>3687</v>
      </c>
      <c r="Q1052" s="75">
        <v>201007</v>
      </c>
      <c r="R1052" s="230">
        <v>1958</v>
      </c>
      <c r="S1052" s="230">
        <v>4144</v>
      </c>
      <c r="T1052" s="230">
        <v>6102</v>
      </c>
      <c r="U1052" s="231">
        <v>777</v>
      </c>
      <c r="V1052" s="230"/>
      <c r="W1052" s="230"/>
      <c r="X1052" s="231"/>
      <c r="Y1052" s="85"/>
      <c r="Z1052" s="101">
        <v>0.1</v>
      </c>
      <c r="AA1052" s="102">
        <v>0.09</v>
      </c>
      <c r="AB1052" s="77"/>
      <c r="AC1052" s="78"/>
    </row>
    <row r="1053" spans="1:29" x14ac:dyDescent="0.2">
      <c r="A1053" s="117" t="s">
        <v>3688</v>
      </c>
      <c r="B1053" s="118" t="e">
        <f t="shared" si="116"/>
        <v>#VALUE!</v>
      </c>
      <c r="C1053" s="118" t="s">
        <v>612</v>
      </c>
      <c r="D1053" s="113">
        <v>40380</v>
      </c>
      <c r="E1053" s="84">
        <v>40452</v>
      </c>
      <c r="F1053" s="84">
        <f t="shared" si="117"/>
        <v>44105</v>
      </c>
      <c r="G1053" s="229">
        <v>679.92</v>
      </c>
      <c r="H1053" s="71" t="s">
        <v>2692</v>
      </c>
      <c r="I1053" s="71" t="s">
        <v>1147</v>
      </c>
      <c r="J1053" s="79"/>
      <c r="K1053" s="55">
        <f t="shared" si="118"/>
        <v>2020</v>
      </c>
      <c r="L1053" s="80"/>
      <c r="M1053" s="80"/>
      <c r="N1053" s="73" t="s">
        <v>3660</v>
      </c>
      <c r="O1053" s="73" t="s">
        <v>3689</v>
      </c>
      <c r="P1053" s="74" t="s">
        <v>3690</v>
      </c>
      <c r="Q1053" s="75">
        <v>201007</v>
      </c>
      <c r="R1053" s="230">
        <v>2525</v>
      </c>
      <c r="S1053" s="230">
        <v>4080</v>
      </c>
      <c r="T1053" s="230">
        <v>6605</v>
      </c>
      <c r="U1053" s="231">
        <v>1020</v>
      </c>
      <c r="V1053" s="230"/>
      <c r="W1053" s="230"/>
      <c r="X1053" s="231"/>
      <c r="Y1053" s="85"/>
      <c r="Z1053" s="101">
        <v>0.1</v>
      </c>
      <c r="AA1053" s="102">
        <v>0.09</v>
      </c>
      <c r="AB1053" s="77"/>
      <c r="AC1053" s="78"/>
    </row>
    <row r="1054" spans="1:29" x14ac:dyDescent="0.2">
      <c r="A1054" s="117" t="s">
        <v>3691</v>
      </c>
      <c r="B1054" s="118" t="e">
        <f t="shared" si="116"/>
        <v>#VALUE!</v>
      </c>
      <c r="C1054" s="118" t="s">
        <v>612</v>
      </c>
      <c r="D1054" s="113">
        <v>40380</v>
      </c>
      <c r="E1054" s="84">
        <v>40452</v>
      </c>
      <c r="F1054" s="84">
        <f t="shared" si="117"/>
        <v>44105</v>
      </c>
      <c r="G1054" s="229">
        <v>40</v>
      </c>
      <c r="H1054" s="71" t="s">
        <v>2692</v>
      </c>
      <c r="I1054" s="71" t="s">
        <v>1147</v>
      </c>
      <c r="J1054" s="79"/>
      <c r="K1054" s="55">
        <f t="shared" si="118"/>
        <v>2020</v>
      </c>
      <c r="L1054" s="80"/>
      <c r="M1054" s="80"/>
      <c r="N1054" s="73" t="s">
        <v>3660</v>
      </c>
      <c r="O1054" s="73" t="s">
        <v>3692</v>
      </c>
      <c r="P1054" s="74"/>
      <c r="Q1054" s="75">
        <v>201007</v>
      </c>
      <c r="R1054" s="230">
        <v>285</v>
      </c>
      <c r="S1054" s="230">
        <v>880</v>
      </c>
      <c r="T1054" s="230">
        <v>1165</v>
      </c>
      <c r="U1054" s="231">
        <v>60</v>
      </c>
      <c r="V1054" s="230"/>
      <c r="W1054" s="230"/>
      <c r="X1054" s="231"/>
      <c r="Y1054" s="85"/>
      <c r="Z1054" s="101">
        <v>0.1</v>
      </c>
      <c r="AA1054" s="102">
        <v>0.09</v>
      </c>
      <c r="AB1054" s="77"/>
      <c r="AC1054" s="78"/>
    </row>
    <row r="1055" spans="1:29" x14ac:dyDescent="0.2">
      <c r="A1055" s="117" t="s">
        <v>3693</v>
      </c>
      <c r="B1055" s="118" t="e">
        <f t="shared" si="116"/>
        <v>#VALUE!</v>
      </c>
      <c r="C1055" s="118" t="s">
        <v>612</v>
      </c>
      <c r="D1055" s="113">
        <v>40380</v>
      </c>
      <c r="E1055" s="84">
        <v>40452</v>
      </c>
      <c r="F1055" s="84">
        <f t="shared" si="117"/>
        <v>44105</v>
      </c>
      <c r="G1055" s="229">
        <v>40</v>
      </c>
      <c r="H1055" s="71" t="s">
        <v>2692</v>
      </c>
      <c r="I1055" s="71" t="s">
        <v>1147</v>
      </c>
      <c r="J1055" s="79"/>
      <c r="K1055" s="55">
        <f t="shared" si="118"/>
        <v>2020</v>
      </c>
      <c r="L1055" s="80"/>
      <c r="M1055" s="80"/>
      <c r="N1055" s="73" t="s">
        <v>3660</v>
      </c>
      <c r="O1055" s="73" t="s">
        <v>3694</v>
      </c>
      <c r="P1055" s="74"/>
      <c r="Q1055" s="75">
        <v>201007</v>
      </c>
      <c r="R1055" s="230">
        <v>285</v>
      </c>
      <c r="S1055" s="230">
        <v>880</v>
      </c>
      <c r="T1055" s="230">
        <v>1165</v>
      </c>
      <c r="U1055" s="231">
        <v>60</v>
      </c>
      <c r="V1055" s="230"/>
      <c r="W1055" s="230"/>
      <c r="X1055" s="231"/>
      <c r="Y1055" s="85"/>
      <c r="Z1055" s="101">
        <v>0.1</v>
      </c>
      <c r="AA1055" s="102">
        <v>0.09</v>
      </c>
      <c r="AB1055" s="77"/>
      <c r="AC1055" s="78"/>
    </row>
    <row r="1056" spans="1:29" ht="27" customHeight="1" x14ac:dyDescent="0.2">
      <c r="A1056" s="117" t="s">
        <v>3695</v>
      </c>
      <c r="B1056" s="118" t="e">
        <f t="shared" si="116"/>
        <v>#VALUE!</v>
      </c>
      <c r="C1056" s="118" t="s">
        <v>612</v>
      </c>
      <c r="D1056" s="113">
        <v>40380</v>
      </c>
      <c r="E1056" s="84">
        <v>40452</v>
      </c>
      <c r="F1056" s="84">
        <f t="shared" si="117"/>
        <v>44105</v>
      </c>
      <c r="G1056" s="229">
        <v>1360.1</v>
      </c>
      <c r="H1056" s="71" t="s">
        <v>2692</v>
      </c>
      <c r="I1056" s="71" t="s">
        <v>1147</v>
      </c>
      <c r="J1056" s="79"/>
      <c r="K1056" s="55">
        <f t="shared" si="118"/>
        <v>2020</v>
      </c>
      <c r="L1056" s="80"/>
      <c r="M1056" s="80"/>
      <c r="N1056" s="73" t="s">
        <v>3660</v>
      </c>
      <c r="O1056" s="73" t="s">
        <v>3696</v>
      </c>
      <c r="P1056" s="74" t="s">
        <v>3697</v>
      </c>
      <c r="Q1056" s="75">
        <v>201007</v>
      </c>
      <c r="R1056" s="230">
        <v>4908.5</v>
      </c>
      <c r="S1056" s="230">
        <v>8166</v>
      </c>
      <c r="T1056" s="230">
        <v>13074.5</v>
      </c>
      <c r="U1056" s="231">
        <v>2041.5</v>
      </c>
      <c r="V1056" s="230"/>
      <c r="W1056" s="230"/>
      <c r="X1056" s="231"/>
      <c r="Y1056" s="85"/>
      <c r="Z1056" s="101">
        <v>0.1</v>
      </c>
      <c r="AA1056" s="102">
        <v>0.09</v>
      </c>
      <c r="AB1056" s="77"/>
      <c r="AC1056" s="78"/>
    </row>
    <row r="1057" spans="1:29" x14ac:dyDescent="0.2">
      <c r="A1057" s="117" t="s">
        <v>3698</v>
      </c>
      <c r="B1057" s="118" t="e">
        <f t="shared" si="116"/>
        <v>#VALUE!</v>
      </c>
      <c r="C1057" s="118" t="s">
        <v>612</v>
      </c>
      <c r="D1057" s="113">
        <v>40380</v>
      </c>
      <c r="E1057" s="84">
        <v>40452</v>
      </c>
      <c r="F1057" s="84">
        <f t="shared" si="117"/>
        <v>44105</v>
      </c>
      <c r="G1057" s="229">
        <v>40</v>
      </c>
      <c r="H1057" s="71" t="s">
        <v>2692</v>
      </c>
      <c r="I1057" s="71" t="s">
        <v>1147</v>
      </c>
      <c r="J1057" s="79"/>
      <c r="K1057" s="55">
        <f t="shared" si="118"/>
        <v>2020</v>
      </c>
      <c r="L1057" s="80"/>
      <c r="M1057" s="80"/>
      <c r="N1057" s="73" t="s">
        <v>3660</v>
      </c>
      <c r="O1057" s="73" t="s">
        <v>3699</v>
      </c>
      <c r="P1057" s="74"/>
      <c r="Q1057" s="75">
        <v>201007</v>
      </c>
      <c r="R1057" s="230">
        <v>285</v>
      </c>
      <c r="S1057" s="230">
        <v>760</v>
      </c>
      <c r="T1057" s="230">
        <v>1045</v>
      </c>
      <c r="U1057" s="231">
        <v>60</v>
      </c>
      <c r="V1057" s="230"/>
      <c r="W1057" s="230"/>
      <c r="X1057" s="231"/>
      <c r="Y1057" s="85"/>
      <c r="Z1057" s="101">
        <v>0.1</v>
      </c>
      <c r="AA1057" s="102">
        <v>0.09</v>
      </c>
      <c r="AB1057" s="77"/>
      <c r="AC1057" s="78"/>
    </row>
    <row r="1058" spans="1:29" x14ac:dyDescent="0.2">
      <c r="A1058" s="117" t="s">
        <v>3700</v>
      </c>
      <c r="B1058" s="118" t="e">
        <f t="shared" si="116"/>
        <v>#VALUE!</v>
      </c>
      <c r="C1058" s="118" t="s">
        <v>612</v>
      </c>
      <c r="D1058" s="113">
        <v>40380</v>
      </c>
      <c r="E1058" s="84">
        <v>40452</v>
      </c>
      <c r="F1058" s="84">
        <f t="shared" si="117"/>
        <v>44105</v>
      </c>
      <c r="G1058" s="229">
        <v>40</v>
      </c>
      <c r="H1058" s="71" t="s">
        <v>2692</v>
      </c>
      <c r="I1058" s="71" t="s">
        <v>1147</v>
      </c>
      <c r="J1058" s="79"/>
      <c r="K1058" s="55">
        <f t="shared" si="118"/>
        <v>2020</v>
      </c>
      <c r="L1058" s="80"/>
      <c r="M1058" s="80"/>
      <c r="N1058" s="73" t="s">
        <v>3660</v>
      </c>
      <c r="O1058" s="73" t="s">
        <v>3701</v>
      </c>
      <c r="P1058" s="74"/>
      <c r="Q1058" s="75">
        <v>201007</v>
      </c>
      <c r="R1058" s="230">
        <v>285</v>
      </c>
      <c r="S1058" s="230">
        <v>800</v>
      </c>
      <c r="T1058" s="230">
        <v>1085</v>
      </c>
      <c r="U1058" s="231">
        <v>60</v>
      </c>
      <c r="V1058" s="230"/>
      <c r="W1058" s="230"/>
      <c r="X1058" s="231"/>
      <c r="Y1058" s="85"/>
      <c r="Z1058" s="101">
        <v>0.1</v>
      </c>
      <c r="AA1058" s="102">
        <v>0.09</v>
      </c>
      <c r="AB1058" s="77"/>
      <c r="AC1058" s="78"/>
    </row>
    <row r="1059" spans="1:29" x14ac:dyDescent="0.2">
      <c r="A1059" s="117" t="s">
        <v>3702</v>
      </c>
      <c r="B1059" s="118" t="e">
        <f t="shared" si="116"/>
        <v>#VALUE!</v>
      </c>
      <c r="C1059" s="118" t="s">
        <v>612</v>
      </c>
      <c r="D1059" s="113">
        <v>40380</v>
      </c>
      <c r="E1059" s="84">
        <v>40452</v>
      </c>
      <c r="F1059" s="84">
        <f t="shared" si="117"/>
        <v>44105</v>
      </c>
      <c r="G1059" s="229">
        <v>40</v>
      </c>
      <c r="H1059" s="71" t="s">
        <v>2692</v>
      </c>
      <c r="I1059" s="71" t="s">
        <v>1147</v>
      </c>
      <c r="J1059" s="79"/>
      <c r="K1059" s="55">
        <f t="shared" si="118"/>
        <v>2020</v>
      </c>
      <c r="L1059" s="80"/>
      <c r="M1059" s="80"/>
      <c r="N1059" s="73" t="s">
        <v>3703</v>
      </c>
      <c r="O1059" s="73" t="s">
        <v>3704</v>
      </c>
      <c r="P1059" s="74"/>
      <c r="Q1059" s="75">
        <v>201007</v>
      </c>
      <c r="R1059" s="230">
        <v>285</v>
      </c>
      <c r="S1059" s="230">
        <v>840</v>
      </c>
      <c r="T1059" s="230">
        <v>1125</v>
      </c>
      <c r="U1059" s="231">
        <v>60</v>
      </c>
      <c r="V1059" s="230"/>
      <c r="W1059" s="230"/>
      <c r="X1059" s="231"/>
      <c r="Y1059" s="85"/>
      <c r="Z1059" s="101">
        <v>0.1</v>
      </c>
      <c r="AA1059" s="102">
        <v>0.09</v>
      </c>
      <c r="AB1059" s="77"/>
      <c r="AC1059" s="78"/>
    </row>
    <row r="1060" spans="1:29" ht="27" customHeight="1" x14ac:dyDescent="0.2">
      <c r="A1060" s="117" t="s">
        <v>3705</v>
      </c>
      <c r="B1060" s="118" t="e">
        <f t="shared" si="116"/>
        <v>#VALUE!</v>
      </c>
      <c r="C1060" s="118" t="s">
        <v>612</v>
      </c>
      <c r="D1060" s="113">
        <v>40380</v>
      </c>
      <c r="E1060" s="84">
        <v>40452</v>
      </c>
      <c r="F1060" s="84">
        <f t="shared" si="117"/>
        <v>44105</v>
      </c>
      <c r="G1060" s="229">
        <v>840</v>
      </c>
      <c r="H1060" s="71" t="s">
        <v>2692</v>
      </c>
      <c r="I1060" s="71" t="s">
        <v>1147</v>
      </c>
      <c r="J1060" s="79"/>
      <c r="K1060" s="55">
        <f t="shared" si="118"/>
        <v>2020</v>
      </c>
      <c r="L1060" s="80"/>
      <c r="M1060" s="80"/>
      <c r="N1060" s="73" t="s">
        <v>3703</v>
      </c>
      <c r="O1060" s="73" t="s">
        <v>3706</v>
      </c>
      <c r="P1060" s="74" t="s">
        <v>3707</v>
      </c>
      <c r="Q1060" s="75">
        <v>201007</v>
      </c>
      <c r="R1060" s="230">
        <v>3085</v>
      </c>
      <c r="S1060" s="230">
        <v>10080</v>
      </c>
      <c r="T1060" s="230">
        <v>13165</v>
      </c>
      <c r="U1060" s="231">
        <v>1260</v>
      </c>
      <c r="V1060" s="230"/>
      <c r="W1060" s="230"/>
      <c r="X1060" s="231"/>
      <c r="Y1060" s="85"/>
      <c r="Z1060" s="101">
        <v>0.1</v>
      </c>
      <c r="AA1060" s="102">
        <v>0.09</v>
      </c>
      <c r="AB1060" s="77"/>
      <c r="AC1060" s="78"/>
    </row>
    <row r="1061" spans="1:29" ht="27" customHeight="1" x14ac:dyDescent="0.2">
      <c r="A1061" s="117" t="s">
        <v>3708</v>
      </c>
      <c r="B1061" s="118" t="e">
        <f t="shared" si="116"/>
        <v>#VALUE!</v>
      </c>
      <c r="C1061" s="118" t="s">
        <v>612</v>
      </c>
      <c r="D1061" s="113">
        <v>40380</v>
      </c>
      <c r="E1061" s="84">
        <v>40452</v>
      </c>
      <c r="F1061" s="84">
        <f t="shared" si="117"/>
        <v>44105</v>
      </c>
      <c r="G1061" s="229">
        <v>593</v>
      </c>
      <c r="H1061" s="71" t="s">
        <v>2692</v>
      </c>
      <c r="I1061" s="71" t="s">
        <v>1147</v>
      </c>
      <c r="J1061" s="79"/>
      <c r="K1061" s="55">
        <f t="shared" si="118"/>
        <v>2020</v>
      </c>
      <c r="L1061" s="80"/>
      <c r="M1061" s="80"/>
      <c r="N1061" s="73" t="s">
        <v>3703</v>
      </c>
      <c r="O1061" s="73" t="s">
        <v>3709</v>
      </c>
      <c r="P1061" s="74" t="s">
        <v>3710</v>
      </c>
      <c r="Q1061" s="75">
        <v>201007</v>
      </c>
      <c r="R1061" s="230">
        <v>2220.5</v>
      </c>
      <c r="S1061" s="230">
        <v>3558</v>
      </c>
      <c r="T1061" s="230">
        <v>5778.5</v>
      </c>
      <c r="U1061" s="231">
        <v>899.5</v>
      </c>
      <c r="V1061" s="230"/>
      <c r="W1061" s="230"/>
      <c r="X1061" s="231"/>
      <c r="Y1061" s="85"/>
      <c r="Z1061" s="101">
        <v>0.1</v>
      </c>
      <c r="AA1061" s="102">
        <v>0.09</v>
      </c>
      <c r="AB1061" s="77"/>
      <c r="AC1061" s="78"/>
    </row>
    <row r="1062" spans="1:29" x14ac:dyDescent="0.2">
      <c r="A1062" s="117" t="s">
        <v>3711</v>
      </c>
      <c r="B1062" s="118" t="e">
        <f t="shared" si="116"/>
        <v>#VALUE!</v>
      </c>
      <c r="C1062" s="118" t="s">
        <v>612</v>
      </c>
      <c r="D1062" s="113">
        <v>40380</v>
      </c>
      <c r="E1062" s="84">
        <v>40452</v>
      </c>
      <c r="F1062" s="84">
        <f t="shared" si="117"/>
        <v>44105</v>
      </c>
      <c r="G1062" s="229">
        <v>77.08</v>
      </c>
      <c r="H1062" s="71" t="s">
        <v>2692</v>
      </c>
      <c r="I1062" s="71" t="s">
        <v>1147</v>
      </c>
      <c r="J1062" s="79"/>
      <c r="K1062" s="55">
        <f t="shared" si="118"/>
        <v>2020</v>
      </c>
      <c r="L1062" s="80"/>
      <c r="M1062" s="80"/>
      <c r="N1062" s="73" t="s">
        <v>3712</v>
      </c>
      <c r="O1062" s="73" t="s">
        <v>3713</v>
      </c>
      <c r="P1062" s="74"/>
      <c r="Q1062" s="75">
        <v>201007</v>
      </c>
      <c r="R1062" s="230">
        <v>418</v>
      </c>
      <c r="S1062" s="230">
        <v>1794</v>
      </c>
      <c r="T1062" s="230">
        <v>2212</v>
      </c>
      <c r="U1062" s="231">
        <v>117</v>
      </c>
      <c r="V1062" s="230"/>
      <c r="W1062" s="230"/>
      <c r="X1062" s="231"/>
      <c r="Y1062" s="85"/>
      <c r="Z1062" s="101">
        <v>0.1</v>
      </c>
      <c r="AA1062" s="102">
        <v>0.09</v>
      </c>
      <c r="AB1062" s="77"/>
      <c r="AC1062" s="78"/>
    </row>
    <row r="1063" spans="1:29" x14ac:dyDescent="0.2">
      <c r="A1063" s="117" t="s">
        <v>3714</v>
      </c>
      <c r="B1063" s="118" t="e">
        <f t="shared" si="116"/>
        <v>#VALUE!</v>
      </c>
      <c r="C1063" s="118" t="s">
        <v>612</v>
      </c>
      <c r="D1063" s="113">
        <v>40380</v>
      </c>
      <c r="E1063" s="84">
        <v>40452</v>
      </c>
      <c r="F1063" s="84">
        <f t="shared" si="117"/>
        <v>44105</v>
      </c>
      <c r="G1063" s="229">
        <v>240</v>
      </c>
      <c r="H1063" s="71" t="s">
        <v>2692</v>
      </c>
      <c r="I1063" s="71" t="s">
        <v>1147</v>
      </c>
      <c r="J1063" s="79"/>
      <c r="K1063" s="55">
        <f t="shared" si="118"/>
        <v>2020</v>
      </c>
      <c r="L1063" s="80"/>
      <c r="M1063" s="80"/>
      <c r="N1063" s="73" t="s">
        <v>3712</v>
      </c>
      <c r="O1063" s="73" t="s">
        <v>3715</v>
      </c>
      <c r="P1063" s="74"/>
      <c r="Q1063" s="75">
        <v>201007</v>
      </c>
      <c r="R1063" s="230">
        <v>985</v>
      </c>
      <c r="S1063" s="230">
        <v>6000</v>
      </c>
      <c r="T1063" s="230">
        <v>6985</v>
      </c>
      <c r="U1063" s="231">
        <v>360</v>
      </c>
      <c r="V1063" s="230"/>
      <c r="W1063" s="230"/>
      <c r="X1063" s="231"/>
      <c r="Y1063" s="85"/>
      <c r="Z1063" s="101">
        <v>0.1</v>
      </c>
      <c r="AA1063" s="102">
        <v>0.09</v>
      </c>
      <c r="AB1063" s="77"/>
      <c r="AC1063" s="78"/>
    </row>
    <row r="1064" spans="1:29" x14ac:dyDescent="0.2">
      <c r="A1064" s="117" t="s">
        <v>3716</v>
      </c>
      <c r="B1064" s="118" t="e">
        <f t="shared" si="116"/>
        <v>#VALUE!</v>
      </c>
      <c r="C1064" s="118" t="s">
        <v>612</v>
      </c>
      <c r="D1064" s="113">
        <v>40380</v>
      </c>
      <c r="E1064" s="84">
        <v>40452</v>
      </c>
      <c r="F1064" s="84">
        <f t="shared" si="117"/>
        <v>44105</v>
      </c>
      <c r="G1064" s="229">
        <v>115.69</v>
      </c>
      <c r="H1064" s="71" t="s">
        <v>2692</v>
      </c>
      <c r="I1064" s="71" t="s">
        <v>1147</v>
      </c>
      <c r="J1064" s="79"/>
      <c r="K1064" s="55">
        <f t="shared" si="118"/>
        <v>2020</v>
      </c>
      <c r="L1064" s="80"/>
      <c r="M1064" s="80"/>
      <c r="N1064" s="73" t="s">
        <v>3712</v>
      </c>
      <c r="O1064" s="73" t="s">
        <v>3717</v>
      </c>
      <c r="P1064" s="74"/>
      <c r="Q1064" s="75">
        <v>201007</v>
      </c>
      <c r="R1064" s="230">
        <v>551</v>
      </c>
      <c r="S1064" s="230">
        <v>1160</v>
      </c>
      <c r="T1064" s="230">
        <v>1711</v>
      </c>
      <c r="U1064" s="231">
        <v>174</v>
      </c>
      <c r="V1064" s="230"/>
      <c r="W1064" s="230"/>
      <c r="X1064" s="231"/>
      <c r="Y1064" s="85"/>
      <c r="Z1064" s="101">
        <v>0.1</v>
      </c>
      <c r="AA1064" s="102">
        <v>0.09</v>
      </c>
      <c r="AB1064" s="77"/>
      <c r="AC1064" s="78"/>
    </row>
    <row r="1065" spans="1:29" x14ac:dyDescent="0.2">
      <c r="A1065" s="117" t="s">
        <v>3718</v>
      </c>
      <c r="B1065" s="118" t="e">
        <f t="shared" si="116"/>
        <v>#VALUE!</v>
      </c>
      <c r="C1065" s="118" t="s">
        <v>612</v>
      </c>
      <c r="D1065" s="113">
        <v>40380</v>
      </c>
      <c r="E1065" s="84">
        <v>40452</v>
      </c>
      <c r="F1065" s="84">
        <f t="shared" si="117"/>
        <v>44105</v>
      </c>
      <c r="G1065" s="229">
        <v>40</v>
      </c>
      <c r="H1065" s="71" t="s">
        <v>2692</v>
      </c>
      <c r="I1065" s="71" t="s">
        <v>1147</v>
      </c>
      <c r="J1065" s="79"/>
      <c r="K1065" s="55">
        <f t="shared" si="118"/>
        <v>2020</v>
      </c>
      <c r="L1065" s="80"/>
      <c r="M1065" s="80"/>
      <c r="N1065" s="73" t="s">
        <v>3712</v>
      </c>
      <c r="O1065" s="73" t="s">
        <v>3719</v>
      </c>
      <c r="P1065" s="74"/>
      <c r="Q1065" s="75">
        <v>201007</v>
      </c>
      <c r="R1065" s="230">
        <v>285</v>
      </c>
      <c r="S1065" s="230">
        <v>800</v>
      </c>
      <c r="T1065" s="230">
        <v>1085</v>
      </c>
      <c r="U1065" s="231">
        <v>60</v>
      </c>
      <c r="V1065" s="230"/>
      <c r="W1065" s="230"/>
      <c r="X1065" s="231"/>
      <c r="Y1065" s="85"/>
      <c r="Z1065" s="101">
        <v>0.1</v>
      </c>
      <c r="AA1065" s="102">
        <v>0.09</v>
      </c>
      <c r="AB1065" s="77"/>
      <c r="AC1065" s="78"/>
    </row>
    <row r="1066" spans="1:29" x14ac:dyDescent="0.2">
      <c r="A1066" s="117" t="s">
        <v>3720</v>
      </c>
      <c r="B1066" s="118" t="e">
        <f t="shared" si="116"/>
        <v>#VALUE!</v>
      </c>
      <c r="C1066" s="118" t="s">
        <v>612</v>
      </c>
      <c r="D1066" s="113">
        <v>40380</v>
      </c>
      <c r="E1066" s="84">
        <v>40452</v>
      </c>
      <c r="F1066" s="84">
        <f t="shared" si="117"/>
        <v>44105</v>
      </c>
      <c r="G1066" s="229">
        <v>120</v>
      </c>
      <c r="H1066" s="71" t="s">
        <v>2692</v>
      </c>
      <c r="I1066" s="71" t="s">
        <v>1147</v>
      </c>
      <c r="J1066" s="79"/>
      <c r="K1066" s="55">
        <f t="shared" si="118"/>
        <v>2020</v>
      </c>
      <c r="L1066" s="80"/>
      <c r="M1066" s="80"/>
      <c r="N1066" s="73" t="s">
        <v>3712</v>
      </c>
      <c r="O1066" s="73" t="s">
        <v>3721</v>
      </c>
      <c r="P1066" s="74"/>
      <c r="Q1066" s="75">
        <v>201007</v>
      </c>
      <c r="R1066" s="230">
        <v>565</v>
      </c>
      <c r="S1066" s="230">
        <v>1080</v>
      </c>
      <c r="T1066" s="230">
        <v>1645</v>
      </c>
      <c r="U1066" s="231">
        <v>180</v>
      </c>
      <c r="V1066" s="230"/>
      <c r="W1066" s="230"/>
      <c r="X1066" s="231"/>
      <c r="Y1066" s="85"/>
      <c r="Z1066" s="101">
        <v>0.1</v>
      </c>
      <c r="AA1066" s="102">
        <v>0.09</v>
      </c>
      <c r="AB1066" s="77"/>
      <c r="AC1066" s="78"/>
    </row>
    <row r="1067" spans="1:29" x14ac:dyDescent="0.2">
      <c r="A1067" s="117" t="s">
        <v>3722</v>
      </c>
      <c r="B1067" s="118" t="e">
        <f t="shared" si="116"/>
        <v>#VALUE!</v>
      </c>
      <c r="C1067" s="118" t="s">
        <v>612</v>
      </c>
      <c r="D1067" s="113">
        <v>40380</v>
      </c>
      <c r="E1067" s="84">
        <v>40452</v>
      </c>
      <c r="F1067" s="84">
        <f t="shared" si="117"/>
        <v>44105</v>
      </c>
      <c r="G1067" s="229">
        <v>280</v>
      </c>
      <c r="H1067" s="71" t="s">
        <v>2692</v>
      </c>
      <c r="I1067" s="71" t="s">
        <v>1147</v>
      </c>
      <c r="J1067" s="79"/>
      <c r="K1067" s="55">
        <f t="shared" si="118"/>
        <v>2020</v>
      </c>
      <c r="L1067" s="80"/>
      <c r="M1067" s="80"/>
      <c r="N1067" s="73" t="s">
        <v>3712</v>
      </c>
      <c r="O1067" s="73" t="s">
        <v>3723</v>
      </c>
      <c r="P1067" s="74" t="s">
        <v>3724</v>
      </c>
      <c r="Q1067" s="75">
        <v>201007</v>
      </c>
      <c r="R1067" s="230">
        <v>1125</v>
      </c>
      <c r="S1067" s="230">
        <v>2240</v>
      </c>
      <c r="T1067" s="230">
        <v>3365</v>
      </c>
      <c r="U1067" s="231">
        <v>420</v>
      </c>
      <c r="V1067" s="230"/>
      <c r="W1067" s="230"/>
      <c r="X1067" s="231"/>
      <c r="Y1067" s="85"/>
      <c r="Z1067" s="101">
        <v>0.1</v>
      </c>
      <c r="AA1067" s="102">
        <v>0.09</v>
      </c>
      <c r="AB1067" s="77"/>
      <c r="AC1067" s="78"/>
    </row>
    <row r="1068" spans="1:29" x14ac:dyDescent="0.2">
      <c r="A1068" s="117" t="s">
        <v>3725</v>
      </c>
      <c r="B1068" s="118" t="e">
        <f t="shared" si="116"/>
        <v>#VALUE!</v>
      </c>
      <c r="C1068" s="118" t="s">
        <v>612</v>
      </c>
      <c r="D1068" s="113">
        <v>40380</v>
      </c>
      <c r="E1068" s="103">
        <v>40513</v>
      </c>
      <c r="F1068" s="84">
        <f t="shared" si="117"/>
        <v>44166</v>
      </c>
      <c r="G1068" s="229">
        <v>80</v>
      </c>
      <c r="H1068" s="71" t="s">
        <v>1540</v>
      </c>
      <c r="I1068" s="71" t="s">
        <v>1147</v>
      </c>
      <c r="J1068" s="79"/>
      <c r="K1068" s="55">
        <f t="shared" si="118"/>
        <v>2020</v>
      </c>
      <c r="L1068" s="80"/>
      <c r="M1068" s="80"/>
      <c r="N1068" s="73" t="s">
        <v>3726</v>
      </c>
      <c r="O1068" s="73" t="s">
        <v>3727</v>
      </c>
      <c r="P1068" s="74"/>
      <c r="Q1068" s="75">
        <v>201007</v>
      </c>
      <c r="R1068" s="230">
        <v>425</v>
      </c>
      <c r="S1068" s="230">
        <v>3840</v>
      </c>
      <c r="T1068" s="230">
        <v>4265</v>
      </c>
      <c r="U1068" s="231">
        <v>160</v>
      </c>
      <c r="V1068" s="230"/>
      <c r="W1068" s="230"/>
      <c r="X1068" s="231"/>
      <c r="Y1068" s="85"/>
      <c r="Z1068" s="101">
        <v>0.1</v>
      </c>
      <c r="AA1068" s="102">
        <v>0.09</v>
      </c>
      <c r="AB1068" s="77"/>
      <c r="AC1068" s="78" t="s">
        <v>3728</v>
      </c>
    </row>
    <row r="1069" spans="1:29" x14ac:dyDescent="0.2">
      <c r="A1069" s="117" t="s">
        <v>3729</v>
      </c>
      <c r="B1069" s="118" t="e">
        <f t="shared" si="116"/>
        <v>#VALUE!</v>
      </c>
      <c r="C1069" s="118" t="s">
        <v>612</v>
      </c>
      <c r="D1069" s="113">
        <v>40380</v>
      </c>
      <c r="E1069" s="84">
        <v>40452</v>
      </c>
      <c r="F1069" s="84">
        <f t="shared" si="117"/>
        <v>44105</v>
      </c>
      <c r="G1069" s="229">
        <v>80</v>
      </c>
      <c r="H1069" s="71" t="s">
        <v>1540</v>
      </c>
      <c r="I1069" s="71" t="s">
        <v>1147</v>
      </c>
      <c r="J1069" s="79"/>
      <c r="K1069" s="55">
        <f t="shared" si="118"/>
        <v>2020</v>
      </c>
      <c r="L1069" s="80"/>
      <c r="M1069" s="80"/>
      <c r="N1069" s="73" t="s">
        <v>3726</v>
      </c>
      <c r="O1069" s="73" t="s">
        <v>3730</v>
      </c>
      <c r="P1069" s="74"/>
      <c r="Q1069" s="75">
        <v>201007</v>
      </c>
      <c r="R1069" s="230">
        <v>425</v>
      </c>
      <c r="S1069" s="230">
        <v>3840</v>
      </c>
      <c r="T1069" s="230">
        <v>4265</v>
      </c>
      <c r="U1069" s="231">
        <v>120</v>
      </c>
      <c r="V1069" s="230"/>
      <c r="W1069" s="230"/>
      <c r="X1069" s="231"/>
      <c r="Y1069" s="85"/>
      <c r="Z1069" s="101">
        <v>0.1</v>
      </c>
      <c r="AA1069" s="102">
        <v>0.09</v>
      </c>
      <c r="AB1069" s="77"/>
      <c r="AC1069" s="78" t="s">
        <v>3731</v>
      </c>
    </row>
    <row r="1070" spans="1:29" x14ac:dyDescent="0.2">
      <c r="A1070" s="117" t="s">
        <v>3732</v>
      </c>
      <c r="B1070" s="118" t="e">
        <f t="shared" si="116"/>
        <v>#VALUE!</v>
      </c>
      <c r="C1070" s="118" t="s">
        <v>612</v>
      </c>
      <c r="D1070" s="113">
        <v>40380</v>
      </c>
      <c r="E1070" s="84">
        <v>40452</v>
      </c>
      <c r="F1070" s="84">
        <f t="shared" si="117"/>
        <v>44105</v>
      </c>
      <c r="G1070" s="229">
        <v>80</v>
      </c>
      <c r="H1070" s="71" t="s">
        <v>1540</v>
      </c>
      <c r="I1070" s="71" t="s">
        <v>1147</v>
      </c>
      <c r="J1070" s="79"/>
      <c r="K1070" s="55">
        <f t="shared" si="118"/>
        <v>2020</v>
      </c>
      <c r="L1070" s="80"/>
      <c r="M1070" s="80"/>
      <c r="N1070" s="73" t="s">
        <v>3726</v>
      </c>
      <c r="O1070" s="73" t="s">
        <v>3733</v>
      </c>
      <c r="P1070" s="74"/>
      <c r="Q1070" s="75">
        <v>201007</v>
      </c>
      <c r="R1070" s="230">
        <v>425</v>
      </c>
      <c r="S1070" s="230">
        <v>3840</v>
      </c>
      <c r="T1070" s="230">
        <v>4265</v>
      </c>
      <c r="U1070" s="231">
        <v>120</v>
      </c>
      <c r="V1070" s="230"/>
      <c r="W1070" s="230"/>
      <c r="X1070" s="231"/>
      <c r="Y1070" s="85"/>
      <c r="Z1070" s="101">
        <v>0.1</v>
      </c>
      <c r="AA1070" s="102">
        <v>0.09</v>
      </c>
      <c r="AB1070" s="77"/>
      <c r="AC1070" s="78" t="s">
        <v>3734</v>
      </c>
    </row>
    <row r="1071" spans="1:29" x14ac:dyDescent="0.2">
      <c r="A1071" s="117" t="s">
        <v>3735</v>
      </c>
      <c r="B1071" s="118" t="e">
        <f t="shared" si="116"/>
        <v>#VALUE!</v>
      </c>
      <c r="C1071" s="118" t="s">
        <v>612</v>
      </c>
      <c r="D1071" s="113">
        <v>40380</v>
      </c>
      <c r="E1071" s="84">
        <v>40452</v>
      </c>
      <c r="F1071" s="84">
        <f t="shared" si="117"/>
        <v>44105</v>
      </c>
      <c r="G1071" s="229">
        <v>120</v>
      </c>
      <c r="H1071" s="71" t="s">
        <v>1540</v>
      </c>
      <c r="I1071" s="71" t="s">
        <v>1147</v>
      </c>
      <c r="J1071" s="79"/>
      <c r="K1071" s="55">
        <f t="shared" si="118"/>
        <v>2020</v>
      </c>
      <c r="L1071" s="80"/>
      <c r="M1071" s="80"/>
      <c r="N1071" s="73" t="s">
        <v>3726</v>
      </c>
      <c r="O1071" s="73" t="s">
        <v>3736</v>
      </c>
      <c r="P1071" s="74"/>
      <c r="Q1071" s="75">
        <v>201007</v>
      </c>
      <c r="R1071" s="230">
        <v>565</v>
      </c>
      <c r="S1071" s="230">
        <v>5760</v>
      </c>
      <c r="T1071" s="230">
        <v>6325</v>
      </c>
      <c r="U1071" s="231">
        <v>180</v>
      </c>
      <c r="V1071" s="230"/>
      <c r="W1071" s="230"/>
      <c r="X1071" s="231"/>
      <c r="Y1071" s="85"/>
      <c r="Z1071" s="101">
        <v>0.1</v>
      </c>
      <c r="AA1071" s="102">
        <v>0.09</v>
      </c>
      <c r="AB1071" s="77"/>
      <c r="AC1071" s="78" t="s">
        <v>3737</v>
      </c>
    </row>
    <row r="1072" spans="1:29" x14ac:dyDescent="0.2">
      <c r="A1072" s="117" t="s">
        <v>3738</v>
      </c>
      <c r="B1072" s="118" t="e">
        <f t="shared" si="116"/>
        <v>#VALUE!</v>
      </c>
      <c r="C1072" s="118" t="s">
        <v>612</v>
      </c>
      <c r="D1072" s="113">
        <v>40380</v>
      </c>
      <c r="E1072" s="84">
        <v>40452</v>
      </c>
      <c r="F1072" s="84">
        <f t="shared" si="117"/>
        <v>44105</v>
      </c>
      <c r="G1072" s="229">
        <v>40</v>
      </c>
      <c r="H1072" s="71" t="s">
        <v>2692</v>
      </c>
      <c r="I1072" s="71" t="s">
        <v>1147</v>
      </c>
      <c r="J1072" s="79"/>
      <c r="K1072" s="55">
        <f t="shared" si="118"/>
        <v>2020</v>
      </c>
      <c r="L1072" s="80"/>
      <c r="M1072" s="80"/>
      <c r="N1072" s="73" t="s">
        <v>3739</v>
      </c>
      <c r="O1072" s="73" t="s">
        <v>3740</v>
      </c>
      <c r="P1072" s="74"/>
      <c r="Q1072" s="75">
        <v>201007</v>
      </c>
      <c r="R1072" s="230">
        <v>285</v>
      </c>
      <c r="S1072" s="230">
        <v>760</v>
      </c>
      <c r="T1072" s="230">
        <v>1045</v>
      </c>
      <c r="U1072" s="231">
        <v>60</v>
      </c>
      <c r="V1072" s="230"/>
      <c r="W1072" s="230"/>
      <c r="X1072" s="231"/>
      <c r="Y1072" s="85"/>
      <c r="Z1072" s="101">
        <v>0.1</v>
      </c>
      <c r="AA1072" s="102">
        <v>0.09</v>
      </c>
      <c r="AB1072" s="77"/>
      <c r="AC1072" s="78"/>
    </row>
    <row r="1073" spans="1:29" x14ac:dyDescent="0.2">
      <c r="A1073" s="117" t="s">
        <v>3741</v>
      </c>
      <c r="B1073" s="118" t="e">
        <f t="shared" si="116"/>
        <v>#VALUE!</v>
      </c>
      <c r="C1073" s="118" t="s">
        <v>612</v>
      </c>
      <c r="D1073" s="113">
        <v>40380</v>
      </c>
      <c r="E1073" s="84">
        <v>40452</v>
      </c>
      <c r="F1073" s="84">
        <f t="shared" si="117"/>
        <v>44105</v>
      </c>
      <c r="G1073" s="229">
        <v>240</v>
      </c>
      <c r="H1073" s="71" t="s">
        <v>2692</v>
      </c>
      <c r="I1073" s="71" t="s">
        <v>1147</v>
      </c>
      <c r="J1073" s="79"/>
      <c r="K1073" s="55">
        <f t="shared" si="118"/>
        <v>2020</v>
      </c>
      <c r="L1073" s="80"/>
      <c r="M1073" s="80"/>
      <c r="N1073" s="73" t="s">
        <v>3742</v>
      </c>
      <c r="O1073" s="73" t="s">
        <v>3743</v>
      </c>
      <c r="P1073" s="74"/>
      <c r="Q1073" s="75">
        <v>201007</v>
      </c>
      <c r="R1073" s="230">
        <v>985</v>
      </c>
      <c r="S1073" s="230">
        <v>9600</v>
      </c>
      <c r="T1073" s="230">
        <v>10585</v>
      </c>
      <c r="U1073" s="231">
        <v>360</v>
      </c>
      <c r="V1073" s="230"/>
      <c r="W1073" s="230"/>
      <c r="X1073" s="231"/>
      <c r="Y1073" s="85"/>
      <c r="Z1073" s="101">
        <v>0.1</v>
      </c>
      <c r="AA1073" s="102">
        <v>0.09</v>
      </c>
      <c r="AB1073" s="77"/>
      <c r="AC1073" s="78"/>
    </row>
    <row r="1074" spans="1:29" x14ac:dyDescent="0.2">
      <c r="A1074" s="117" t="s">
        <v>3744</v>
      </c>
      <c r="B1074" s="118" t="e">
        <f t="shared" si="116"/>
        <v>#VALUE!</v>
      </c>
      <c r="C1074" s="118" t="s">
        <v>612</v>
      </c>
      <c r="D1074" s="113">
        <v>40380</v>
      </c>
      <c r="E1074" s="84">
        <v>40452</v>
      </c>
      <c r="F1074" s="84">
        <f t="shared" si="117"/>
        <v>44105</v>
      </c>
      <c r="G1074" s="229">
        <v>80</v>
      </c>
      <c r="H1074" s="71" t="s">
        <v>2692</v>
      </c>
      <c r="I1074" s="71" t="s">
        <v>1147</v>
      </c>
      <c r="J1074" s="79"/>
      <c r="K1074" s="55">
        <f t="shared" si="118"/>
        <v>2020</v>
      </c>
      <c r="L1074" s="80"/>
      <c r="M1074" s="80"/>
      <c r="N1074" s="73" t="s">
        <v>3745</v>
      </c>
      <c r="O1074" s="73" t="s">
        <v>3746</v>
      </c>
      <c r="P1074" s="74"/>
      <c r="Q1074" s="75">
        <v>201007</v>
      </c>
      <c r="R1074" s="230">
        <v>425</v>
      </c>
      <c r="S1074" s="230">
        <v>1040</v>
      </c>
      <c r="T1074" s="230">
        <v>1465</v>
      </c>
      <c r="U1074" s="231">
        <v>120</v>
      </c>
      <c r="V1074" s="230"/>
      <c r="W1074" s="230"/>
      <c r="X1074" s="231"/>
      <c r="Y1074" s="85"/>
      <c r="Z1074" s="101">
        <v>0.1</v>
      </c>
      <c r="AA1074" s="102">
        <v>0.09</v>
      </c>
      <c r="AB1074" s="77"/>
      <c r="AC1074" s="78"/>
    </row>
    <row r="1075" spans="1:29" x14ac:dyDescent="0.2">
      <c r="A1075" s="117" t="s">
        <v>3747</v>
      </c>
      <c r="B1075" s="118" t="e">
        <f t="shared" si="116"/>
        <v>#VALUE!</v>
      </c>
      <c r="C1075" s="118" t="s">
        <v>612</v>
      </c>
      <c r="D1075" s="113">
        <v>40380</v>
      </c>
      <c r="E1075" s="84">
        <v>40452</v>
      </c>
      <c r="F1075" s="84">
        <f t="shared" si="117"/>
        <v>44105</v>
      </c>
      <c r="G1075" s="229">
        <v>160</v>
      </c>
      <c r="H1075" s="71" t="s">
        <v>2692</v>
      </c>
      <c r="I1075" s="71" t="s">
        <v>1147</v>
      </c>
      <c r="J1075" s="79"/>
      <c r="K1075" s="55">
        <f t="shared" si="118"/>
        <v>2020</v>
      </c>
      <c r="L1075" s="80"/>
      <c r="M1075" s="80"/>
      <c r="N1075" s="73" t="s">
        <v>3745</v>
      </c>
      <c r="O1075" s="73" t="s">
        <v>3748</v>
      </c>
      <c r="P1075" s="74"/>
      <c r="Q1075" s="75">
        <v>201007</v>
      </c>
      <c r="R1075" s="230">
        <v>705</v>
      </c>
      <c r="S1075" s="230">
        <v>2080</v>
      </c>
      <c r="T1075" s="230">
        <v>2785</v>
      </c>
      <c r="U1075" s="231">
        <v>240</v>
      </c>
      <c r="V1075" s="230"/>
      <c r="W1075" s="230"/>
      <c r="X1075" s="231"/>
      <c r="Y1075" s="85"/>
      <c r="Z1075" s="101">
        <v>0.1</v>
      </c>
      <c r="AA1075" s="102">
        <v>0.09</v>
      </c>
      <c r="AB1075" s="77"/>
      <c r="AC1075" s="78"/>
    </row>
    <row r="1076" spans="1:29" x14ac:dyDescent="0.2">
      <c r="A1076" s="117" t="s">
        <v>3749</v>
      </c>
      <c r="B1076" s="118" t="e">
        <f t="shared" si="116"/>
        <v>#VALUE!</v>
      </c>
      <c r="C1076" s="118" t="s">
        <v>612</v>
      </c>
      <c r="D1076" s="113">
        <v>40380</v>
      </c>
      <c r="E1076" s="84">
        <v>40452</v>
      </c>
      <c r="F1076" s="84">
        <f t="shared" si="117"/>
        <v>44105</v>
      </c>
      <c r="G1076" s="229">
        <v>160</v>
      </c>
      <c r="H1076" s="71" t="s">
        <v>2692</v>
      </c>
      <c r="I1076" s="71" t="s">
        <v>1147</v>
      </c>
      <c r="J1076" s="79"/>
      <c r="K1076" s="55">
        <f t="shared" si="118"/>
        <v>2020</v>
      </c>
      <c r="L1076" s="80"/>
      <c r="M1076" s="80"/>
      <c r="N1076" s="73" t="s">
        <v>3745</v>
      </c>
      <c r="O1076" s="73" t="s">
        <v>3750</v>
      </c>
      <c r="P1076" s="74"/>
      <c r="Q1076" s="75">
        <v>201007</v>
      </c>
      <c r="R1076" s="230">
        <v>705</v>
      </c>
      <c r="S1076" s="230">
        <v>1600</v>
      </c>
      <c r="T1076" s="230">
        <v>2305</v>
      </c>
      <c r="U1076" s="231">
        <v>240</v>
      </c>
      <c r="V1076" s="230"/>
      <c r="W1076" s="230"/>
      <c r="X1076" s="231"/>
      <c r="Y1076" s="85"/>
      <c r="Z1076" s="101">
        <v>0.1</v>
      </c>
      <c r="AA1076" s="102">
        <v>0.09</v>
      </c>
      <c r="AB1076" s="77"/>
      <c r="AC1076" s="78"/>
    </row>
    <row r="1077" spans="1:29" x14ac:dyDescent="0.2">
      <c r="A1077" s="117" t="s">
        <v>3751</v>
      </c>
      <c r="B1077" s="118" t="e">
        <f t="shared" si="116"/>
        <v>#VALUE!</v>
      </c>
      <c r="C1077" s="118" t="s">
        <v>612</v>
      </c>
      <c r="D1077" s="113">
        <v>40380</v>
      </c>
      <c r="E1077" s="84">
        <v>40452</v>
      </c>
      <c r="F1077" s="84">
        <f t="shared" si="117"/>
        <v>44105</v>
      </c>
      <c r="G1077" s="229">
        <v>80</v>
      </c>
      <c r="H1077" s="71" t="s">
        <v>2692</v>
      </c>
      <c r="I1077" s="71" t="s">
        <v>1147</v>
      </c>
      <c r="J1077" s="79"/>
      <c r="K1077" s="55">
        <f t="shared" si="118"/>
        <v>2020</v>
      </c>
      <c r="L1077" s="80"/>
      <c r="M1077" s="80"/>
      <c r="N1077" s="73" t="s">
        <v>3745</v>
      </c>
      <c r="O1077" s="73" t="s">
        <v>3752</v>
      </c>
      <c r="P1077" s="74"/>
      <c r="Q1077" s="75">
        <v>201007</v>
      </c>
      <c r="R1077" s="230">
        <v>425</v>
      </c>
      <c r="S1077" s="230">
        <v>2080</v>
      </c>
      <c r="T1077" s="230">
        <v>2505</v>
      </c>
      <c r="U1077" s="231">
        <v>120</v>
      </c>
      <c r="V1077" s="230"/>
      <c r="W1077" s="230"/>
      <c r="X1077" s="231"/>
      <c r="Y1077" s="85"/>
      <c r="Z1077" s="101">
        <v>0.1</v>
      </c>
      <c r="AA1077" s="102">
        <v>0.09</v>
      </c>
      <c r="AB1077" s="77"/>
      <c r="AC1077" s="78"/>
    </row>
    <row r="1078" spans="1:29" x14ac:dyDescent="0.2">
      <c r="A1078" s="117" t="s">
        <v>3753</v>
      </c>
      <c r="B1078" s="118" t="e">
        <f t="shared" si="116"/>
        <v>#VALUE!</v>
      </c>
      <c r="C1078" s="118" t="s">
        <v>612</v>
      </c>
      <c r="D1078" s="113">
        <v>40380</v>
      </c>
      <c r="E1078" s="84">
        <v>40452</v>
      </c>
      <c r="F1078" s="84">
        <f t="shared" si="117"/>
        <v>44105</v>
      </c>
      <c r="G1078" s="229">
        <v>156.22999999999999</v>
      </c>
      <c r="H1078" s="71" t="s">
        <v>2692</v>
      </c>
      <c r="I1078" s="71" t="s">
        <v>1147</v>
      </c>
      <c r="J1078" s="79"/>
      <c r="K1078" s="55">
        <f t="shared" si="118"/>
        <v>2020</v>
      </c>
      <c r="L1078" s="80"/>
      <c r="M1078" s="80"/>
      <c r="N1078" s="73" t="s">
        <v>3745</v>
      </c>
      <c r="O1078" s="73" t="s">
        <v>3754</v>
      </c>
      <c r="P1078" s="74"/>
      <c r="Q1078" s="75">
        <v>201007</v>
      </c>
      <c r="R1078" s="230">
        <v>694.5</v>
      </c>
      <c r="S1078" s="230">
        <v>3454</v>
      </c>
      <c r="T1078" s="230">
        <v>4148.5</v>
      </c>
      <c r="U1078" s="231">
        <v>235.5</v>
      </c>
      <c r="V1078" s="230"/>
      <c r="W1078" s="230"/>
      <c r="X1078" s="231"/>
      <c r="Y1078" s="85"/>
      <c r="Z1078" s="101">
        <v>0.1</v>
      </c>
      <c r="AA1078" s="102">
        <v>0.09</v>
      </c>
      <c r="AB1078" s="77"/>
      <c r="AC1078" s="78"/>
    </row>
    <row r="1079" spans="1:29" x14ac:dyDescent="0.2">
      <c r="A1079" s="117" t="s">
        <v>3755</v>
      </c>
      <c r="B1079" s="118" t="e">
        <f t="shared" si="116"/>
        <v>#VALUE!</v>
      </c>
      <c r="C1079" s="118" t="s">
        <v>612</v>
      </c>
      <c r="D1079" s="113">
        <v>40380</v>
      </c>
      <c r="E1079" s="84">
        <v>40452</v>
      </c>
      <c r="F1079" s="84">
        <f t="shared" si="117"/>
        <v>44105</v>
      </c>
      <c r="G1079" s="229">
        <v>80</v>
      </c>
      <c r="H1079" s="71" t="s">
        <v>2692</v>
      </c>
      <c r="I1079" s="71" t="s">
        <v>1147</v>
      </c>
      <c r="J1079" s="79"/>
      <c r="K1079" s="55">
        <f t="shared" si="118"/>
        <v>2020</v>
      </c>
      <c r="L1079" s="80"/>
      <c r="M1079" s="80"/>
      <c r="N1079" s="73" t="s">
        <v>3745</v>
      </c>
      <c r="O1079" s="73" t="s">
        <v>3756</v>
      </c>
      <c r="P1079" s="74"/>
      <c r="Q1079" s="75">
        <v>201007</v>
      </c>
      <c r="R1079" s="230">
        <v>425</v>
      </c>
      <c r="S1079" s="230">
        <v>2080</v>
      </c>
      <c r="T1079" s="230">
        <v>2505</v>
      </c>
      <c r="U1079" s="231">
        <v>120</v>
      </c>
      <c r="V1079" s="230"/>
      <c r="W1079" s="230"/>
      <c r="X1079" s="231"/>
      <c r="Y1079" s="85"/>
      <c r="Z1079" s="101">
        <v>0.1</v>
      </c>
      <c r="AA1079" s="102">
        <v>0.09</v>
      </c>
      <c r="AB1079" s="77"/>
      <c r="AC1079" s="78"/>
    </row>
    <row r="1080" spans="1:29" x14ac:dyDescent="0.2">
      <c r="A1080" s="117" t="s">
        <v>3757</v>
      </c>
      <c r="B1080" s="118" t="e">
        <f t="shared" si="116"/>
        <v>#VALUE!</v>
      </c>
      <c r="C1080" s="118" t="s">
        <v>612</v>
      </c>
      <c r="D1080" s="113">
        <v>40380</v>
      </c>
      <c r="E1080" s="84">
        <v>40452</v>
      </c>
      <c r="F1080" s="84">
        <f t="shared" si="117"/>
        <v>44105</v>
      </c>
      <c r="G1080" s="229">
        <v>160</v>
      </c>
      <c r="H1080" s="71" t="s">
        <v>2692</v>
      </c>
      <c r="I1080" s="71" t="s">
        <v>1147</v>
      </c>
      <c r="J1080" s="79"/>
      <c r="K1080" s="55">
        <f t="shared" si="118"/>
        <v>2020</v>
      </c>
      <c r="L1080" s="80"/>
      <c r="M1080" s="80"/>
      <c r="N1080" s="73" t="s">
        <v>3745</v>
      </c>
      <c r="O1080" s="73" t="s">
        <v>3758</v>
      </c>
      <c r="P1080" s="74"/>
      <c r="Q1080" s="75">
        <v>201007</v>
      </c>
      <c r="R1080" s="230">
        <v>705</v>
      </c>
      <c r="S1080" s="230">
        <v>4160</v>
      </c>
      <c r="T1080" s="230">
        <v>4865</v>
      </c>
      <c r="U1080" s="231">
        <v>240</v>
      </c>
      <c r="V1080" s="230"/>
      <c r="W1080" s="230"/>
      <c r="X1080" s="231"/>
      <c r="Y1080" s="85"/>
      <c r="Z1080" s="101">
        <v>0.1</v>
      </c>
      <c r="AA1080" s="102">
        <v>0.09</v>
      </c>
      <c r="AB1080" s="77"/>
      <c r="AC1080" s="78"/>
    </row>
    <row r="1081" spans="1:29" ht="40" customHeight="1" x14ac:dyDescent="0.2">
      <c r="A1081" s="117" t="s">
        <v>3759</v>
      </c>
      <c r="B1081" s="118" t="e">
        <f t="shared" si="116"/>
        <v>#VALUE!</v>
      </c>
      <c r="C1081" s="118" t="s">
        <v>612</v>
      </c>
      <c r="D1081" s="113">
        <v>40380</v>
      </c>
      <c r="E1081" s="84">
        <v>40452</v>
      </c>
      <c r="F1081" s="84">
        <f t="shared" si="117"/>
        <v>44105</v>
      </c>
      <c r="G1081" s="229">
        <v>1580.74</v>
      </c>
      <c r="H1081" s="71" t="s">
        <v>2692</v>
      </c>
      <c r="I1081" s="71" t="s">
        <v>1147</v>
      </c>
      <c r="J1081" s="79"/>
      <c r="K1081" s="55">
        <f t="shared" si="118"/>
        <v>2020</v>
      </c>
      <c r="L1081" s="80"/>
      <c r="M1081" s="80"/>
      <c r="N1081" s="73" t="s">
        <v>3760</v>
      </c>
      <c r="O1081" s="73" t="s">
        <v>3761</v>
      </c>
      <c r="P1081" s="74" t="s">
        <v>3762</v>
      </c>
      <c r="Q1081" s="75">
        <v>201007</v>
      </c>
      <c r="R1081" s="230">
        <v>5678.5</v>
      </c>
      <c r="S1081" s="230">
        <v>37944</v>
      </c>
      <c r="T1081" s="230">
        <v>43622.5</v>
      </c>
      <c r="U1081" s="231">
        <v>2371.5</v>
      </c>
      <c r="V1081" s="230"/>
      <c r="W1081" s="230"/>
      <c r="X1081" s="231"/>
      <c r="Y1081" s="85"/>
      <c r="Z1081" s="101">
        <v>0.1</v>
      </c>
      <c r="AA1081" s="102">
        <v>0.09</v>
      </c>
      <c r="AB1081" s="77"/>
      <c r="AC1081" s="78"/>
    </row>
    <row r="1082" spans="1:29" ht="29" x14ac:dyDescent="0.2">
      <c r="A1082" s="117" t="s">
        <v>3763</v>
      </c>
      <c r="B1082" s="118" t="e">
        <f t="shared" si="116"/>
        <v>#VALUE!</v>
      </c>
      <c r="C1082" s="118" t="s">
        <v>612</v>
      </c>
      <c r="D1082" s="113">
        <v>40380</v>
      </c>
      <c r="E1082" s="84">
        <v>40452</v>
      </c>
      <c r="F1082" s="84">
        <f t="shared" si="117"/>
        <v>44105</v>
      </c>
      <c r="G1082" s="229">
        <v>674.54</v>
      </c>
      <c r="H1082" s="71" t="s">
        <v>2692</v>
      </c>
      <c r="I1082" s="71" t="s">
        <v>1147</v>
      </c>
      <c r="J1082" s="79"/>
      <c r="K1082" s="55">
        <f t="shared" si="118"/>
        <v>2020</v>
      </c>
      <c r="L1082" s="80"/>
      <c r="M1082" s="80"/>
      <c r="N1082" s="73" t="s">
        <v>3760</v>
      </c>
      <c r="O1082" s="73" t="s">
        <v>3764</v>
      </c>
      <c r="P1082" s="74" t="s">
        <v>3765</v>
      </c>
      <c r="Q1082" s="75">
        <v>201007</v>
      </c>
      <c r="R1082" s="230">
        <v>2507.5</v>
      </c>
      <c r="S1082" s="230">
        <v>16200</v>
      </c>
      <c r="T1082" s="230">
        <v>18707.5</v>
      </c>
      <c r="U1082" s="231">
        <v>1012.5</v>
      </c>
      <c r="V1082" s="230"/>
      <c r="W1082" s="230"/>
      <c r="X1082" s="231"/>
      <c r="Y1082" s="85"/>
      <c r="Z1082" s="101">
        <v>0.1</v>
      </c>
      <c r="AA1082" s="102">
        <v>0.09</v>
      </c>
      <c r="AB1082" s="77"/>
      <c r="AC1082" s="78"/>
    </row>
    <row r="1083" spans="1:29" x14ac:dyDescent="0.2">
      <c r="A1083" s="117" t="s">
        <v>3766</v>
      </c>
      <c r="B1083" s="118" t="e">
        <f t="shared" ref="B1083:B1091" si="119">IF(COUNTIF(GIS,A1083),"YES","NO")</f>
        <v>#VALUE!</v>
      </c>
      <c r="C1083" s="118" t="s">
        <v>612</v>
      </c>
      <c r="D1083" s="113">
        <v>40380</v>
      </c>
      <c r="E1083" s="84">
        <v>40452</v>
      </c>
      <c r="F1083" s="84">
        <f t="shared" ref="F1083:F1091" si="120">DATE(YEAR(E1083)+10,MONTH(E1083),DAY(E1083))</f>
        <v>44105</v>
      </c>
      <c r="G1083" s="229">
        <v>477.98</v>
      </c>
      <c r="H1083" s="71" t="s">
        <v>1200</v>
      </c>
      <c r="I1083" s="71" t="s">
        <v>1147</v>
      </c>
      <c r="J1083" s="79"/>
      <c r="K1083" s="55">
        <f t="shared" ref="K1083:K1091" si="121">YEAR(F1083)</f>
        <v>2020</v>
      </c>
      <c r="L1083" s="80"/>
      <c r="M1083" s="80"/>
      <c r="N1083" s="73" t="s">
        <v>3767</v>
      </c>
      <c r="O1083" s="73" t="s">
        <v>3768</v>
      </c>
      <c r="P1083" s="74"/>
      <c r="Q1083" s="75">
        <v>201007</v>
      </c>
      <c r="R1083" s="230">
        <v>1818</v>
      </c>
      <c r="S1083" s="230">
        <v>3824</v>
      </c>
      <c r="T1083" s="230">
        <v>5642</v>
      </c>
      <c r="U1083" s="231">
        <v>717</v>
      </c>
      <c r="V1083" s="230"/>
      <c r="W1083" s="230"/>
      <c r="X1083" s="231"/>
      <c r="Y1083" s="85"/>
      <c r="Z1083" s="101">
        <v>0.1</v>
      </c>
      <c r="AA1083" s="102">
        <v>0.09</v>
      </c>
      <c r="AB1083" s="77"/>
      <c r="AC1083" s="78"/>
    </row>
    <row r="1084" spans="1:29" x14ac:dyDescent="0.2">
      <c r="A1084" s="117" t="s">
        <v>3769</v>
      </c>
      <c r="B1084" s="118" t="e">
        <f t="shared" si="119"/>
        <v>#VALUE!</v>
      </c>
      <c r="C1084" s="118" t="s">
        <v>612</v>
      </c>
      <c r="D1084" s="113">
        <v>40380</v>
      </c>
      <c r="E1084" s="84">
        <v>40452</v>
      </c>
      <c r="F1084" s="84">
        <f t="shared" si="120"/>
        <v>44105</v>
      </c>
      <c r="G1084" s="229">
        <v>251.82</v>
      </c>
      <c r="H1084" s="71" t="s">
        <v>1200</v>
      </c>
      <c r="I1084" s="71" t="s">
        <v>1147</v>
      </c>
      <c r="J1084" s="79"/>
      <c r="K1084" s="55">
        <f t="shared" si="121"/>
        <v>2020</v>
      </c>
      <c r="L1084" s="80"/>
      <c r="M1084" s="80"/>
      <c r="N1084" s="73" t="s">
        <v>3770</v>
      </c>
      <c r="O1084" s="73" t="s">
        <v>3771</v>
      </c>
      <c r="P1084" s="74"/>
      <c r="Q1084" s="75">
        <v>201007</v>
      </c>
      <c r="R1084" s="230">
        <v>1027</v>
      </c>
      <c r="S1084" s="230">
        <v>34776</v>
      </c>
      <c r="T1084" s="230">
        <v>35803</v>
      </c>
      <c r="U1084" s="231">
        <v>378</v>
      </c>
      <c r="V1084" s="230"/>
      <c r="W1084" s="230"/>
      <c r="X1084" s="231"/>
      <c r="Y1084" s="85"/>
      <c r="Z1084" s="101">
        <v>0.1</v>
      </c>
      <c r="AA1084" s="102">
        <v>0.09</v>
      </c>
      <c r="AB1084" s="77"/>
      <c r="AC1084" s="78"/>
    </row>
    <row r="1085" spans="1:29" x14ac:dyDescent="0.2">
      <c r="A1085" s="117" t="s">
        <v>3772</v>
      </c>
      <c r="B1085" s="118" t="e">
        <f t="shared" si="119"/>
        <v>#VALUE!</v>
      </c>
      <c r="C1085" s="118" t="s">
        <v>612</v>
      </c>
      <c r="D1085" s="113">
        <v>40380</v>
      </c>
      <c r="E1085" s="103">
        <v>40513</v>
      </c>
      <c r="F1085" s="84">
        <f t="shared" si="120"/>
        <v>44166</v>
      </c>
      <c r="G1085" s="229">
        <v>40</v>
      </c>
      <c r="H1085" s="71" t="s">
        <v>1200</v>
      </c>
      <c r="I1085" s="71" t="s">
        <v>1147</v>
      </c>
      <c r="J1085" s="79"/>
      <c r="K1085" s="55">
        <f t="shared" si="121"/>
        <v>2020</v>
      </c>
      <c r="L1085" s="80"/>
      <c r="M1085" s="80"/>
      <c r="N1085" s="73" t="s">
        <v>3770</v>
      </c>
      <c r="O1085" s="104" t="s">
        <v>3773</v>
      </c>
      <c r="P1085" s="74"/>
      <c r="Q1085" s="75">
        <v>201007</v>
      </c>
      <c r="R1085" s="230">
        <v>285</v>
      </c>
      <c r="S1085" s="230">
        <v>0</v>
      </c>
      <c r="T1085" s="230">
        <v>285</v>
      </c>
      <c r="U1085" s="231">
        <v>80</v>
      </c>
      <c r="V1085" s="230"/>
      <c r="W1085" s="230"/>
      <c r="X1085" s="231"/>
      <c r="Y1085" s="85"/>
      <c r="Z1085" s="101">
        <v>0.1</v>
      </c>
      <c r="AA1085" s="102">
        <v>0.09</v>
      </c>
      <c r="AB1085" s="77"/>
      <c r="AC1085" s="78"/>
    </row>
    <row r="1086" spans="1:29" ht="27" customHeight="1" x14ac:dyDescent="0.2">
      <c r="A1086" s="117" t="s">
        <v>3774</v>
      </c>
      <c r="B1086" s="118" t="e">
        <f t="shared" si="119"/>
        <v>#VALUE!</v>
      </c>
      <c r="C1086" s="118" t="s">
        <v>612</v>
      </c>
      <c r="D1086" s="113">
        <v>40380</v>
      </c>
      <c r="E1086" s="84">
        <v>40452</v>
      </c>
      <c r="F1086" s="84">
        <f t="shared" si="120"/>
        <v>44105</v>
      </c>
      <c r="G1086" s="229">
        <v>680</v>
      </c>
      <c r="H1086" s="71" t="s">
        <v>2692</v>
      </c>
      <c r="I1086" s="71" t="s">
        <v>1147</v>
      </c>
      <c r="J1086" s="79"/>
      <c r="K1086" s="55">
        <f t="shared" si="121"/>
        <v>2020</v>
      </c>
      <c r="L1086" s="80"/>
      <c r="M1086" s="80"/>
      <c r="N1086" s="73" t="s">
        <v>3660</v>
      </c>
      <c r="O1086" s="73" t="s">
        <v>3775</v>
      </c>
      <c r="P1086" s="74" t="s">
        <v>3776</v>
      </c>
      <c r="Q1086" s="75">
        <v>201007</v>
      </c>
      <c r="R1086" s="230">
        <v>2525</v>
      </c>
      <c r="S1086" s="230">
        <v>14960</v>
      </c>
      <c r="T1086" s="230">
        <v>17485</v>
      </c>
      <c r="U1086" s="231">
        <v>1020</v>
      </c>
      <c r="V1086" s="230"/>
      <c r="W1086" s="230"/>
      <c r="X1086" s="231"/>
      <c r="Y1086" s="85"/>
      <c r="Z1086" s="101">
        <v>0.1</v>
      </c>
      <c r="AA1086" s="102">
        <v>0.09</v>
      </c>
      <c r="AB1086" s="77"/>
      <c r="AC1086" s="78"/>
    </row>
    <row r="1087" spans="1:29" x14ac:dyDescent="0.2">
      <c r="A1087" s="117" t="s">
        <v>3777</v>
      </c>
      <c r="B1087" s="118" t="e">
        <f t="shared" si="119"/>
        <v>#VALUE!</v>
      </c>
      <c r="C1087" s="118" t="s">
        <v>612</v>
      </c>
      <c r="D1087" s="113">
        <v>40380</v>
      </c>
      <c r="E1087" s="84">
        <v>40452</v>
      </c>
      <c r="F1087" s="84">
        <f t="shared" si="120"/>
        <v>44105</v>
      </c>
      <c r="G1087" s="229">
        <v>200</v>
      </c>
      <c r="H1087" s="71" t="s">
        <v>2692</v>
      </c>
      <c r="I1087" s="71" t="s">
        <v>1147</v>
      </c>
      <c r="J1087" s="79"/>
      <c r="K1087" s="55">
        <f t="shared" si="121"/>
        <v>2020</v>
      </c>
      <c r="L1087" s="80"/>
      <c r="M1087" s="80"/>
      <c r="N1087" s="73" t="s">
        <v>3660</v>
      </c>
      <c r="O1087" s="73" t="s">
        <v>3778</v>
      </c>
      <c r="P1087" s="74"/>
      <c r="Q1087" s="75">
        <v>201007</v>
      </c>
      <c r="R1087" s="230">
        <v>845</v>
      </c>
      <c r="S1087" s="230">
        <v>3600</v>
      </c>
      <c r="T1087" s="230">
        <v>4445</v>
      </c>
      <c r="U1087" s="231">
        <v>300</v>
      </c>
      <c r="V1087" s="230"/>
      <c r="W1087" s="230"/>
      <c r="X1087" s="231"/>
      <c r="Y1087" s="85"/>
      <c r="Z1087" s="101">
        <v>0.1</v>
      </c>
      <c r="AA1087" s="102">
        <v>0.09</v>
      </c>
      <c r="AB1087" s="77"/>
      <c r="AC1087" s="78"/>
    </row>
    <row r="1088" spans="1:29" ht="27" customHeight="1" x14ac:dyDescent="0.2">
      <c r="A1088" s="117" t="s">
        <v>3779</v>
      </c>
      <c r="B1088" s="118" t="e">
        <f t="shared" si="119"/>
        <v>#VALUE!</v>
      </c>
      <c r="C1088" s="118" t="s">
        <v>612</v>
      </c>
      <c r="D1088" s="113">
        <v>40380</v>
      </c>
      <c r="E1088" s="84">
        <v>40452</v>
      </c>
      <c r="F1088" s="84">
        <f t="shared" si="120"/>
        <v>44105</v>
      </c>
      <c r="G1088" s="229">
        <v>618.58000000000004</v>
      </c>
      <c r="H1088" s="71" t="s">
        <v>3780</v>
      </c>
      <c r="I1088" s="71" t="s">
        <v>614</v>
      </c>
      <c r="J1088" s="79"/>
      <c r="K1088" s="55">
        <f t="shared" si="121"/>
        <v>2020</v>
      </c>
      <c r="L1088" s="80"/>
      <c r="M1088" s="80"/>
      <c r="N1088" s="73" t="s">
        <v>3781</v>
      </c>
      <c r="O1088" s="73" t="s">
        <v>3782</v>
      </c>
      <c r="P1088" s="74" t="s">
        <v>3783</v>
      </c>
      <c r="Q1088" s="75">
        <v>201007</v>
      </c>
      <c r="R1088" s="230">
        <v>2311.5</v>
      </c>
      <c r="S1088" s="230">
        <v>0</v>
      </c>
      <c r="T1088" s="230">
        <v>2311.5</v>
      </c>
      <c r="U1088" s="231">
        <v>928.5</v>
      </c>
      <c r="V1088" s="230"/>
      <c r="W1088" s="230"/>
      <c r="X1088" s="231"/>
      <c r="Y1088" s="85"/>
      <c r="Z1088" s="101">
        <v>0.1</v>
      </c>
      <c r="AA1088" s="102">
        <v>0.09</v>
      </c>
      <c r="AB1088" s="77" t="s">
        <v>1069</v>
      </c>
      <c r="AC1088" s="78"/>
    </row>
    <row r="1089" spans="1:29" ht="27" customHeight="1" x14ac:dyDescent="0.2">
      <c r="A1089" s="117" t="s">
        <v>3784</v>
      </c>
      <c r="B1089" s="118" t="e">
        <f t="shared" si="119"/>
        <v>#VALUE!</v>
      </c>
      <c r="C1089" s="118" t="s">
        <v>612</v>
      </c>
      <c r="D1089" s="113">
        <v>40380</v>
      </c>
      <c r="E1089" s="84">
        <v>40452</v>
      </c>
      <c r="F1089" s="84">
        <f t="shared" si="120"/>
        <v>44105</v>
      </c>
      <c r="G1089" s="229">
        <v>320</v>
      </c>
      <c r="H1089" s="71" t="s">
        <v>3780</v>
      </c>
      <c r="I1089" s="71" t="s">
        <v>614</v>
      </c>
      <c r="J1089" s="79"/>
      <c r="K1089" s="55">
        <f t="shared" si="121"/>
        <v>2020</v>
      </c>
      <c r="L1089" s="80"/>
      <c r="M1089" s="80"/>
      <c r="N1089" s="73" t="s">
        <v>3781</v>
      </c>
      <c r="O1089" s="73" t="s">
        <v>3785</v>
      </c>
      <c r="P1089" s="74" t="s">
        <v>3786</v>
      </c>
      <c r="Q1089" s="75">
        <v>201007</v>
      </c>
      <c r="R1089" s="230">
        <v>1265</v>
      </c>
      <c r="S1089" s="230">
        <v>0</v>
      </c>
      <c r="T1089" s="230">
        <v>1265</v>
      </c>
      <c r="U1089" s="231">
        <v>480</v>
      </c>
      <c r="V1089" s="230"/>
      <c r="W1089" s="230"/>
      <c r="X1089" s="231"/>
      <c r="Y1089" s="85"/>
      <c r="Z1089" s="101">
        <v>0.1</v>
      </c>
      <c r="AA1089" s="102">
        <v>0.09</v>
      </c>
      <c r="AB1089" s="77" t="s">
        <v>1069</v>
      </c>
      <c r="AC1089" s="78"/>
    </row>
    <row r="1090" spans="1:29" x14ac:dyDescent="0.2">
      <c r="A1090" s="117" t="s">
        <v>3787</v>
      </c>
      <c r="B1090" s="118" t="e">
        <f t="shared" si="119"/>
        <v>#VALUE!</v>
      </c>
      <c r="C1090" s="118" t="s">
        <v>612</v>
      </c>
      <c r="D1090" s="113">
        <v>40380</v>
      </c>
      <c r="E1090" s="84">
        <v>40452</v>
      </c>
      <c r="F1090" s="84">
        <f t="shared" si="120"/>
        <v>44105</v>
      </c>
      <c r="G1090" s="229">
        <v>249</v>
      </c>
      <c r="H1090" s="71" t="s">
        <v>1507</v>
      </c>
      <c r="I1090" s="71" t="s">
        <v>614</v>
      </c>
      <c r="J1090" s="79"/>
      <c r="K1090" s="55">
        <f t="shared" si="121"/>
        <v>2020</v>
      </c>
      <c r="L1090" s="80"/>
      <c r="M1090" s="80"/>
      <c r="N1090" s="73" t="s">
        <v>3788</v>
      </c>
      <c r="O1090" s="73" t="s">
        <v>3789</v>
      </c>
      <c r="P1090" s="74" t="s">
        <v>3790</v>
      </c>
      <c r="Q1090" s="75">
        <v>201007</v>
      </c>
      <c r="R1090" s="230">
        <v>1016.5</v>
      </c>
      <c r="S1090" s="230">
        <v>43077</v>
      </c>
      <c r="T1090" s="230">
        <v>44093.5</v>
      </c>
      <c r="U1090" s="231">
        <v>373.5</v>
      </c>
      <c r="V1090" s="230"/>
      <c r="W1090" s="230"/>
      <c r="X1090" s="231"/>
      <c r="Y1090" s="85"/>
      <c r="Z1090" s="101">
        <v>0.1</v>
      </c>
      <c r="AA1090" s="102">
        <v>0.09</v>
      </c>
      <c r="AB1090" s="77"/>
      <c r="AC1090" s="78"/>
    </row>
    <row r="1091" spans="1:29" ht="40" customHeight="1" x14ac:dyDescent="0.2">
      <c r="A1091" s="117" t="s">
        <v>3791</v>
      </c>
      <c r="B1091" s="118" t="e">
        <f t="shared" si="119"/>
        <v>#VALUE!</v>
      </c>
      <c r="C1091" s="118" t="s">
        <v>612</v>
      </c>
      <c r="D1091" s="113">
        <v>40380</v>
      </c>
      <c r="E1091" s="84">
        <v>40452</v>
      </c>
      <c r="F1091" s="84">
        <f t="shared" si="120"/>
        <v>44105</v>
      </c>
      <c r="G1091" s="229">
        <v>520.20000000000005</v>
      </c>
      <c r="H1091" s="71" t="s">
        <v>3792</v>
      </c>
      <c r="I1091" s="71" t="s">
        <v>614</v>
      </c>
      <c r="J1091" s="79"/>
      <c r="K1091" s="55">
        <f t="shared" si="121"/>
        <v>2020</v>
      </c>
      <c r="L1091" s="80"/>
      <c r="M1091" s="80"/>
      <c r="N1091" s="73" t="s">
        <v>3793</v>
      </c>
      <c r="O1091" s="73" t="s">
        <v>3794</v>
      </c>
      <c r="P1091" s="74" t="s">
        <v>3795</v>
      </c>
      <c r="Q1091" s="75">
        <v>201007</v>
      </c>
      <c r="R1091" s="257">
        <v>1968.5</v>
      </c>
      <c r="S1091" s="257">
        <v>30218</v>
      </c>
      <c r="T1091" s="257">
        <v>32186.5</v>
      </c>
      <c r="U1091" s="231">
        <v>781.5</v>
      </c>
      <c r="V1091" s="230"/>
      <c r="W1091" s="230"/>
      <c r="X1091" s="231"/>
      <c r="Y1091" s="85"/>
      <c r="Z1091" s="101">
        <v>0.1</v>
      </c>
      <c r="AA1091" s="102">
        <v>0.09</v>
      </c>
      <c r="AB1091" s="77" t="s">
        <v>1069</v>
      </c>
      <c r="AC1091" s="78"/>
    </row>
    <row r="1092" spans="1:29" ht="15" hidden="1" customHeight="1" thickBot="1" x14ac:dyDescent="0.25">
      <c r="A1092" s="117"/>
      <c r="D1092" s="71"/>
      <c r="E1092" s="78"/>
      <c r="F1092" s="84"/>
      <c r="G1092" s="229"/>
      <c r="H1092" s="71"/>
      <c r="I1092" s="71"/>
      <c r="J1092" s="79"/>
      <c r="K1092" s="79"/>
      <c r="L1092" s="80"/>
      <c r="M1092" s="80"/>
      <c r="N1092" s="73"/>
      <c r="O1092" s="73"/>
      <c r="P1092" s="74"/>
      <c r="Q1092" s="75"/>
      <c r="R1092" s="241">
        <v>77645</v>
      </c>
      <c r="S1092" s="241">
        <v>366519</v>
      </c>
      <c r="T1092" s="241">
        <v>444164</v>
      </c>
      <c r="U1092" s="231"/>
      <c r="V1092" s="230"/>
      <c r="W1092" s="230"/>
      <c r="X1092" s="231"/>
      <c r="Y1092" s="85"/>
      <c r="Z1092" s="85"/>
      <c r="AA1092" s="76"/>
      <c r="AB1092" s="77"/>
      <c r="AC1092" s="78"/>
    </row>
    <row r="1093" spans="1:29" hidden="1" x14ac:dyDescent="0.2">
      <c r="A1093" s="117"/>
      <c r="D1093" s="71"/>
      <c r="E1093" s="78"/>
      <c r="F1093" s="84"/>
      <c r="G1093" s="229"/>
      <c r="H1093" s="71"/>
      <c r="I1093" s="71"/>
      <c r="J1093" s="79"/>
      <c r="K1093" s="79"/>
      <c r="L1093" s="80"/>
      <c r="M1093" s="80"/>
      <c r="N1093" s="73"/>
      <c r="O1093" s="73"/>
      <c r="P1093" s="74"/>
      <c r="Q1093" s="75" t="s">
        <v>3796</v>
      </c>
      <c r="R1093" s="230">
        <v>77645</v>
      </c>
      <c r="S1093" s="230"/>
      <c r="T1093" s="230">
        <v>77645</v>
      </c>
      <c r="U1093" s="231"/>
      <c r="V1093" s="230"/>
      <c r="W1093" s="230"/>
      <c r="X1093" s="231"/>
      <c r="Y1093" s="85"/>
      <c r="Z1093" s="85"/>
      <c r="AA1093" s="76"/>
      <c r="AB1093" s="77"/>
      <c r="AC1093" s="78"/>
    </row>
    <row r="1094" spans="1:29" hidden="1" x14ac:dyDescent="0.2">
      <c r="A1094" s="117"/>
      <c r="D1094" s="71"/>
      <c r="E1094" s="78"/>
      <c r="F1094" s="84"/>
      <c r="G1094" s="229"/>
      <c r="H1094" s="71"/>
      <c r="I1094" s="71"/>
      <c r="J1094" s="79"/>
      <c r="K1094" s="79"/>
      <c r="L1094" s="80"/>
      <c r="M1094" s="80"/>
      <c r="N1094" s="73"/>
      <c r="O1094" s="73"/>
      <c r="P1094" s="74"/>
      <c r="Q1094" s="75" t="s">
        <v>3797</v>
      </c>
      <c r="R1094" s="230"/>
      <c r="S1094" s="230">
        <v>267519</v>
      </c>
      <c r="T1094" s="230">
        <v>267519</v>
      </c>
      <c r="U1094" s="231"/>
      <c r="V1094" s="230"/>
      <c r="W1094" s="230"/>
      <c r="X1094" s="231"/>
      <c r="Y1094" s="85"/>
      <c r="Z1094" s="85"/>
      <c r="AA1094" s="76"/>
      <c r="AB1094" s="77"/>
      <c r="AC1094" s="78"/>
    </row>
    <row r="1095" spans="1:29" hidden="1" x14ac:dyDescent="0.2">
      <c r="A1095" s="117"/>
      <c r="D1095" s="71"/>
      <c r="E1095" s="78"/>
      <c r="F1095" s="84"/>
      <c r="G1095" s="229"/>
      <c r="H1095" s="71"/>
      <c r="I1095" s="71"/>
      <c r="J1095" s="79"/>
      <c r="K1095" s="79"/>
      <c r="L1095" s="80"/>
      <c r="M1095" s="80"/>
      <c r="N1095" s="73"/>
      <c r="O1095" s="73"/>
      <c r="P1095" s="74"/>
      <c r="Q1095" s="75" t="s">
        <v>3798</v>
      </c>
      <c r="R1095" s="257"/>
      <c r="S1095" s="257">
        <v>99000</v>
      </c>
      <c r="T1095" s="257">
        <v>99000</v>
      </c>
      <c r="U1095" s="231"/>
      <c r="V1095" s="230"/>
      <c r="W1095" s="230"/>
      <c r="X1095" s="231"/>
      <c r="Y1095" s="85"/>
      <c r="Z1095" s="85"/>
      <c r="AA1095" s="76"/>
      <c r="AB1095" s="77"/>
      <c r="AC1095" s="78"/>
    </row>
    <row r="1096" spans="1:29" ht="15" hidden="1" customHeight="1" thickBot="1" x14ac:dyDescent="0.25">
      <c r="A1096" s="117"/>
      <c r="D1096" s="71"/>
      <c r="E1096" s="78"/>
      <c r="F1096" s="84"/>
      <c r="G1096" s="229"/>
      <c r="H1096" s="71"/>
      <c r="I1096" s="71"/>
      <c r="J1096" s="79"/>
      <c r="K1096" s="79"/>
      <c r="L1096" s="80"/>
      <c r="M1096" s="80"/>
      <c r="N1096" s="73"/>
      <c r="O1096" s="73"/>
      <c r="P1096" s="74"/>
      <c r="Q1096" s="75"/>
      <c r="R1096" s="255">
        <v>77645</v>
      </c>
      <c r="S1096" s="255">
        <v>366519</v>
      </c>
      <c r="T1096" s="255">
        <v>444164</v>
      </c>
      <c r="U1096" s="231"/>
      <c r="V1096" s="230"/>
      <c r="W1096" s="230"/>
      <c r="X1096" s="231"/>
      <c r="Y1096" s="85"/>
      <c r="Z1096" s="85"/>
      <c r="AA1096" s="76"/>
      <c r="AB1096" s="77"/>
      <c r="AC1096" s="78"/>
    </row>
    <row r="1097" spans="1:29" hidden="1" x14ac:dyDescent="0.2">
      <c r="A1097" s="117"/>
      <c r="D1097" s="71"/>
      <c r="E1097" s="78"/>
      <c r="F1097" s="84"/>
      <c r="G1097" s="229"/>
      <c r="H1097" s="71"/>
      <c r="I1097" s="71"/>
      <c r="J1097" s="79"/>
      <c r="K1097" s="79"/>
      <c r="L1097" s="80"/>
      <c r="M1097" s="80"/>
      <c r="N1097" s="73"/>
      <c r="O1097" s="73"/>
      <c r="P1097" s="74"/>
      <c r="Q1097" s="75"/>
      <c r="R1097" s="230"/>
      <c r="S1097" s="230"/>
      <c r="T1097" s="230"/>
      <c r="U1097" s="231"/>
      <c r="V1097" s="230"/>
      <c r="W1097" s="230"/>
      <c r="X1097" s="231"/>
      <c r="Y1097" s="85"/>
      <c r="Z1097" s="85"/>
      <c r="AA1097" s="76"/>
      <c r="AB1097" s="77"/>
      <c r="AC1097" s="78"/>
    </row>
    <row r="1098" spans="1:29" ht="40" customHeight="1" x14ac:dyDescent="0.2">
      <c r="A1098" s="117" t="s">
        <v>3799</v>
      </c>
      <c r="B1098" s="118" t="e">
        <f t="shared" ref="B1098:B1107" si="122">IF(COUNTIF(GIS,A1098),"YES","NO")</f>
        <v>#VALUE!</v>
      </c>
      <c r="C1098" s="118" t="s">
        <v>612</v>
      </c>
      <c r="D1098" s="113">
        <v>40437</v>
      </c>
      <c r="E1098" s="84">
        <v>40513</v>
      </c>
      <c r="F1098" s="84">
        <f t="shared" ref="F1098:F1107" si="123">DATE(YEAR(E1098)+10,MONTH(E1098),DAY(E1098))</f>
        <v>44166</v>
      </c>
      <c r="G1098" s="229">
        <v>319.3</v>
      </c>
      <c r="H1098" s="71" t="s">
        <v>3800</v>
      </c>
      <c r="I1098" s="71" t="s">
        <v>684</v>
      </c>
      <c r="J1098" s="79"/>
      <c r="K1098" s="55">
        <f t="shared" ref="K1098:K1107" si="124">YEAR(F1098)</f>
        <v>2020</v>
      </c>
      <c r="L1098" s="80"/>
      <c r="M1098" s="80"/>
      <c r="N1098" s="73" t="s">
        <v>3801</v>
      </c>
      <c r="O1098" s="73" t="s">
        <v>3802</v>
      </c>
      <c r="P1098" s="74" t="s">
        <v>3803</v>
      </c>
      <c r="Q1098" s="75">
        <v>16</v>
      </c>
      <c r="R1098" s="230">
        <v>5105</v>
      </c>
      <c r="S1098" s="230"/>
      <c r="T1098" s="230">
        <v>5105</v>
      </c>
      <c r="U1098" s="231">
        <v>640</v>
      </c>
      <c r="V1098" s="230"/>
      <c r="W1098" s="230"/>
      <c r="X1098" s="231"/>
      <c r="Y1098" s="85"/>
      <c r="Z1098" s="101">
        <v>0.1</v>
      </c>
      <c r="AA1098" s="102">
        <v>0.09</v>
      </c>
      <c r="AB1098" s="77"/>
      <c r="AC1098" s="78"/>
    </row>
    <row r="1099" spans="1:29" ht="27" customHeight="1" x14ac:dyDescent="0.2">
      <c r="A1099" s="117" t="s">
        <v>3804</v>
      </c>
      <c r="B1099" s="118" t="e">
        <f t="shared" si="122"/>
        <v>#VALUE!</v>
      </c>
      <c r="C1099" s="118" t="s">
        <v>612</v>
      </c>
      <c r="D1099" s="113">
        <v>40437</v>
      </c>
      <c r="E1099" s="84">
        <v>40513</v>
      </c>
      <c r="F1099" s="84">
        <f t="shared" si="123"/>
        <v>44166</v>
      </c>
      <c r="G1099" s="229">
        <v>12</v>
      </c>
      <c r="H1099" s="118" t="s">
        <v>1311</v>
      </c>
      <c r="I1099" s="71" t="s">
        <v>684</v>
      </c>
      <c r="J1099" s="79"/>
      <c r="K1099" s="55">
        <f t="shared" si="124"/>
        <v>2020</v>
      </c>
      <c r="L1099" s="80"/>
      <c r="M1099" s="80"/>
      <c r="N1099" s="73" t="s">
        <v>3805</v>
      </c>
      <c r="O1099" s="73" t="s">
        <v>3806</v>
      </c>
      <c r="P1099" s="74" t="s">
        <v>3807</v>
      </c>
      <c r="Q1099" s="75">
        <v>17</v>
      </c>
      <c r="R1099" s="230">
        <v>2923</v>
      </c>
      <c r="S1099" s="230"/>
      <c r="T1099" s="230">
        <v>2923</v>
      </c>
      <c r="U1099" s="231">
        <v>24</v>
      </c>
      <c r="V1099" s="230"/>
      <c r="W1099" s="230"/>
      <c r="X1099" s="231"/>
      <c r="Y1099" s="85"/>
      <c r="Z1099" s="101">
        <v>0.1</v>
      </c>
      <c r="AA1099" s="102">
        <v>0.09</v>
      </c>
      <c r="AB1099" s="77"/>
      <c r="AC1099" s="78"/>
    </row>
    <row r="1100" spans="1:29" ht="40" customHeight="1" x14ac:dyDescent="0.2">
      <c r="A1100" s="117" t="s">
        <v>3808</v>
      </c>
      <c r="B1100" s="118" t="e">
        <f t="shared" si="122"/>
        <v>#VALUE!</v>
      </c>
      <c r="C1100" s="118" t="s">
        <v>612</v>
      </c>
      <c r="D1100" s="113">
        <v>40437</v>
      </c>
      <c r="E1100" s="84">
        <v>40513</v>
      </c>
      <c r="F1100" s="84">
        <f t="shared" si="123"/>
        <v>44166</v>
      </c>
      <c r="G1100" s="229">
        <v>585.15</v>
      </c>
      <c r="H1100" s="71" t="s">
        <v>3809</v>
      </c>
      <c r="I1100" s="71" t="s">
        <v>684</v>
      </c>
      <c r="J1100" s="79"/>
      <c r="K1100" s="55">
        <f t="shared" si="124"/>
        <v>2020</v>
      </c>
      <c r="L1100" s="80"/>
      <c r="M1100" s="80"/>
      <c r="N1100" s="73" t="s">
        <v>3810</v>
      </c>
      <c r="O1100" s="73" t="s">
        <v>3811</v>
      </c>
      <c r="P1100" s="74" t="s">
        <v>3812</v>
      </c>
      <c r="Q1100" s="75">
        <v>19</v>
      </c>
      <c r="R1100" s="230">
        <v>2196</v>
      </c>
      <c r="S1100" s="230"/>
      <c r="T1100" s="230">
        <v>2196</v>
      </c>
      <c r="U1100" s="231">
        <v>1172</v>
      </c>
      <c r="V1100" s="230"/>
      <c r="W1100" s="230"/>
      <c r="X1100" s="231"/>
      <c r="Y1100" s="85"/>
      <c r="Z1100" s="101">
        <v>0.1</v>
      </c>
      <c r="AA1100" s="102">
        <v>0.09</v>
      </c>
      <c r="AB1100" s="77"/>
      <c r="AC1100" s="78"/>
    </row>
    <row r="1101" spans="1:29" ht="66" customHeight="1" x14ac:dyDescent="0.2">
      <c r="A1101" s="117" t="s">
        <v>3813</v>
      </c>
      <c r="B1101" s="118" t="e">
        <f t="shared" si="122"/>
        <v>#VALUE!</v>
      </c>
      <c r="C1101" s="118" t="s">
        <v>612</v>
      </c>
      <c r="D1101" s="113">
        <v>40437</v>
      </c>
      <c r="E1101" s="84">
        <v>40513</v>
      </c>
      <c r="F1101" s="84">
        <f t="shared" si="123"/>
        <v>44166</v>
      </c>
      <c r="G1101" s="229">
        <v>433.13</v>
      </c>
      <c r="H1101" s="71" t="s">
        <v>3809</v>
      </c>
      <c r="I1101" s="71" t="s">
        <v>684</v>
      </c>
      <c r="J1101" s="79"/>
      <c r="K1101" s="55">
        <f t="shared" si="124"/>
        <v>2020</v>
      </c>
      <c r="L1101" s="80"/>
      <c r="M1101" s="80"/>
      <c r="N1101" s="73" t="s">
        <v>3810</v>
      </c>
      <c r="O1101" s="73" t="s">
        <v>3814</v>
      </c>
      <c r="P1101" s="74" t="s">
        <v>3815</v>
      </c>
      <c r="Q1101" s="75">
        <v>20</v>
      </c>
      <c r="R1101" s="230">
        <v>1664</v>
      </c>
      <c r="S1101" s="230"/>
      <c r="T1101" s="230">
        <v>1664</v>
      </c>
      <c r="U1101" s="231">
        <v>868</v>
      </c>
      <c r="V1101" s="230"/>
      <c r="W1101" s="230"/>
      <c r="X1101" s="231"/>
      <c r="Y1101" s="85"/>
      <c r="Z1101" s="101">
        <v>0.1</v>
      </c>
      <c r="AA1101" s="102">
        <v>0.09</v>
      </c>
      <c r="AB1101" s="77"/>
      <c r="AC1101" s="78"/>
    </row>
    <row r="1102" spans="1:29" ht="66" customHeight="1" x14ac:dyDescent="0.2">
      <c r="A1102" s="117" t="s">
        <v>3816</v>
      </c>
      <c r="B1102" s="118" t="e">
        <f t="shared" si="122"/>
        <v>#VALUE!</v>
      </c>
      <c r="C1102" s="118" t="s">
        <v>612</v>
      </c>
      <c r="D1102" s="113">
        <v>40437</v>
      </c>
      <c r="E1102" s="84">
        <v>40513</v>
      </c>
      <c r="F1102" s="84">
        <f t="shared" si="123"/>
        <v>44166</v>
      </c>
      <c r="G1102" s="229">
        <v>432.59</v>
      </c>
      <c r="H1102" s="71" t="s">
        <v>3809</v>
      </c>
      <c r="I1102" s="71" t="s">
        <v>684</v>
      </c>
      <c r="J1102" s="79"/>
      <c r="K1102" s="55">
        <f t="shared" si="124"/>
        <v>2020</v>
      </c>
      <c r="L1102" s="80"/>
      <c r="M1102" s="80"/>
      <c r="N1102" s="73" t="s">
        <v>3810</v>
      </c>
      <c r="O1102" s="73" t="s">
        <v>3817</v>
      </c>
      <c r="P1102" s="74" t="s">
        <v>3818</v>
      </c>
      <c r="Q1102" s="75">
        <v>21</v>
      </c>
      <c r="R1102" s="230">
        <v>5124.5</v>
      </c>
      <c r="S1102" s="230"/>
      <c r="T1102" s="230">
        <v>5124.5</v>
      </c>
      <c r="U1102" s="231">
        <v>866</v>
      </c>
      <c r="V1102" s="230"/>
      <c r="W1102" s="230"/>
      <c r="X1102" s="231"/>
      <c r="Y1102" s="85"/>
      <c r="Z1102" s="101">
        <v>0.1</v>
      </c>
      <c r="AA1102" s="102">
        <v>0.09</v>
      </c>
      <c r="AB1102" s="77"/>
      <c r="AC1102" s="78"/>
    </row>
    <row r="1103" spans="1:29" ht="40" customHeight="1" x14ac:dyDescent="0.2">
      <c r="A1103" s="117" t="s">
        <v>3819</v>
      </c>
      <c r="B1103" s="118" t="e">
        <f t="shared" si="122"/>
        <v>#VALUE!</v>
      </c>
      <c r="C1103" s="118" t="s">
        <v>612</v>
      </c>
      <c r="D1103" s="113">
        <v>40437</v>
      </c>
      <c r="E1103" s="84">
        <v>40513</v>
      </c>
      <c r="F1103" s="84">
        <f t="shared" si="123"/>
        <v>44166</v>
      </c>
      <c r="G1103" s="229">
        <v>378.49</v>
      </c>
      <c r="H1103" s="71" t="s">
        <v>3809</v>
      </c>
      <c r="I1103" s="71" t="s">
        <v>684</v>
      </c>
      <c r="J1103" s="79"/>
      <c r="K1103" s="55">
        <f t="shared" si="124"/>
        <v>2020</v>
      </c>
      <c r="L1103" s="80"/>
      <c r="M1103" s="80"/>
      <c r="N1103" s="73" t="s">
        <v>3810</v>
      </c>
      <c r="O1103" s="73" t="s">
        <v>3820</v>
      </c>
      <c r="P1103" s="74" t="s">
        <v>3821</v>
      </c>
      <c r="Q1103" s="75">
        <v>22</v>
      </c>
      <c r="R1103" s="230">
        <v>7535.5</v>
      </c>
      <c r="S1103" s="230"/>
      <c r="T1103" s="230">
        <v>7535.5</v>
      </c>
      <c r="U1103" s="231">
        <v>758</v>
      </c>
      <c r="V1103" s="230"/>
      <c r="W1103" s="230"/>
      <c r="X1103" s="231"/>
      <c r="Y1103" s="85"/>
      <c r="Z1103" s="101">
        <v>0.1</v>
      </c>
      <c r="AA1103" s="102">
        <v>0.09</v>
      </c>
      <c r="AB1103" s="77"/>
      <c r="AC1103" s="78"/>
    </row>
    <row r="1104" spans="1:29" ht="40" customHeight="1" x14ac:dyDescent="0.2">
      <c r="A1104" s="117" t="s">
        <v>3822</v>
      </c>
      <c r="B1104" s="118" t="e">
        <f t="shared" si="122"/>
        <v>#VALUE!</v>
      </c>
      <c r="C1104" s="118" t="s">
        <v>612</v>
      </c>
      <c r="D1104" s="113">
        <v>40437</v>
      </c>
      <c r="E1104" s="84">
        <v>40513</v>
      </c>
      <c r="F1104" s="84">
        <f t="shared" si="123"/>
        <v>44166</v>
      </c>
      <c r="G1104" s="229">
        <v>627</v>
      </c>
      <c r="H1104" s="71" t="s">
        <v>3809</v>
      </c>
      <c r="I1104" s="71" t="s">
        <v>684</v>
      </c>
      <c r="J1104" s="79"/>
      <c r="K1104" s="55">
        <f t="shared" si="124"/>
        <v>2020</v>
      </c>
      <c r="L1104" s="80"/>
      <c r="M1104" s="80"/>
      <c r="N1104" s="73" t="s">
        <v>3810</v>
      </c>
      <c r="O1104" s="73" t="s">
        <v>3823</v>
      </c>
      <c r="P1104" s="74" t="s">
        <v>3824</v>
      </c>
      <c r="Q1104" s="75">
        <v>23</v>
      </c>
      <c r="R1104" s="230">
        <v>10490.5</v>
      </c>
      <c r="S1104" s="230"/>
      <c r="T1104" s="230">
        <v>10490.5</v>
      </c>
      <c r="U1104" s="231">
        <v>1254</v>
      </c>
      <c r="V1104" s="230"/>
      <c r="W1104" s="230"/>
      <c r="X1104" s="231"/>
      <c r="Y1104" s="85"/>
      <c r="Z1104" s="101">
        <v>0.1</v>
      </c>
      <c r="AA1104" s="102">
        <v>0.09</v>
      </c>
      <c r="AB1104" s="77"/>
      <c r="AC1104" s="78"/>
    </row>
    <row r="1105" spans="1:29" ht="66" customHeight="1" x14ac:dyDescent="0.2">
      <c r="A1105" s="117" t="s">
        <v>3825</v>
      </c>
      <c r="B1105" s="118" t="e">
        <f t="shared" si="122"/>
        <v>#VALUE!</v>
      </c>
      <c r="C1105" s="118" t="s">
        <v>612</v>
      </c>
      <c r="D1105" s="113">
        <v>40437</v>
      </c>
      <c r="E1105" s="84">
        <v>40513</v>
      </c>
      <c r="F1105" s="84">
        <f t="shared" si="123"/>
        <v>44166</v>
      </c>
      <c r="G1105" s="229">
        <v>632.29</v>
      </c>
      <c r="H1105" s="71" t="s">
        <v>3809</v>
      </c>
      <c r="I1105" s="71" t="s">
        <v>684</v>
      </c>
      <c r="J1105" s="79"/>
      <c r="K1105" s="55">
        <f t="shared" si="124"/>
        <v>2020</v>
      </c>
      <c r="L1105" s="80"/>
      <c r="M1105" s="80"/>
      <c r="N1105" s="73" t="s">
        <v>3810</v>
      </c>
      <c r="O1105" s="73" t="s">
        <v>3826</v>
      </c>
      <c r="P1105" s="74" t="s">
        <v>3827</v>
      </c>
      <c r="Q1105" s="75">
        <v>24</v>
      </c>
      <c r="R1105" s="230">
        <v>10589.5</v>
      </c>
      <c r="S1105" s="230"/>
      <c r="T1105" s="230">
        <v>10589.5</v>
      </c>
      <c r="U1105" s="231">
        <v>1266</v>
      </c>
      <c r="V1105" s="230"/>
      <c r="W1105" s="230"/>
      <c r="X1105" s="231"/>
      <c r="Y1105" s="85"/>
      <c r="Z1105" s="101">
        <v>0.1</v>
      </c>
      <c r="AA1105" s="102">
        <v>0.09</v>
      </c>
      <c r="AB1105" s="77"/>
      <c r="AC1105" s="78"/>
    </row>
    <row r="1106" spans="1:29" ht="27" customHeight="1" x14ac:dyDescent="0.2">
      <c r="A1106" s="117" t="s">
        <v>3828</v>
      </c>
      <c r="B1106" s="118" t="e">
        <f t="shared" si="122"/>
        <v>#VALUE!</v>
      </c>
      <c r="C1106" s="118" t="s">
        <v>612</v>
      </c>
      <c r="D1106" s="113">
        <v>40437</v>
      </c>
      <c r="E1106" s="84">
        <v>40513</v>
      </c>
      <c r="F1106" s="84">
        <f t="shared" si="123"/>
        <v>44166</v>
      </c>
      <c r="G1106" s="229">
        <v>517.26</v>
      </c>
      <c r="H1106" s="71" t="s">
        <v>3809</v>
      </c>
      <c r="I1106" s="71" t="s">
        <v>684</v>
      </c>
      <c r="J1106" s="79"/>
      <c r="K1106" s="55">
        <f t="shared" si="124"/>
        <v>2020</v>
      </c>
      <c r="L1106" s="80"/>
      <c r="M1106" s="80"/>
      <c r="N1106" s="73" t="s">
        <v>3810</v>
      </c>
      <c r="O1106" s="73" t="s">
        <v>3829</v>
      </c>
      <c r="P1106" s="74" t="s">
        <v>3830</v>
      </c>
      <c r="Q1106" s="75">
        <v>25</v>
      </c>
      <c r="R1106" s="230">
        <v>6102</v>
      </c>
      <c r="S1106" s="230"/>
      <c r="T1106" s="230">
        <v>6102</v>
      </c>
      <c r="U1106" s="231">
        <v>1036</v>
      </c>
      <c r="V1106" s="230"/>
      <c r="W1106" s="230"/>
      <c r="X1106" s="231"/>
      <c r="Y1106" s="85"/>
      <c r="Z1106" s="101">
        <v>0.1</v>
      </c>
      <c r="AA1106" s="102">
        <v>0.09</v>
      </c>
      <c r="AB1106" s="77"/>
      <c r="AC1106" s="78"/>
    </row>
    <row r="1107" spans="1:29" ht="40" customHeight="1" x14ac:dyDescent="0.2">
      <c r="A1107" s="117" t="s">
        <v>3831</v>
      </c>
      <c r="B1107" s="118" t="e">
        <f t="shared" si="122"/>
        <v>#VALUE!</v>
      </c>
      <c r="C1107" s="118" t="s">
        <v>612</v>
      </c>
      <c r="D1107" s="113">
        <v>40437</v>
      </c>
      <c r="E1107" s="84">
        <v>40513</v>
      </c>
      <c r="F1107" s="84">
        <f t="shared" si="123"/>
        <v>44166</v>
      </c>
      <c r="G1107" s="229">
        <v>360</v>
      </c>
      <c r="H1107" s="71" t="s">
        <v>3809</v>
      </c>
      <c r="I1107" s="71" t="s">
        <v>684</v>
      </c>
      <c r="J1107" s="79"/>
      <c r="K1107" s="55">
        <f t="shared" si="124"/>
        <v>2020</v>
      </c>
      <c r="L1107" s="80"/>
      <c r="M1107" s="80"/>
      <c r="N1107" s="73" t="s">
        <v>3810</v>
      </c>
      <c r="O1107" s="73" t="s">
        <v>3832</v>
      </c>
      <c r="P1107" s="74" t="s">
        <v>3833</v>
      </c>
      <c r="Q1107" s="75">
        <v>26</v>
      </c>
      <c r="R1107" s="230">
        <v>4285</v>
      </c>
      <c r="S1107" s="230"/>
      <c r="T1107" s="230">
        <v>4285</v>
      </c>
      <c r="U1107" s="231">
        <v>720</v>
      </c>
      <c r="V1107" s="230"/>
      <c r="W1107" s="230"/>
      <c r="X1107" s="231"/>
      <c r="Y1107" s="85"/>
      <c r="Z1107" s="101">
        <v>0.1</v>
      </c>
      <c r="AA1107" s="102">
        <v>0.09</v>
      </c>
      <c r="AB1107" s="77"/>
      <c r="AC1107" s="78"/>
    </row>
    <row r="1108" spans="1:29" ht="15" hidden="1" customHeight="1" thickBot="1" x14ac:dyDescent="0.25">
      <c r="A1108" s="117"/>
      <c r="D1108" s="71"/>
      <c r="E1108" s="78" t="s">
        <v>3834</v>
      </c>
      <c r="F1108" s="84"/>
      <c r="G1108" s="229"/>
      <c r="H1108" s="71"/>
      <c r="I1108" s="71"/>
      <c r="J1108" s="79"/>
      <c r="K1108" s="79"/>
      <c r="L1108" s="80"/>
      <c r="M1108" s="80"/>
      <c r="N1108" s="73"/>
      <c r="O1108" s="73"/>
      <c r="P1108" s="74"/>
      <c r="Q1108" s="75"/>
      <c r="R1108" s="241">
        <v>56015</v>
      </c>
      <c r="S1108" s="241"/>
      <c r="T1108" s="241">
        <v>56015</v>
      </c>
      <c r="U1108" s="231"/>
      <c r="V1108" s="230"/>
      <c r="W1108" s="230"/>
      <c r="X1108" s="231"/>
      <c r="Y1108" s="85"/>
      <c r="Z1108" s="85"/>
      <c r="AA1108" s="76"/>
      <c r="AB1108" s="77"/>
      <c r="AC1108" s="78"/>
    </row>
    <row r="1109" spans="1:29" hidden="1" x14ac:dyDescent="0.2">
      <c r="A1109" s="117"/>
      <c r="D1109" s="71"/>
      <c r="E1109" s="78"/>
      <c r="F1109" s="84"/>
      <c r="G1109" s="229"/>
      <c r="H1109" s="71"/>
      <c r="I1109" s="71"/>
      <c r="J1109" s="79"/>
      <c r="K1109" s="79"/>
      <c r="L1109" s="80"/>
      <c r="M1109" s="80"/>
      <c r="N1109" s="73"/>
      <c r="O1109" s="73"/>
      <c r="P1109" s="74"/>
      <c r="Q1109" s="75"/>
      <c r="R1109" s="230"/>
      <c r="S1109" s="230"/>
      <c r="T1109" s="230"/>
      <c r="U1109" s="231"/>
      <c r="V1109" s="230"/>
      <c r="W1109" s="230"/>
      <c r="X1109" s="231"/>
      <c r="Y1109" s="85"/>
      <c r="Z1109" s="85"/>
      <c r="AA1109" s="76"/>
      <c r="AB1109" s="77"/>
      <c r="AC1109" s="78"/>
    </row>
    <row r="1110" spans="1:29" hidden="1" x14ac:dyDescent="0.2">
      <c r="A1110" s="117"/>
      <c r="D1110" s="71"/>
      <c r="E1110" s="78"/>
      <c r="F1110" s="84"/>
      <c r="G1110" s="229"/>
      <c r="H1110" s="71"/>
      <c r="I1110" s="71"/>
      <c r="J1110" s="79"/>
      <c r="K1110" s="79"/>
      <c r="L1110" s="80"/>
      <c r="M1110" s="80"/>
      <c r="N1110" s="73"/>
      <c r="O1110" s="73"/>
      <c r="P1110" s="74"/>
      <c r="Q1110" s="75"/>
      <c r="R1110" s="230"/>
      <c r="S1110" s="230"/>
      <c r="T1110" s="230"/>
      <c r="U1110" s="231"/>
      <c r="V1110" s="230"/>
      <c r="W1110" s="230"/>
      <c r="X1110" s="231"/>
      <c r="Y1110" s="85"/>
      <c r="Z1110" s="85"/>
      <c r="AA1110" s="76"/>
      <c r="AB1110" s="77"/>
      <c r="AC1110" s="78"/>
    </row>
    <row r="1111" spans="1:29" ht="66" customHeight="1" x14ac:dyDescent="0.2">
      <c r="A1111" s="117" t="s">
        <v>3835</v>
      </c>
      <c r="B1111" s="118" t="e">
        <f t="shared" ref="B1111:B1129" si="125">IF(COUNTIF(GIS,A1111),"YES","NO")</f>
        <v>#VALUE!</v>
      </c>
      <c r="C1111" s="118" t="s">
        <v>612</v>
      </c>
      <c r="D1111" s="113">
        <v>40471</v>
      </c>
      <c r="E1111" s="84">
        <v>40544</v>
      </c>
      <c r="F1111" s="84">
        <f t="shared" ref="F1111:F1129" si="126">DATE(YEAR(E1111)+10,MONTH(E1111),DAY(E1111))</f>
        <v>44197</v>
      </c>
      <c r="G1111" s="229">
        <v>54.38</v>
      </c>
      <c r="H1111" s="71" t="s">
        <v>3836</v>
      </c>
      <c r="I1111" s="71" t="s">
        <v>1183</v>
      </c>
      <c r="J1111" s="79"/>
      <c r="K1111" s="55">
        <f t="shared" ref="K1111:K1129" si="127">YEAR(F1111)</f>
        <v>2021</v>
      </c>
      <c r="L1111" s="80"/>
      <c r="M1111" s="80"/>
      <c r="N1111" s="73" t="s">
        <v>3837</v>
      </c>
      <c r="O1111" s="73" t="s">
        <v>3838</v>
      </c>
      <c r="P1111" s="74"/>
      <c r="Q1111" s="75">
        <v>1</v>
      </c>
      <c r="R1111" s="230">
        <v>2482.5</v>
      </c>
      <c r="S1111" s="230"/>
      <c r="T1111" s="230">
        <v>2482.5</v>
      </c>
      <c r="U1111" s="231">
        <v>110</v>
      </c>
      <c r="V1111" s="230"/>
      <c r="W1111" s="230"/>
      <c r="X1111" s="231"/>
      <c r="Y1111" s="85"/>
      <c r="Z1111" s="101">
        <v>0.1</v>
      </c>
      <c r="AA1111" s="102">
        <v>0.09</v>
      </c>
      <c r="AB1111" s="77"/>
      <c r="AC1111" s="78"/>
    </row>
    <row r="1112" spans="1:29" x14ac:dyDescent="0.2">
      <c r="A1112" s="117" t="s">
        <v>3839</v>
      </c>
      <c r="B1112" s="118" t="e">
        <f t="shared" si="125"/>
        <v>#VALUE!</v>
      </c>
      <c r="C1112" s="118" t="s">
        <v>612</v>
      </c>
      <c r="D1112" s="113">
        <v>40471</v>
      </c>
      <c r="E1112" s="84">
        <v>40544</v>
      </c>
      <c r="F1112" s="84">
        <f t="shared" si="126"/>
        <v>44197</v>
      </c>
      <c r="G1112" s="229">
        <v>40</v>
      </c>
      <c r="H1112" s="71" t="s">
        <v>3281</v>
      </c>
      <c r="I1112" s="71" t="s">
        <v>1147</v>
      </c>
      <c r="J1112" s="79"/>
      <c r="K1112" s="55">
        <f t="shared" si="127"/>
        <v>2021</v>
      </c>
      <c r="L1112" s="80"/>
      <c r="M1112" s="80"/>
      <c r="N1112" s="73" t="s">
        <v>3840</v>
      </c>
      <c r="O1112" s="73" t="s">
        <v>3841</v>
      </c>
      <c r="P1112" s="74"/>
      <c r="Q1112" s="75">
        <v>3</v>
      </c>
      <c r="R1112" s="230">
        <v>365</v>
      </c>
      <c r="S1112" s="230"/>
      <c r="T1112" s="230">
        <v>365</v>
      </c>
      <c r="U1112" s="231">
        <v>80</v>
      </c>
      <c r="V1112" s="230"/>
      <c r="W1112" s="230"/>
      <c r="X1112" s="231"/>
      <c r="Y1112" s="85"/>
      <c r="Z1112" s="101">
        <v>0.1</v>
      </c>
      <c r="AA1112" s="102">
        <v>0.09</v>
      </c>
      <c r="AB1112" s="77"/>
      <c r="AC1112" s="78"/>
    </row>
    <row r="1113" spans="1:29" x14ac:dyDescent="0.2">
      <c r="A1113" s="117" t="s">
        <v>3842</v>
      </c>
      <c r="B1113" s="118" t="e">
        <f t="shared" si="125"/>
        <v>#VALUE!</v>
      </c>
      <c r="C1113" s="118" t="s">
        <v>612</v>
      </c>
      <c r="D1113" s="113">
        <v>40471</v>
      </c>
      <c r="E1113" s="84">
        <v>40544</v>
      </c>
      <c r="F1113" s="84">
        <f t="shared" si="126"/>
        <v>44197</v>
      </c>
      <c r="G1113" s="229">
        <v>40</v>
      </c>
      <c r="H1113" s="71" t="s">
        <v>3843</v>
      </c>
      <c r="I1113" s="71" t="s">
        <v>1147</v>
      </c>
      <c r="J1113" s="79"/>
      <c r="K1113" s="55">
        <f t="shared" si="127"/>
        <v>2021</v>
      </c>
      <c r="L1113" s="80"/>
      <c r="M1113" s="80"/>
      <c r="N1113" s="73" t="s">
        <v>3703</v>
      </c>
      <c r="O1113" s="73" t="s">
        <v>3844</v>
      </c>
      <c r="P1113" s="74"/>
      <c r="Q1113" s="75">
        <v>9</v>
      </c>
      <c r="R1113" s="230">
        <v>285</v>
      </c>
      <c r="S1113" s="230"/>
      <c r="T1113" s="230">
        <v>285</v>
      </c>
      <c r="U1113" s="231">
        <v>80</v>
      </c>
      <c r="V1113" s="230"/>
      <c r="W1113" s="230"/>
      <c r="X1113" s="231"/>
      <c r="Y1113" s="85"/>
      <c r="Z1113" s="101">
        <v>0.1</v>
      </c>
      <c r="AA1113" s="102">
        <v>0.09</v>
      </c>
      <c r="AB1113" s="77"/>
      <c r="AC1113" s="78"/>
    </row>
    <row r="1114" spans="1:29" x14ac:dyDescent="0.2">
      <c r="A1114" s="117" t="s">
        <v>3845</v>
      </c>
      <c r="B1114" s="118" t="e">
        <f t="shared" si="125"/>
        <v>#VALUE!</v>
      </c>
      <c r="C1114" s="118" t="s">
        <v>612</v>
      </c>
      <c r="D1114" s="113">
        <v>40471</v>
      </c>
      <c r="E1114" s="84">
        <v>40544</v>
      </c>
      <c r="F1114" s="84">
        <f t="shared" si="126"/>
        <v>44197</v>
      </c>
      <c r="G1114" s="229">
        <v>40</v>
      </c>
      <c r="H1114" s="71" t="s">
        <v>3843</v>
      </c>
      <c r="I1114" s="71" t="s">
        <v>1147</v>
      </c>
      <c r="J1114" s="79"/>
      <c r="K1114" s="55">
        <f t="shared" si="127"/>
        <v>2021</v>
      </c>
      <c r="L1114" s="80"/>
      <c r="M1114" s="80"/>
      <c r="N1114" s="73" t="s">
        <v>3703</v>
      </c>
      <c r="O1114" s="73" t="s">
        <v>3846</v>
      </c>
      <c r="P1114" s="74"/>
      <c r="Q1114" s="75">
        <v>10</v>
      </c>
      <c r="R1114" s="230">
        <v>285</v>
      </c>
      <c r="S1114" s="230"/>
      <c r="T1114" s="230">
        <v>285</v>
      </c>
      <c r="U1114" s="231">
        <v>80</v>
      </c>
      <c r="V1114" s="230"/>
      <c r="W1114" s="230"/>
      <c r="X1114" s="231"/>
      <c r="Y1114" s="85"/>
      <c r="Z1114" s="101">
        <v>0.1</v>
      </c>
      <c r="AA1114" s="102">
        <v>0.09</v>
      </c>
      <c r="AB1114" s="77"/>
      <c r="AC1114" s="78"/>
    </row>
    <row r="1115" spans="1:29" ht="29" x14ac:dyDescent="0.2">
      <c r="A1115" s="117" t="s">
        <v>3847</v>
      </c>
      <c r="B1115" s="118" t="e">
        <f t="shared" si="125"/>
        <v>#VALUE!</v>
      </c>
      <c r="C1115" s="118" t="s">
        <v>612</v>
      </c>
      <c r="D1115" s="113">
        <v>40471</v>
      </c>
      <c r="E1115" s="84">
        <v>40544</v>
      </c>
      <c r="F1115" s="84">
        <f t="shared" si="126"/>
        <v>44197</v>
      </c>
      <c r="G1115" s="229">
        <v>600</v>
      </c>
      <c r="H1115" s="71" t="s">
        <v>3843</v>
      </c>
      <c r="I1115" s="71" t="s">
        <v>1147</v>
      </c>
      <c r="J1115" s="79"/>
      <c r="K1115" s="55">
        <f t="shared" si="127"/>
        <v>2021</v>
      </c>
      <c r="L1115" s="80"/>
      <c r="M1115" s="80"/>
      <c r="N1115" s="73" t="s">
        <v>3703</v>
      </c>
      <c r="O1115" s="73" t="s">
        <v>3848</v>
      </c>
      <c r="P1115" s="74"/>
      <c r="Q1115" s="75">
        <v>11</v>
      </c>
      <c r="R1115" s="230">
        <v>19045</v>
      </c>
      <c r="S1115" s="230"/>
      <c r="T1115" s="230">
        <v>19045</v>
      </c>
      <c r="U1115" s="231">
        <v>1200</v>
      </c>
      <c r="V1115" s="230"/>
      <c r="W1115" s="230"/>
      <c r="X1115" s="231"/>
      <c r="Y1115" s="85"/>
      <c r="Z1115" s="101">
        <v>0.1</v>
      </c>
      <c r="AA1115" s="102">
        <v>0.09</v>
      </c>
      <c r="AB1115" s="77"/>
      <c r="AC1115" s="78"/>
    </row>
    <row r="1116" spans="1:29" x14ac:dyDescent="0.2">
      <c r="A1116" s="117" t="s">
        <v>3849</v>
      </c>
      <c r="B1116" s="118" t="e">
        <f t="shared" si="125"/>
        <v>#VALUE!</v>
      </c>
      <c r="C1116" s="118" t="s">
        <v>612</v>
      </c>
      <c r="D1116" s="113">
        <v>40471</v>
      </c>
      <c r="E1116" s="84">
        <v>40544</v>
      </c>
      <c r="F1116" s="84">
        <f t="shared" si="126"/>
        <v>44197</v>
      </c>
      <c r="G1116" s="229">
        <v>40</v>
      </c>
      <c r="H1116" s="71" t="s">
        <v>3843</v>
      </c>
      <c r="I1116" s="71" t="s">
        <v>1147</v>
      </c>
      <c r="J1116" s="79"/>
      <c r="K1116" s="55">
        <f t="shared" si="127"/>
        <v>2021</v>
      </c>
      <c r="L1116" s="80"/>
      <c r="M1116" s="80"/>
      <c r="N1116" s="73" t="s">
        <v>3703</v>
      </c>
      <c r="O1116" s="73" t="s">
        <v>3850</v>
      </c>
      <c r="P1116" s="74"/>
      <c r="Q1116" s="75">
        <v>12</v>
      </c>
      <c r="R1116" s="230">
        <v>1405</v>
      </c>
      <c r="S1116" s="230"/>
      <c r="T1116" s="230">
        <v>1405</v>
      </c>
      <c r="U1116" s="231">
        <v>80</v>
      </c>
      <c r="V1116" s="230"/>
      <c r="W1116" s="230"/>
      <c r="X1116" s="231"/>
      <c r="Y1116" s="85"/>
      <c r="Z1116" s="101">
        <v>0.1</v>
      </c>
      <c r="AA1116" s="102">
        <v>0.09</v>
      </c>
      <c r="AB1116" s="77"/>
      <c r="AC1116" s="78"/>
    </row>
    <row r="1117" spans="1:29" x14ac:dyDescent="0.2">
      <c r="A1117" s="117" t="s">
        <v>3851</v>
      </c>
      <c r="B1117" s="118" t="e">
        <f t="shared" si="125"/>
        <v>#VALUE!</v>
      </c>
      <c r="C1117" s="118" t="s">
        <v>612</v>
      </c>
      <c r="D1117" s="113">
        <v>40471</v>
      </c>
      <c r="E1117" s="84">
        <v>40544</v>
      </c>
      <c r="F1117" s="84">
        <f t="shared" si="126"/>
        <v>44197</v>
      </c>
      <c r="G1117" s="229">
        <v>120</v>
      </c>
      <c r="H1117" s="71" t="s">
        <v>3843</v>
      </c>
      <c r="I1117" s="71" t="s">
        <v>1147</v>
      </c>
      <c r="J1117" s="79"/>
      <c r="K1117" s="55">
        <f t="shared" si="127"/>
        <v>2021</v>
      </c>
      <c r="L1117" s="80"/>
      <c r="M1117" s="80"/>
      <c r="N1117" s="73" t="s">
        <v>3703</v>
      </c>
      <c r="O1117" s="73" t="s">
        <v>3852</v>
      </c>
      <c r="P1117" s="74"/>
      <c r="Q1117" s="75">
        <v>13</v>
      </c>
      <c r="R1117" s="230">
        <v>1525</v>
      </c>
      <c r="S1117" s="230"/>
      <c r="T1117" s="230">
        <v>1525</v>
      </c>
      <c r="U1117" s="231">
        <v>240</v>
      </c>
      <c r="V1117" s="230"/>
      <c r="W1117" s="230"/>
      <c r="X1117" s="231"/>
      <c r="Y1117" s="85"/>
      <c r="Z1117" s="101">
        <v>0.1</v>
      </c>
      <c r="AA1117" s="102">
        <v>0.09</v>
      </c>
      <c r="AB1117" s="77"/>
      <c r="AC1117" s="78"/>
    </row>
    <row r="1118" spans="1:29" x14ac:dyDescent="0.2">
      <c r="A1118" s="117" t="s">
        <v>3853</v>
      </c>
      <c r="B1118" s="118" t="e">
        <f t="shared" si="125"/>
        <v>#VALUE!</v>
      </c>
      <c r="C1118" s="118" t="s">
        <v>612</v>
      </c>
      <c r="D1118" s="113">
        <v>40471</v>
      </c>
      <c r="E1118" s="84">
        <v>40544</v>
      </c>
      <c r="F1118" s="84">
        <f t="shared" si="126"/>
        <v>44197</v>
      </c>
      <c r="G1118" s="229">
        <v>40</v>
      </c>
      <c r="H1118" s="71" t="s">
        <v>3843</v>
      </c>
      <c r="I1118" s="71" t="s">
        <v>1147</v>
      </c>
      <c r="J1118" s="79"/>
      <c r="K1118" s="55">
        <f t="shared" si="127"/>
        <v>2021</v>
      </c>
      <c r="L1118" s="80"/>
      <c r="M1118" s="80"/>
      <c r="N1118" s="73" t="s">
        <v>3703</v>
      </c>
      <c r="O1118" s="73" t="s">
        <v>3854</v>
      </c>
      <c r="P1118" s="74"/>
      <c r="Q1118" s="75">
        <v>14</v>
      </c>
      <c r="R1118" s="230">
        <v>605</v>
      </c>
      <c r="S1118" s="230"/>
      <c r="T1118" s="230">
        <v>605</v>
      </c>
      <c r="U1118" s="231">
        <v>80</v>
      </c>
      <c r="V1118" s="230"/>
      <c r="W1118" s="230"/>
      <c r="X1118" s="231"/>
      <c r="Y1118" s="85"/>
      <c r="Z1118" s="101">
        <v>0.1</v>
      </c>
      <c r="AA1118" s="102">
        <v>0.09</v>
      </c>
      <c r="AB1118" s="77"/>
      <c r="AC1118" s="78"/>
    </row>
    <row r="1119" spans="1:29" x14ac:dyDescent="0.2">
      <c r="A1119" s="117" t="s">
        <v>3855</v>
      </c>
      <c r="B1119" s="118" t="e">
        <f t="shared" si="125"/>
        <v>#VALUE!</v>
      </c>
      <c r="C1119" s="118" t="s">
        <v>612</v>
      </c>
      <c r="D1119" s="113">
        <v>40471</v>
      </c>
      <c r="E1119" s="84">
        <v>40544</v>
      </c>
      <c r="F1119" s="84">
        <f t="shared" si="126"/>
        <v>44197</v>
      </c>
      <c r="G1119" s="229">
        <v>40</v>
      </c>
      <c r="H1119" s="71" t="s">
        <v>3843</v>
      </c>
      <c r="I1119" s="71" t="s">
        <v>1147</v>
      </c>
      <c r="J1119" s="79"/>
      <c r="K1119" s="55">
        <f t="shared" si="127"/>
        <v>2021</v>
      </c>
      <c r="L1119" s="80"/>
      <c r="M1119" s="80"/>
      <c r="N1119" s="73" t="s">
        <v>3703</v>
      </c>
      <c r="O1119" s="73" t="s">
        <v>3856</v>
      </c>
      <c r="P1119" s="74"/>
      <c r="Q1119" s="75">
        <v>15</v>
      </c>
      <c r="R1119" s="230">
        <v>285</v>
      </c>
      <c r="S1119" s="230"/>
      <c r="T1119" s="230">
        <v>285</v>
      </c>
      <c r="U1119" s="231">
        <v>80</v>
      </c>
      <c r="V1119" s="230"/>
      <c r="W1119" s="230"/>
      <c r="X1119" s="231"/>
      <c r="Y1119" s="85"/>
      <c r="Z1119" s="101">
        <v>0.1</v>
      </c>
      <c r="AA1119" s="102">
        <v>0.09</v>
      </c>
      <c r="AB1119" s="77"/>
      <c r="AC1119" s="78"/>
    </row>
    <row r="1120" spans="1:29" x14ac:dyDescent="0.2">
      <c r="A1120" s="117" t="s">
        <v>3857</v>
      </c>
      <c r="B1120" s="118" t="e">
        <f t="shared" si="125"/>
        <v>#VALUE!</v>
      </c>
      <c r="C1120" s="118" t="s">
        <v>612</v>
      </c>
      <c r="D1120" s="113">
        <v>40471</v>
      </c>
      <c r="E1120" s="84">
        <v>40544</v>
      </c>
      <c r="F1120" s="84">
        <f t="shared" si="126"/>
        <v>44197</v>
      </c>
      <c r="G1120" s="229">
        <v>40</v>
      </c>
      <c r="H1120" s="71" t="s">
        <v>3843</v>
      </c>
      <c r="I1120" s="71" t="s">
        <v>1147</v>
      </c>
      <c r="J1120" s="79"/>
      <c r="K1120" s="55">
        <f t="shared" si="127"/>
        <v>2021</v>
      </c>
      <c r="L1120" s="80"/>
      <c r="M1120" s="80"/>
      <c r="N1120" s="73" t="s">
        <v>3703</v>
      </c>
      <c r="O1120" s="73" t="s">
        <v>3858</v>
      </c>
      <c r="P1120" s="74"/>
      <c r="Q1120" s="75">
        <v>16</v>
      </c>
      <c r="R1120" s="230">
        <v>285</v>
      </c>
      <c r="S1120" s="230"/>
      <c r="T1120" s="230">
        <v>285</v>
      </c>
      <c r="U1120" s="231">
        <v>80</v>
      </c>
      <c r="V1120" s="230"/>
      <c r="W1120" s="230"/>
      <c r="X1120" s="231"/>
      <c r="Y1120" s="85"/>
      <c r="Z1120" s="101">
        <v>0.1</v>
      </c>
      <c r="AA1120" s="102">
        <v>0.09</v>
      </c>
      <c r="AB1120" s="77"/>
      <c r="AC1120" s="78"/>
    </row>
    <row r="1121" spans="1:29" x14ac:dyDescent="0.2">
      <c r="A1121" s="117" t="s">
        <v>3859</v>
      </c>
      <c r="B1121" s="118" t="e">
        <f t="shared" si="125"/>
        <v>#VALUE!</v>
      </c>
      <c r="C1121" s="118" t="s">
        <v>612</v>
      </c>
      <c r="D1121" s="113">
        <v>40471</v>
      </c>
      <c r="E1121" s="84">
        <v>40544</v>
      </c>
      <c r="F1121" s="84">
        <f t="shared" si="126"/>
        <v>44197</v>
      </c>
      <c r="G1121" s="229">
        <v>80</v>
      </c>
      <c r="H1121" s="71" t="s">
        <v>3843</v>
      </c>
      <c r="I1121" s="71" t="s">
        <v>1147</v>
      </c>
      <c r="J1121" s="79"/>
      <c r="K1121" s="55">
        <f t="shared" si="127"/>
        <v>2021</v>
      </c>
      <c r="L1121" s="80"/>
      <c r="M1121" s="80"/>
      <c r="N1121" s="73" t="s">
        <v>3703</v>
      </c>
      <c r="O1121" s="73" t="s">
        <v>3860</v>
      </c>
      <c r="P1121" s="74"/>
      <c r="Q1121" s="75">
        <v>17</v>
      </c>
      <c r="R1121" s="230">
        <v>425</v>
      </c>
      <c r="S1121" s="230"/>
      <c r="T1121" s="230">
        <v>425</v>
      </c>
      <c r="U1121" s="231">
        <v>160</v>
      </c>
      <c r="V1121" s="230"/>
      <c r="W1121" s="230"/>
      <c r="X1121" s="231"/>
      <c r="Y1121" s="85"/>
      <c r="Z1121" s="101">
        <v>0.1</v>
      </c>
      <c r="AA1121" s="102">
        <v>0.09</v>
      </c>
      <c r="AB1121" s="77"/>
      <c r="AC1121" s="78"/>
    </row>
    <row r="1122" spans="1:29" x14ac:dyDescent="0.2">
      <c r="A1122" s="117" t="s">
        <v>3861</v>
      </c>
      <c r="B1122" s="118" t="e">
        <f t="shared" si="125"/>
        <v>#VALUE!</v>
      </c>
      <c r="C1122" s="118" t="s">
        <v>612</v>
      </c>
      <c r="D1122" s="113">
        <v>40471</v>
      </c>
      <c r="E1122" s="84">
        <v>40544</v>
      </c>
      <c r="F1122" s="84">
        <f t="shared" si="126"/>
        <v>44197</v>
      </c>
      <c r="G1122" s="229">
        <v>240</v>
      </c>
      <c r="H1122" s="71" t="s">
        <v>3843</v>
      </c>
      <c r="I1122" s="71" t="s">
        <v>1147</v>
      </c>
      <c r="J1122" s="79"/>
      <c r="K1122" s="55">
        <f t="shared" si="127"/>
        <v>2021</v>
      </c>
      <c r="L1122" s="80"/>
      <c r="M1122" s="80"/>
      <c r="N1122" s="73" t="s">
        <v>3703</v>
      </c>
      <c r="O1122" s="73" t="s">
        <v>3862</v>
      </c>
      <c r="P1122" s="74"/>
      <c r="Q1122" s="75">
        <v>18</v>
      </c>
      <c r="R1122" s="230">
        <v>7705</v>
      </c>
      <c r="S1122" s="230"/>
      <c r="T1122" s="230">
        <v>7705</v>
      </c>
      <c r="U1122" s="231">
        <v>480</v>
      </c>
      <c r="V1122" s="230"/>
      <c r="W1122" s="230"/>
      <c r="X1122" s="231"/>
      <c r="Y1122" s="85"/>
      <c r="Z1122" s="101">
        <v>0.1</v>
      </c>
      <c r="AA1122" s="102">
        <v>0.09</v>
      </c>
      <c r="AB1122" s="77"/>
      <c r="AC1122" s="78"/>
    </row>
    <row r="1123" spans="1:29" x14ac:dyDescent="0.2">
      <c r="A1123" s="117" t="s">
        <v>3863</v>
      </c>
      <c r="B1123" s="118" t="e">
        <f t="shared" si="125"/>
        <v>#VALUE!</v>
      </c>
      <c r="C1123" s="118" t="s">
        <v>612</v>
      </c>
      <c r="D1123" s="113">
        <v>40471</v>
      </c>
      <c r="E1123" s="84">
        <v>40544</v>
      </c>
      <c r="F1123" s="84">
        <f t="shared" si="126"/>
        <v>44197</v>
      </c>
      <c r="G1123" s="229">
        <v>40</v>
      </c>
      <c r="H1123" s="71" t="s">
        <v>3843</v>
      </c>
      <c r="I1123" s="71" t="s">
        <v>1147</v>
      </c>
      <c r="J1123" s="79"/>
      <c r="K1123" s="55">
        <f t="shared" si="127"/>
        <v>2021</v>
      </c>
      <c r="L1123" s="80"/>
      <c r="M1123" s="80"/>
      <c r="N1123" s="73" t="s">
        <v>3703</v>
      </c>
      <c r="O1123" s="73" t="s">
        <v>3864</v>
      </c>
      <c r="P1123" s="74"/>
      <c r="Q1123" s="75">
        <v>20</v>
      </c>
      <c r="R1123" s="230">
        <v>285</v>
      </c>
      <c r="S1123" s="230"/>
      <c r="T1123" s="230">
        <v>285</v>
      </c>
      <c r="U1123" s="231">
        <v>80</v>
      </c>
      <c r="V1123" s="230"/>
      <c r="W1123" s="230"/>
      <c r="X1123" s="231"/>
      <c r="Y1123" s="85"/>
      <c r="Z1123" s="101">
        <v>0.1</v>
      </c>
      <c r="AA1123" s="102">
        <v>0.09</v>
      </c>
      <c r="AB1123" s="77"/>
      <c r="AC1123" s="78"/>
    </row>
    <row r="1124" spans="1:29" x14ac:dyDescent="0.2">
      <c r="A1124" s="117" t="s">
        <v>3865</v>
      </c>
      <c r="B1124" s="118" t="e">
        <f t="shared" si="125"/>
        <v>#VALUE!</v>
      </c>
      <c r="C1124" s="118" t="s">
        <v>612</v>
      </c>
      <c r="D1124" s="113">
        <v>40471</v>
      </c>
      <c r="E1124" s="84">
        <v>40544</v>
      </c>
      <c r="F1124" s="84">
        <f t="shared" si="126"/>
        <v>44197</v>
      </c>
      <c r="G1124" s="229">
        <v>80</v>
      </c>
      <c r="H1124" s="71" t="s">
        <v>3843</v>
      </c>
      <c r="I1124" s="71" t="s">
        <v>1147</v>
      </c>
      <c r="J1124" s="79"/>
      <c r="K1124" s="55">
        <f t="shared" si="127"/>
        <v>2021</v>
      </c>
      <c r="L1124" s="80"/>
      <c r="M1124" s="80"/>
      <c r="N1124" s="73" t="s">
        <v>3703</v>
      </c>
      <c r="O1124" s="73" t="s">
        <v>3866</v>
      </c>
      <c r="P1124" s="74"/>
      <c r="Q1124" s="75">
        <v>21</v>
      </c>
      <c r="R1124" s="230">
        <v>425</v>
      </c>
      <c r="S1124" s="230"/>
      <c r="T1124" s="230">
        <v>425</v>
      </c>
      <c r="U1124" s="231">
        <v>160</v>
      </c>
      <c r="V1124" s="230"/>
      <c r="W1124" s="230"/>
      <c r="X1124" s="231"/>
      <c r="Y1124" s="85"/>
      <c r="Z1124" s="101">
        <v>0.1</v>
      </c>
      <c r="AA1124" s="102">
        <v>0.09</v>
      </c>
      <c r="AB1124" s="77"/>
      <c r="AC1124" s="78"/>
    </row>
    <row r="1125" spans="1:29" x14ac:dyDescent="0.2">
      <c r="A1125" s="117" t="s">
        <v>3867</v>
      </c>
      <c r="B1125" s="118" t="e">
        <f t="shared" si="125"/>
        <v>#VALUE!</v>
      </c>
      <c r="C1125" s="118" t="s">
        <v>612</v>
      </c>
      <c r="D1125" s="113">
        <v>40471</v>
      </c>
      <c r="E1125" s="84">
        <v>40544</v>
      </c>
      <c r="F1125" s="84">
        <f t="shared" si="126"/>
        <v>44197</v>
      </c>
      <c r="G1125" s="229">
        <v>40</v>
      </c>
      <c r="H1125" s="71" t="s">
        <v>3843</v>
      </c>
      <c r="I1125" s="71" t="s">
        <v>1147</v>
      </c>
      <c r="J1125" s="79"/>
      <c r="K1125" s="55">
        <f t="shared" si="127"/>
        <v>2021</v>
      </c>
      <c r="L1125" s="80"/>
      <c r="M1125" s="80"/>
      <c r="N1125" s="73" t="s">
        <v>3703</v>
      </c>
      <c r="O1125" s="73" t="s">
        <v>3868</v>
      </c>
      <c r="P1125" s="74"/>
      <c r="Q1125" s="75">
        <v>22</v>
      </c>
      <c r="R1125" s="230">
        <v>285</v>
      </c>
      <c r="S1125" s="230"/>
      <c r="T1125" s="230">
        <v>285</v>
      </c>
      <c r="U1125" s="231">
        <v>80</v>
      </c>
      <c r="V1125" s="230"/>
      <c r="W1125" s="230"/>
      <c r="X1125" s="231"/>
      <c r="Y1125" s="85"/>
      <c r="Z1125" s="101">
        <v>0.1</v>
      </c>
      <c r="AA1125" s="102">
        <v>0.09</v>
      </c>
      <c r="AB1125" s="77"/>
      <c r="AC1125" s="78"/>
    </row>
    <row r="1126" spans="1:29" x14ac:dyDescent="0.2">
      <c r="A1126" s="117" t="s">
        <v>3869</v>
      </c>
      <c r="B1126" s="118" t="e">
        <f t="shared" si="125"/>
        <v>#VALUE!</v>
      </c>
      <c r="C1126" s="118" t="s">
        <v>612</v>
      </c>
      <c r="D1126" s="113">
        <v>40471</v>
      </c>
      <c r="E1126" s="84">
        <v>40544</v>
      </c>
      <c r="F1126" s="84">
        <f t="shared" si="126"/>
        <v>44197</v>
      </c>
      <c r="G1126" s="229">
        <v>40</v>
      </c>
      <c r="H1126" s="71" t="s">
        <v>3843</v>
      </c>
      <c r="I1126" s="71" t="s">
        <v>1147</v>
      </c>
      <c r="J1126" s="79"/>
      <c r="K1126" s="55">
        <f t="shared" si="127"/>
        <v>2021</v>
      </c>
      <c r="L1126" s="80"/>
      <c r="M1126" s="80"/>
      <c r="N1126" s="73" t="s">
        <v>3703</v>
      </c>
      <c r="O1126" s="73" t="s">
        <v>3870</v>
      </c>
      <c r="P1126" s="74"/>
      <c r="Q1126" s="75">
        <v>23</v>
      </c>
      <c r="R1126" s="230">
        <v>285</v>
      </c>
      <c r="S1126" s="230"/>
      <c r="T1126" s="230">
        <v>285</v>
      </c>
      <c r="U1126" s="231">
        <v>80</v>
      </c>
      <c r="V1126" s="230"/>
      <c r="W1126" s="230"/>
      <c r="X1126" s="231"/>
      <c r="Y1126" s="85"/>
      <c r="Z1126" s="101">
        <v>0.1</v>
      </c>
      <c r="AA1126" s="102">
        <v>0.09</v>
      </c>
      <c r="AB1126" s="77"/>
      <c r="AC1126" s="78"/>
    </row>
    <row r="1127" spans="1:29" x14ac:dyDescent="0.2">
      <c r="A1127" s="117" t="s">
        <v>3871</v>
      </c>
      <c r="B1127" s="118" t="e">
        <f t="shared" si="125"/>
        <v>#VALUE!</v>
      </c>
      <c r="C1127" s="118" t="s">
        <v>612</v>
      </c>
      <c r="D1127" s="113">
        <v>40471</v>
      </c>
      <c r="E1127" s="84">
        <v>40544</v>
      </c>
      <c r="F1127" s="84">
        <f t="shared" si="126"/>
        <v>44197</v>
      </c>
      <c r="G1127" s="229">
        <v>80</v>
      </c>
      <c r="H1127" s="71" t="s">
        <v>3843</v>
      </c>
      <c r="I1127" s="71" t="s">
        <v>1147</v>
      </c>
      <c r="J1127" s="79"/>
      <c r="K1127" s="55">
        <f t="shared" si="127"/>
        <v>2021</v>
      </c>
      <c r="L1127" s="80"/>
      <c r="M1127" s="80"/>
      <c r="N1127" s="73" t="s">
        <v>3703</v>
      </c>
      <c r="O1127" s="73" t="s">
        <v>3872</v>
      </c>
      <c r="P1127" s="74"/>
      <c r="Q1127" s="75">
        <v>24</v>
      </c>
      <c r="R1127" s="230">
        <v>425</v>
      </c>
      <c r="S1127" s="230"/>
      <c r="T1127" s="230">
        <v>425</v>
      </c>
      <c r="U1127" s="231">
        <v>160</v>
      </c>
      <c r="V1127" s="230"/>
      <c r="W1127" s="230"/>
      <c r="X1127" s="231"/>
      <c r="Y1127" s="85"/>
      <c r="Z1127" s="101">
        <v>0.1</v>
      </c>
      <c r="AA1127" s="102">
        <v>0.09</v>
      </c>
      <c r="AB1127" s="77"/>
      <c r="AC1127" s="78"/>
    </row>
    <row r="1128" spans="1:29" ht="53" customHeight="1" x14ac:dyDescent="0.2">
      <c r="A1128" s="117" t="s">
        <v>3873</v>
      </c>
      <c r="B1128" s="118" t="e">
        <f t="shared" si="125"/>
        <v>#VALUE!</v>
      </c>
      <c r="C1128" s="118" t="s">
        <v>612</v>
      </c>
      <c r="D1128" s="113">
        <v>40471</v>
      </c>
      <c r="E1128" s="84">
        <v>40544</v>
      </c>
      <c r="F1128" s="84">
        <f t="shared" si="126"/>
        <v>44197</v>
      </c>
      <c r="G1128" s="229">
        <v>170</v>
      </c>
      <c r="H1128" s="71" t="s">
        <v>3302</v>
      </c>
      <c r="I1128" s="71" t="s">
        <v>614</v>
      </c>
      <c r="J1128" s="79"/>
      <c r="K1128" s="55">
        <f t="shared" si="127"/>
        <v>2021</v>
      </c>
      <c r="L1128" s="80"/>
      <c r="M1128" s="80"/>
      <c r="N1128" s="73" t="s">
        <v>3874</v>
      </c>
      <c r="O1128" s="73" t="s">
        <v>3875</v>
      </c>
      <c r="P1128" s="74" t="s">
        <v>3876</v>
      </c>
      <c r="Q1128" s="75">
        <v>39</v>
      </c>
      <c r="R1128" s="230">
        <v>8900</v>
      </c>
      <c r="S1128" s="230"/>
      <c r="T1128" s="230">
        <v>8900</v>
      </c>
      <c r="U1128" s="231">
        <v>340</v>
      </c>
      <c r="V1128" s="230"/>
      <c r="W1128" s="230"/>
      <c r="X1128" s="231"/>
      <c r="Y1128" s="85"/>
      <c r="Z1128" s="101">
        <v>0.1</v>
      </c>
      <c r="AA1128" s="102">
        <v>0.09</v>
      </c>
      <c r="AB1128" s="77" t="s">
        <v>1069</v>
      </c>
      <c r="AC1128" s="78"/>
    </row>
    <row r="1129" spans="1:29" ht="40" customHeight="1" x14ac:dyDescent="0.2">
      <c r="A1129" s="117" t="s">
        <v>3877</v>
      </c>
      <c r="B1129" s="118" t="e">
        <f t="shared" si="125"/>
        <v>#VALUE!</v>
      </c>
      <c r="C1129" s="118" t="s">
        <v>612</v>
      </c>
      <c r="D1129" s="113">
        <v>40471</v>
      </c>
      <c r="E1129" s="84">
        <v>40544</v>
      </c>
      <c r="F1129" s="84">
        <f t="shared" si="126"/>
        <v>44197</v>
      </c>
      <c r="G1129" s="229">
        <v>837</v>
      </c>
      <c r="H1129" s="71" t="s">
        <v>3302</v>
      </c>
      <c r="I1129" s="71" t="s">
        <v>614</v>
      </c>
      <c r="J1129" s="79"/>
      <c r="K1129" s="55">
        <f t="shared" si="127"/>
        <v>2021</v>
      </c>
      <c r="L1129" s="80"/>
      <c r="M1129" s="80"/>
      <c r="N1129" s="73" t="s">
        <v>3878</v>
      </c>
      <c r="O1129" s="73" t="s">
        <v>3879</v>
      </c>
      <c r="P1129" s="74" t="s">
        <v>3880</v>
      </c>
      <c r="Q1129" s="75">
        <v>40</v>
      </c>
      <c r="R1129" s="230">
        <v>93470.5</v>
      </c>
      <c r="S1129" s="230"/>
      <c r="T1129" s="230">
        <v>93470.5</v>
      </c>
      <c r="U1129" s="231">
        <v>1674</v>
      </c>
      <c r="V1129" s="230"/>
      <c r="W1129" s="230"/>
      <c r="X1129" s="231"/>
      <c r="Y1129" s="85"/>
      <c r="Z1129" s="101">
        <v>0.1</v>
      </c>
      <c r="AA1129" s="102">
        <v>0.09</v>
      </c>
      <c r="AB1129" s="77" t="s">
        <v>1069</v>
      </c>
      <c r="AC1129" s="78"/>
    </row>
    <row r="1130" spans="1:29" ht="15" hidden="1" customHeight="1" thickBot="1" x14ac:dyDescent="0.25">
      <c r="A1130" s="117"/>
      <c r="D1130" s="71"/>
      <c r="E1130" s="78"/>
      <c r="F1130" s="84"/>
      <c r="G1130" s="229"/>
      <c r="H1130" s="71"/>
      <c r="I1130" s="71"/>
      <c r="J1130" s="79"/>
      <c r="K1130" s="79"/>
      <c r="L1130" s="80"/>
      <c r="M1130" s="80"/>
      <c r="N1130" s="73"/>
      <c r="O1130" s="73"/>
      <c r="P1130" s="74"/>
      <c r="Q1130" s="75" t="s">
        <v>3881</v>
      </c>
      <c r="R1130" s="241">
        <v>138773</v>
      </c>
      <c r="S1130" s="241"/>
      <c r="T1130" s="241">
        <v>138773</v>
      </c>
      <c r="U1130" s="231"/>
      <c r="V1130" s="230"/>
      <c r="W1130" s="230"/>
      <c r="X1130" s="231"/>
      <c r="Y1130" s="85"/>
      <c r="Z1130" s="85"/>
      <c r="AA1130" s="76"/>
      <c r="AB1130" s="77"/>
      <c r="AC1130" s="78"/>
    </row>
    <row r="1131" spans="1:29" hidden="1" x14ac:dyDescent="0.2">
      <c r="A1131" s="117"/>
      <c r="D1131" s="71"/>
      <c r="E1131" s="78"/>
      <c r="F1131" s="84"/>
      <c r="G1131" s="229"/>
      <c r="H1131" s="71"/>
      <c r="I1131" s="71"/>
      <c r="J1131" s="79"/>
      <c r="K1131" s="79"/>
      <c r="L1131" s="80"/>
      <c r="M1131" s="80"/>
      <c r="N1131" s="73"/>
      <c r="O1131" s="73"/>
      <c r="P1131" s="74"/>
      <c r="Q1131" s="75" t="s">
        <v>3217</v>
      </c>
      <c r="R1131" s="230">
        <v>99072</v>
      </c>
      <c r="S1131" s="230"/>
      <c r="T1131" s="230"/>
      <c r="U1131" s="231"/>
      <c r="V1131" s="230"/>
      <c r="W1131" s="230"/>
      <c r="X1131" s="231"/>
      <c r="Y1131" s="85"/>
      <c r="Z1131" s="85"/>
      <c r="AA1131" s="76"/>
      <c r="AB1131" s="77"/>
      <c r="AC1131" s="78"/>
    </row>
    <row r="1132" spans="1:29" hidden="1" x14ac:dyDescent="0.2">
      <c r="A1132" s="117"/>
      <c r="D1132" s="71"/>
      <c r="E1132" s="78" t="s">
        <v>3882</v>
      </c>
      <c r="F1132" s="84"/>
      <c r="G1132" s="229"/>
      <c r="H1132" s="71"/>
      <c r="I1132" s="71"/>
      <c r="J1132" s="79"/>
      <c r="K1132" s="79"/>
      <c r="L1132" s="80"/>
      <c r="M1132" s="80"/>
      <c r="N1132" s="73"/>
      <c r="O1132" s="73"/>
      <c r="P1132" s="74"/>
      <c r="Q1132" s="75"/>
      <c r="R1132" s="230">
        <v>40701</v>
      </c>
      <c r="S1132" s="230"/>
      <c r="T1132" s="230"/>
      <c r="U1132" s="231"/>
      <c r="V1132" s="230"/>
      <c r="W1132" s="230"/>
      <c r="X1132" s="231"/>
      <c r="Y1132" s="85"/>
      <c r="Z1132" s="85"/>
      <c r="AA1132" s="76"/>
      <c r="AB1132" s="77"/>
      <c r="AC1132" s="78"/>
    </row>
    <row r="1133" spans="1:29" hidden="1" x14ac:dyDescent="0.2">
      <c r="A1133" s="117"/>
      <c r="D1133" s="71"/>
      <c r="E1133" s="78"/>
      <c r="F1133" s="84"/>
      <c r="G1133" s="229"/>
      <c r="H1133" s="71"/>
      <c r="I1133" s="71"/>
      <c r="J1133" s="79"/>
      <c r="K1133" s="79"/>
      <c r="L1133" s="80"/>
      <c r="M1133" s="80"/>
      <c r="N1133" s="73"/>
      <c r="O1133" s="73"/>
      <c r="P1133" s="74"/>
      <c r="Q1133" s="75"/>
      <c r="R1133" s="230">
        <v>139773</v>
      </c>
      <c r="S1133" s="230"/>
      <c r="T1133" s="230"/>
      <c r="U1133" s="231"/>
      <c r="V1133" s="230"/>
      <c r="W1133" s="230"/>
      <c r="X1133" s="231"/>
      <c r="Y1133" s="85"/>
      <c r="Z1133" s="85"/>
      <c r="AA1133" s="76"/>
      <c r="AB1133" s="77"/>
      <c r="AC1133" s="78"/>
    </row>
    <row r="1134" spans="1:29" hidden="1" x14ac:dyDescent="0.2">
      <c r="A1134" s="117"/>
      <c r="D1134" s="71"/>
      <c r="E1134" s="78"/>
      <c r="F1134" s="84"/>
      <c r="G1134" s="229"/>
      <c r="H1134" s="71"/>
      <c r="I1134" s="71"/>
      <c r="J1134" s="79"/>
      <c r="K1134" s="79"/>
      <c r="L1134" s="80"/>
      <c r="M1134" s="80"/>
      <c r="N1134" s="73"/>
      <c r="O1134" s="73"/>
      <c r="P1134" s="74"/>
      <c r="Q1134" s="75"/>
      <c r="R1134" s="230"/>
      <c r="S1134" s="230"/>
      <c r="T1134" s="230"/>
      <c r="U1134" s="231"/>
      <c r="V1134" s="230"/>
      <c r="W1134" s="230"/>
      <c r="X1134" s="231"/>
      <c r="Y1134" s="85"/>
      <c r="Z1134" s="85"/>
      <c r="AA1134" s="76"/>
      <c r="AB1134" s="77"/>
      <c r="AC1134" s="78"/>
    </row>
    <row r="1135" spans="1:29" ht="79" customHeight="1" x14ac:dyDescent="0.2">
      <c r="A1135" s="117" t="s">
        <v>3883</v>
      </c>
      <c r="B1135" s="118" t="e">
        <f t="shared" ref="B1135:B1149" si="128">IF(COUNTIF(GIS,A1135),"YES","NO")</f>
        <v>#VALUE!</v>
      </c>
      <c r="C1135" s="118" t="s">
        <v>612</v>
      </c>
      <c r="D1135" s="113">
        <v>40521</v>
      </c>
      <c r="E1135" s="84">
        <v>40575</v>
      </c>
      <c r="F1135" s="84">
        <f t="shared" ref="F1135:F1149" si="129">DATE(YEAR(E1135)+10,MONTH(E1135),DAY(E1135))</f>
        <v>44228</v>
      </c>
      <c r="G1135" s="229">
        <v>249.09</v>
      </c>
      <c r="H1135" s="71" t="s">
        <v>3884</v>
      </c>
      <c r="I1135" s="71" t="s">
        <v>931</v>
      </c>
      <c r="J1135" s="79"/>
      <c r="K1135" s="55">
        <f t="shared" ref="K1135:K1149" si="130">YEAR(F1135)</f>
        <v>2021</v>
      </c>
      <c r="L1135" s="80"/>
      <c r="M1135" s="80"/>
      <c r="N1135" s="73" t="s">
        <v>3885</v>
      </c>
      <c r="O1135" s="73" t="s">
        <v>3886</v>
      </c>
      <c r="P1135" s="74" t="s">
        <v>3887</v>
      </c>
      <c r="Q1135" s="75">
        <v>1</v>
      </c>
      <c r="R1135" s="230">
        <v>1020</v>
      </c>
      <c r="S1135" s="230"/>
      <c r="T1135" s="230">
        <v>1020</v>
      </c>
      <c r="U1135" s="231">
        <v>500</v>
      </c>
      <c r="V1135" s="230"/>
      <c r="W1135" s="230"/>
      <c r="X1135" s="231"/>
      <c r="Y1135" s="85"/>
      <c r="Z1135" s="101">
        <v>0.1</v>
      </c>
      <c r="AA1135" s="102">
        <v>0.09</v>
      </c>
      <c r="AB1135" s="77"/>
      <c r="AC1135" s="78"/>
    </row>
    <row r="1136" spans="1:29" ht="66" customHeight="1" x14ac:dyDescent="0.2">
      <c r="A1136" s="117" t="s">
        <v>3888</v>
      </c>
      <c r="B1136" s="118" t="e">
        <f t="shared" si="128"/>
        <v>#VALUE!</v>
      </c>
      <c r="C1136" s="118" t="s">
        <v>612</v>
      </c>
      <c r="D1136" s="113">
        <v>40521</v>
      </c>
      <c r="E1136" s="84">
        <v>40575</v>
      </c>
      <c r="F1136" s="84">
        <f t="shared" si="129"/>
        <v>44228</v>
      </c>
      <c r="G1136" s="229">
        <v>39.93</v>
      </c>
      <c r="H1136" s="71" t="s">
        <v>3889</v>
      </c>
      <c r="I1136" s="71" t="s">
        <v>931</v>
      </c>
      <c r="J1136" s="72" t="s">
        <v>3890</v>
      </c>
      <c r="K1136" s="55">
        <f t="shared" si="130"/>
        <v>2021</v>
      </c>
      <c r="L1136" s="72"/>
      <c r="M1136" s="72"/>
      <c r="N1136" s="73" t="s">
        <v>3891</v>
      </c>
      <c r="O1136" s="73" t="s">
        <v>3892</v>
      </c>
      <c r="P1136" s="74" t="s">
        <v>3893</v>
      </c>
      <c r="Q1136" s="75">
        <v>2</v>
      </c>
      <c r="R1136" s="230">
        <v>285</v>
      </c>
      <c r="S1136" s="230"/>
      <c r="T1136" s="230">
        <v>285</v>
      </c>
      <c r="U1136" s="231">
        <v>60</v>
      </c>
      <c r="V1136" s="230"/>
      <c r="W1136" s="230"/>
      <c r="X1136" s="231"/>
      <c r="Y1136" s="85"/>
      <c r="Z1136" s="101">
        <v>0.1</v>
      </c>
      <c r="AA1136" s="102">
        <v>0.09</v>
      </c>
      <c r="AC1136" s="78" t="s">
        <v>3894</v>
      </c>
    </row>
    <row r="1137" spans="1:29" ht="118" customHeight="1" x14ac:dyDescent="0.2">
      <c r="A1137" s="117" t="s">
        <v>3895</v>
      </c>
      <c r="B1137" s="118" t="e">
        <f t="shared" si="128"/>
        <v>#VALUE!</v>
      </c>
      <c r="C1137" s="118" t="s">
        <v>612</v>
      </c>
      <c r="D1137" s="113">
        <v>40521</v>
      </c>
      <c r="E1137" s="84">
        <v>40575</v>
      </c>
      <c r="F1137" s="84">
        <f t="shared" si="129"/>
        <v>44228</v>
      </c>
      <c r="G1137" s="229">
        <v>160</v>
      </c>
      <c r="H1137" s="71" t="s">
        <v>3896</v>
      </c>
      <c r="I1137" s="71" t="s">
        <v>676</v>
      </c>
      <c r="J1137" s="79"/>
      <c r="K1137" s="55">
        <f t="shared" si="130"/>
        <v>2021</v>
      </c>
      <c r="L1137" s="80"/>
      <c r="M1137" s="80"/>
      <c r="N1137" s="73" t="s">
        <v>3897</v>
      </c>
      <c r="O1137" s="73" t="s">
        <v>3898</v>
      </c>
      <c r="P1137" s="74" t="s">
        <v>3899</v>
      </c>
      <c r="Q1137" s="75">
        <v>4</v>
      </c>
      <c r="R1137" s="230">
        <v>705</v>
      </c>
      <c r="S1137" s="230"/>
      <c r="T1137" s="230">
        <v>705</v>
      </c>
      <c r="U1137" s="231">
        <v>320</v>
      </c>
      <c r="V1137" s="230"/>
      <c r="W1137" s="230"/>
      <c r="X1137" s="231"/>
      <c r="Y1137" s="85"/>
      <c r="Z1137" s="101">
        <v>0.1</v>
      </c>
      <c r="AA1137" s="102">
        <v>0.09</v>
      </c>
      <c r="AB1137" s="77"/>
      <c r="AC1137" s="78"/>
    </row>
    <row r="1138" spans="1:29" ht="66" customHeight="1" x14ac:dyDescent="0.2">
      <c r="A1138" s="117" t="s">
        <v>3900</v>
      </c>
      <c r="B1138" s="118" t="e">
        <f t="shared" si="128"/>
        <v>#VALUE!</v>
      </c>
      <c r="C1138" s="118" t="s">
        <v>612</v>
      </c>
      <c r="D1138" s="113">
        <v>40521</v>
      </c>
      <c r="E1138" s="84">
        <v>40575</v>
      </c>
      <c r="F1138" s="84">
        <f t="shared" si="129"/>
        <v>44228</v>
      </c>
      <c r="G1138" s="229">
        <v>56.25</v>
      </c>
      <c r="H1138" s="71" t="s">
        <v>3901</v>
      </c>
      <c r="I1138" s="71" t="s">
        <v>684</v>
      </c>
      <c r="J1138" s="79"/>
      <c r="K1138" s="55">
        <f t="shared" si="130"/>
        <v>2021</v>
      </c>
      <c r="L1138" s="80"/>
      <c r="M1138" s="80"/>
      <c r="N1138" s="73" t="s">
        <v>3902</v>
      </c>
      <c r="O1138" s="73" t="s">
        <v>3903</v>
      </c>
      <c r="P1138" s="74" t="s">
        <v>3904</v>
      </c>
      <c r="Q1138" s="75">
        <v>5</v>
      </c>
      <c r="R1138" s="230">
        <v>344.5</v>
      </c>
      <c r="S1138" s="230"/>
      <c r="T1138" s="230">
        <v>344.5</v>
      </c>
      <c r="U1138" s="231">
        <v>114</v>
      </c>
      <c r="V1138" s="230"/>
      <c r="W1138" s="230"/>
      <c r="X1138" s="231"/>
      <c r="Y1138" s="85"/>
      <c r="Z1138" s="101">
        <v>0.1</v>
      </c>
      <c r="AA1138" s="102">
        <v>0.09</v>
      </c>
      <c r="AB1138" s="77"/>
      <c r="AC1138" s="78"/>
    </row>
    <row r="1139" spans="1:29" ht="79" customHeight="1" x14ac:dyDescent="0.2">
      <c r="A1139" s="117" t="s">
        <v>3905</v>
      </c>
      <c r="B1139" s="118" t="e">
        <f t="shared" si="128"/>
        <v>#VALUE!</v>
      </c>
      <c r="C1139" s="118" t="s">
        <v>612</v>
      </c>
      <c r="D1139" s="113">
        <v>40521</v>
      </c>
      <c r="E1139" s="84">
        <v>40575</v>
      </c>
      <c r="F1139" s="84">
        <f t="shared" si="129"/>
        <v>44228</v>
      </c>
      <c r="G1139" s="229">
        <v>583.49</v>
      </c>
      <c r="H1139" s="71" t="s">
        <v>3906</v>
      </c>
      <c r="I1139" s="71" t="s">
        <v>684</v>
      </c>
      <c r="J1139" s="79"/>
      <c r="K1139" s="55">
        <f t="shared" si="130"/>
        <v>2021</v>
      </c>
      <c r="L1139" s="80"/>
      <c r="M1139" s="80"/>
      <c r="N1139" s="73" t="s">
        <v>3907</v>
      </c>
      <c r="O1139" s="73" t="s">
        <v>3908</v>
      </c>
      <c r="P1139" s="74" t="s">
        <v>3909</v>
      </c>
      <c r="Q1139" s="75">
        <v>7</v>
      </c>
      <c r="R1139" s="230">
        <v>2189</v>
      </c>
      <c r="S1139" s="230"/>
      <c r="T1139" s="230">
        <v>2189</v>
      </c>
      <c r="U1139" s="231">
        <v>1168</v>
      </c>
      <c r="V1139" s="230"/>
      <c r="W1139" s="230"/>
      <c r="X1139" s="231"/>
      <c r="Y1139" s="85"/>
      <c r="Z1139" s="101">
        <v>0.1</v>
      </c>
      <c r="AA1139" s="102">
        <v>0.09</v>
      </c>
      <c r="AB1139" s="77"/>
      <c r="AC1139" s="78"/>
    </row>
    <row r="1140" spans="1:29" ht="66" customHeight="1" x14ac:dyDescent="0.2">
      <c r="A1140" s="117" t="s">
        <v>3910</v>
      </c>
      <c r="B1140" s="118" t="e">
        <f t="shared" si="128"/>
        <v>#VALUE!</v>
      </c>
      <c r="C1140" s="118" t="s">
        <v>612</v>
      </c>
      <c r="D1140" s="113">
        <v>40521</v>
      </c>
      <c r="E1140" s="84">
        <v>40575</v>
      </c>
      <c r="F1140" s="84">
        <f t="shared" si="129"/>
        <v>44228</v>
      </c>
      <c r="G1140" s="229">
        <v>55.5</v>
      </c>
      <c r="H1140" s="71" t="s">
        <v>3911</v>
      </c>
      <c r="I1140" s="71" t="s">
        <v>684</v>
      </c>
      <c r="J1140" s="79"/>
      <c r="K1140" s="55">
        <f t="shared" si="130"/>
        <v>2021</v>
      </c>
      <c r="L1140" s="80"/>
      <c r="M1140" s="80"/>
      <c r="N1140" s="73" t="s">
        <v>3912</v>
      </c>
      <c r="O1140" s="73" t="s">
        <v>3913</v>
      </c>
      <c r="P1140" s="74" t="s">
        <v>3914</v>
      </c>
      <c r="Q1140" s="75">
        <v>10</v>
      </c>
      <c r="R1140" s="230">
        <v>341</v>
      </c>
      <c r="S1140" s="230"/>
      <c r="T1140" s="230">
        <v>341</v>
      </c>
      <c r="U1140" s="231">
        <v>112</v>
      </c>
      <c r="V1140" s="230"/>
      <c r="W1140" s="230"/>
      <c r="X1140" s="231"/>
      <c r="Y1140" s="85"/>
      <c r="Z1140" s="101">
        <v>0.1</v>
      </c>
      <c r="AA1140" s="102">
        <v>0.09</v>
      </c>
      <c r="AB1140" s="77"/>
      <c r="AC1140" s="78"/>
    </row>
    <row r="1141" spans="1:29" ht="66" customHeight="1" x14ac:dyDescent="0.2">
      <c r="A1141" s="117" t="s">
        <v>3915</v>
      </c>
      <c r="B1141" s="118" t="e">
        <f t="shared" si="128"/>
        <v>#VALUE!</v>
      </c>
      <c r="C1141" s="118" t="s">
        <v>612</v>
      </c>
      <c r="D1141" s="113">
        <v>40521</v>
      </c>
      <c r="E1141" s="84">
        <v>40575</v>
      </c>
      <c r="F1141" s="84">
        <f t="shared" si="129"/>
        <v>44228</v>
      </c>
      <c r="G1141" s="229">
        <v>213.97</v>
      </c>
      <c r="H1141" s="71" t="s">
        <v>3911</v>
      </c>
      <c r="I1141" s="71" t="s">
        <v>684</v>
      </c>
      <c r="J1141" s="79"/>
      <c r="K1141" s="55">
        <f t="shared" si="130"/>
        <v>2021</v>
      </c>
      <c r="L1141" s="80"/>
      <c r="M1141" s="80"/>
      <c r="N1141" s="73" t="s">
        <v>3912</v>
      </c>
      <c r="O1141" s="73" t="s">
        <v>3916</v>
      </c>
      <c r="P1141" s="74" t="s">
        <v>3914</v>
      </c>
      <c r="Q1141" s="75">
        <v>11</v>
      </c>
      <c r="R1141" s="230">
        <v>894</v>
      </c>
      <c r="S1141" s="230"/>
      <c r="T1141" s="230">
        <v>894</v>
      </c>
      <c r="U1141" s="231">
        <v>428</v>
      </c>
      <c r="V1141" s="230"/>
      <c r="W1141" s="230"/>
      <c r="X1141" s="231"/>
      <c r="Y1141" s="85"/>
      <c r="Z1141" s="101">
        <v>0.1</v>
      </c>
      <c r="AA1141" s="102">
        <v>0.09</v>
      </c>
      <c r="AB1141" s="77"/>
      <c r="AC1141" s="78"/>
    </row>
    <row r="1142" spans="1:29" ht="66" customHeight="1" x14ac:dyDescent="0.2">
      <c r="A1142" s="117" t="s">
        <v>3917</v>
      </c>
      <c r="B1142" s="118" t="e">
        <f t="shared" si="128"/>
        <v>#VALUE!</v>
      </c>
      <c r="C1142" s="118" t="s">
        <v>612</v>
      </c>
      <c r="D1142" s="113">
        <v>40521</v>
      </c>
      <c r="E1142" s="84">
        <v>40575</v>
      </c>
      <c r="F1142" s="84">
        <f t="shared" si="129"/>
        <v>44228</v>
      </c>
      <c r="G1142" s="229">
        <v>39.93</v>
      </c>
      <c r="H1142" s="71" t="s">
        <v>3918</v>
      </c>
      <c r="I1142" s="71" t="s">
        <v>684</v>
      </c>
      <c r="J1142" s="79"/>
      <c r="K1142" s="55">
        <f t="shared" si="130"/>
        <v>2021</v>
      </c>
      <c r="L1142" s="80"/>
      <c r="M1142" s="80"/>
      <c r="N1142" s="73" t="s">
        <v>3919</v>
      </c>
      <c r="O1142" s="73" t="s">
        <v>3920</v>
      </c>
      <c r="P1142" s="74" t="s">
        <v>3914</v>
      </c>
      <c r="Q1142" s="75">
        <v>12</v>
      </c>
      <c r="R1142" s="230">
        <v>285</v>
      </c>
      <c r="S1142" s="230"/>
      <c r="T1142" s="230">
        <v>285</v>
      </c>
      <c r="U1142" s="231">
        <v>80</v>
      </c>
      <c r="V1142" s="230"/>
      <c r="W1142" s="230"/>
      <c r="X1142" s="231"/>
      <c r="Y1142" s="85"/>
      <c r="Z1142" s="101">
        <v>0.1</v>
      </c>
      <c r="AA1142" s="102">
        <v>0.09</v>
      </c>
      <c r="AB1142" s="77"/>
      <c r="AC1142" s="78"/>
    </row>
    <row r="1143" spans="1:29" ht="27" customHeight="1" x14ac:dyDescent="0.2">
      <c r="A1143" s="117" t="s">
        <v>3921</v>
      </c>
      <c r="B1143" s="118" t="e">
        <f t="shared" si="128"/>
        <v>#VALUE!</v>
      </c>
      <c r="C1143" s="118" t="s">
        <v>612</v>
      </c>
      <c r="D1143" s="113">
        <v>40521</v>
      </c>
      <c r="E1143" s="84">
        <v>40575</v>
      </c>
      <c r="F1143" s="84">
        <f t="shared" si="129"/>
        <v>44228</v>
      </c>
      <c r="G1143" s="229">
        <v>287.04000000000002</v>
      </c>
      <c r="H1143" s="71" t="s">
        <v>3906</v>
      </c>
      <c r="I1143" s="71" t="s">
        <v>684</v>
      </c>
      <c r="J1143" s="79"/>
      <c r="K1143" s="55">
        <f t="shared" si="130"/>
        <v>2021</v>
      </c>
      <c r="L1143" s="80"/>
      <c r="M1143" s="80"/>
      <c r="N1143" s="73" t="s">
        <v>3907</v>
      </c>
      <c r="O1143" s="73" t="s">
        <v>3922</v>
      </c>
      <c r="P1143" s="74"/>
      <c r="Q1143" s="75">
        <v>19</v>
      </c>
      <c r="R1143" s="230">
        <v>1153</v>
      </c>
      <c r="S1143" s="230"/>
      <c r="T1143" s="230">
        <v>1153</v>
      </c>
      <c r="U1143" s="231">
        <v>576</v>
      </c>
      <c r="V1143" s="230"/>
      <c r="W1143" s="230"/>
      <c r="X1143" s="231"/>
      <c r="Y1143" s="85"/>
      <c r="Z1143" s="101">
        <v>0.1</v>
      </c>
      <c r="AA1143" s="102">
        <v>0.09</v>
      </c>
      <c r="AB1143" s="77"/>
      <c r="AC1143" s="78"/>
    </row>
    <row r="1144" spans="1:29" ht="27" customHeight="1" x14ac:dyDescent="0.2">
      <c r="A1144" s="117" t="s">
        <v>3923</v>
      </c>
      <c r="B1144" s="118" t="e">
        <f t="shared" si="128"/>
        <v>#VALUE!</v>
      </c>
      <c r="C1144" s="118" t="s">
        <v>612</v>
      </c>
      <c r="D1144" s="113">
        <v>40521</v>
      </c>
      <c r="E1144" s="84">
        <v>40575</v>
      </c>
      <c r="F1144" s="84">
        <f t="shared" si="129"/>
        <v>44228</v>
      </c>
      <c r="G1144" s="229">
        <v>169.39</v>
      </c>
      <c r="H1144" s="71" t="s">
        <v>3906</v>
      </c>
      <c r="I1144" s="71" t="s">
        <v>684</v>
      </c>
      <c r="J1144" s="79"/>
      <c r="K1144" s="55">
        <f t="shared" si="130"/>
        <v>2021</v>
      </c>
      <c r="L1144" s="80"/>
      <c r="M1144" s="80"/>
      <c r="N1144" s="73" t="s">
        <v>3907</v>
      </c>
      <c r="O1144" s="73" t="s">
        <v>3922</v>
      </c>
      <c r="P1144" s="74"/>
      <c r="Q1144" s="75">
        <v>20</v>
      </c>
      <c r="R1144" s="230">
        <v>740</v>
      </c>
      <c r="S1144" s="230"/>
      <c r="T1144" s="230">
        <v>740</v>
      </c>
      <c r="U1144" s="231">
        <v>340</v>
      </c>
      <c r="V1144" s="230"/>
      <c r="W1144" s="230"/>
      <c r="X1144" s="231"/>
      <c r="Y1144" s="85"/>
      <c r="Z1144" s="101">
        <v>0.1</v>
      </c>
      <c r="AA1144" s="102">
        <v>0.09</v>
      </c>
      <c r="AB1144" s="77"/>
      <c r="AC1144" s="78"/>
    </row>
    <row r="1145" spans="1:29" ht="66" customHeight="1" x14ac:dyDescent="0.2">
      <c r="A1145" s="117" t="s">
        <v>3924</v>
      </c>
      <c r="B1145" s="118" t="e">
        <f t="shared" si="128"/>
        <v>#VALUE!</v>
      </c>
      <c r="C1145" s="118" t="s">
        <v>612</v>
      </c>
      <c r="D1145" s="113">
        <v>40521</v>
      </c>
      <c r="E1145" s="84">
        <v>40575</v>
      </c>
      <c r="F1145" s="84">
        <f t="shared" si="129"/>
        <v>44228</v>
      </c>
      <c r="G1145" s="229">
        <v>278.82</v>
      </c>
      <c r="H1145" s="71" t="s">
        <v>3925</v>
      </c>
      <c r="I1145" s="71" t="s">
        <v>684</v>
      </c>
      <c r="J1145" s="79"/>
      <c r="K1145" s="55">
        <f t="shared" si="130"/>
        <v>2021</v>
      </c>
      <c r="L1145" s="80"/>
      <c r="M1145" s="80"/>
      <c r="N1145" s="73" t="s">
        <v>3926</v>
      </c>
      <c r="O1145" s="73" t="s">
        <v>3927</v>
      </c>
      <c r="P1145" s="74" t="s">
        <v>3928</v>
      </c>
      <c r="Q1145" s="75">
        <v>21</v>
      </c>
      <c r="R1145" s="230">
        <v>1121.5</v>
      </c>
      <c r="S1145" s="230"/>
      <c r="T1145" s="230">
        <v>1121.5</v>
      </c>
      <c r="U1145" s="231">
        <v>558</v>
      </c>
      <c r="V1145" s="230"/>
      <c r="W1145" s="230"/>
      <c r="X1145" s="231"/>
      <c r="Y1145" s="85"/>
      <c r="Z1145" s="101">
        <v>0.1</v>
      </c>
      <c r="AA1145" s="102">
        <v>0.09</v>
      </c>
      <c r="AB1145" s="77"/>
      <c r="AC1145" s="78"/>
    </row>
    <row r="1146" spans="1:29" ht="40" customHeight="1" x14ac:dyDescent="0.2">
      <c r="A1146" s="117" t="s">
        <v>3929</v>
      </c>
      <c r="B1146" s="118" t="e">
        <f t="shared" si="128"/>
        <v>#VALUE!</v>
      </c>
      <c r="C1146" s="118" t="s">
        <v>612</v>
      </c>
      <c r="D1146" s="113">
        <v>40521</v>
      </c>
      <c r="E1146" s="84">
        <v>40575</v>
      </c>
      <c r="F1146" s="84">
        <f t="shared" si="129"/>
        <v>44228</v>
      </c>
      <c r="G1146" s="229">
        <v>158.44</v>
      </c>
      <c r="H1146" s="71" t="s">
        <v>3925</v>
      </c>
      <c r="I1146" s="71" t="s">
        <v>684</v>
      </c>
      <c r="J1146" s="79"/>
      <c r="K1146" s="55">
        <f t="shared" si="130"/>
        <v>2021</v>
      </c>
      <c r="L1146" s="80"/>
      <c r="M1146" s="80"/>
      <c r="N1146" s="73" t="s">
        <v>3930</v>
      </c>
      <c r="O1146" s="73" t="s">
        <v>3931</v>
      </c>
      <c r="P1146" s="74" t="s">
        <v>3932</v>
      </c>
      <c r="Q1146" s="75">
        <v>24</v>
      </c>
      <c r="R1146" s="230">
        <v>701.5</v>
      </c>
      <c r="S1146" s="230"/>
      <c r="T1146" s="230">
        <v>701.5</v>
      </c>
      <c r="U1146" s="231">
        <v>318</v>
      </c>
      <c r="V1146" s="230"/>
      <c r="W1146" s="230"/>
      <c r="X1146" s="231"/>
      <c r="Y1146" s="85"/>
      <c r="Z1146" s="101">
        <v>0.1</v>
      </c>
      <c r="AA1146" s="102">
        <v>0.09</v>
      </c>
      <c r="AB1146" s="77"/>
      <c r="AC1146" s="78"/>
    </row>
    <row r="1147" spans="1:29" ht="131" customHeight="1" x14ac:dyDescent="0.2">
      <c r="A1147" s="117" t="s">
        <v>3933</v>
      </c>
      <c r="B1147" s="118" t="e">
        <f t="shared" si="128"/>
        <v>#VALUE!</v>
      </c>
      <c r="C1147" s="118" t="s">
        <v>612</v>
      </c>
      <c r="D1147" s="113">
        <v>40521</v>
      </c>
      <c r="E1147" s="84">
        <v>40575</v>
      </c>
      <c r="F1147" s="84">
        <f t="shared" si="129"/>
        <v>44228</v>
      </c>
      <c r="G1147" s="229">
        <v>245</v>
      </c>
      <c r="H1147" s="71" t="s">
        <v>3934</v>
      </c>
      <c r="I1147" s="71" t="s">
        <v>1703</v>
      </c>
      <c r="J1147" s="72" t="s">
        <v>2341</v>
      </c>
      <c r="K1147" s="55">
        <f t="shared" si="130"/>
        <v>2021</v>
      </c>
      <c r="L1147" s="81"/>
      <c r="M1147" s="81"/>
      <c r="N1147" s="73" t="s">
        <v>3935</v>
      </c>
      <c r="O1147" s="73" t="s">
        <v>3936</v>
      </c>
      <c r="P1147" s="74" t="s">
        <v>3937</v>
      </c>
      <c r="Q1147" s="75">
        <v>25</v>
      </c>
      <c r="R1147" s="230">
        <v>1002.5</v>
      </c>
      <c r="S1147" s="230"/>
      <c r="T1147" s="230">
        <v>1002.5</v>
      </c>
      <c r="U1147" s="231">
        <v>490</v>
      </c>
      <c r="V1147" s="230"/>
      <c r="W1147" s="230"/>
      <c r="X1147" s="231"/>
      <c r="Y1147" s="85"/>
      <c r="Z1147" s="101">
        <v>0.1</v>
      </c>
      <c r="AA1147" s="102">
        <v>0.09</v>
      </c>
      <c r="AB1147" s="77"/>
      <c r="AC1147" s="78"/>
    </row>
    <row r="1148" spans="1:29" ht="53" customHeight="1" x14ac:dyDescent="0.2">
      <c r="A1148" s="117" t="s">
        <v>3938</v>
      </c>
      <c r="B1148" s="118" t="e">
        <f t="shared" si="128"/>
        <v>#VALUE!</v>
      </c>
      <c r="C1148" s="118" t="s">
        <v>612</v>
      </c>
      <c r="D1148" s="113">
        <v>40521</v>
      </c>
      <c r="E1148" s="84">
        <v>40575</v>
      </c>
      <c r="F1148" s="84">
        <f t="shared" si="129"/>
        <v>44228</v>
      </c>
      <c r="G1148" s="229">
        <v>65.05</v>
      </c>
      <c r="H1148" s="71" t="s">
        <v>3896</v>
      </c>
      <c r="I1148" s="71" t="s">
        <v>691</v>
      </c>
      <c r="J1148" s="79"/>
      <c r="K1148" s="55">
        <f t="shared" si="130"/>
        <v>2021</v>
      </c>
      <c r="L1148" s="80"/>
      <c r="M1148" s="80"/>
      <c r="N1148" s="73" t="s">
        <v>3939</v>
      </c>
      <c r="O1148" s="73" t="s">
        <v>3940</v>
      </c>
      <c r="P1148" s="74"/>
      <c r="Q1148" s="75">
        <v>29</v>
      </c>
      <c r="R1148" s="230">
        <v>5524</v>
      </c>
      <c r="S1148" s="230"/>
      <c r="T1148" s="230">
        <v>5524</v>
      </c>
      <c r="U1148" s="231">
        <v>132</v>
      </c>
      <c r="V1148" s="230"/>
      <c r="W1148" s="230"/>
      <c r="X1148" s="231"/>
      <c r="Y1148" s="85"/>
      <c r="Z1148" s="101">
        <v>0.1</v>
      </c>
      <c r="AA1148" s="102">
        <v>0.09</v>
      </c>
      <c r="AB1148" s="77"/>
      <c r="AC1148" s="78"/>
    </row>
    <row r="1149" spans="1:29" ht="53" customHeight="1" x14ac:dyDescent="0.2">
      <c r="A1149" s="117" t="s">
        <v>3941</v>
      </c>
      <c r="B1149" s="118" t="e">
        <f t="shared" si="128"/>
        <v>#VALUE!</v>
      </c>
      <c r="C1149" s="118" t="s">
        <v>612</v>
      </c>
      <c r="D1149" s="113">
        <v>40521</v>
      </c>
      <c r="E1149" s="84">
        <v>40575</v>
      </c>
      <c r="F1149" s="84">
        <f t="shared" si="129"/>
        <v>44228</v>
      </c>
      <c r="G1149" s="229">
        <v>29.4</v>
      </c>
      <c r="H1149" s="71" t="s">
        <v>3896</v>
      </c>
      <c r="I1149" s="71" t="s">
        <v>691</v>
      </c>
      <c r="J1149" s="79"/>
      <c r="K1149" s="55">
        <f t="shared" si="130"/>
        <v>2021</v>
      </c>
      <c r="L1149" s="80"/>
      <c r="M1149" s="80"/>
      <c r="N1149" s="73" t="s">
        <v>3942</v>
      </c>
      <c r="O1149" s="73" t="s">
        <v>3940</v>
      </c>
      <c r="P1149" s="74"/>
      <c r="Q1149" s="75">
        <v>30</v>
      </c>
      <c r="R1149" s="257">
        <v>4090</v>
      </c>
      <c r="S1149" s="257"/>
      <c r="T1149" s="257">
        <v>4090</v>
      </c>
      <c r="U1149" s="231">
        <v>60</v>
      </c>
      <c r="V1149" s="230"/>
      <c r="W1149" s="230"/>
      <c r="X1149" s="231"/>
      <c r="Y1149" s="85"/>
      <c r="Z1149" s="101">
        <v>0.1</v>
      </c>
      <c r="AA1149" s="102">
        <v>0.09</v>
      </c>
      <c r="AB1149" s="77"/>
      <c r="AC1149" s="78"/>
    </row>
    <row r="1150" spans="1:29" ht="15" hidden="1" customHeight="1" thickBot="1" x14ac:dyDescent="0.25">
      <c r="A1150" s="117"/>
      <c r="D1150" s="113"/>
      <c r="E1150" s="78"/>
      <c r="F1150" s="84"/>
      <c r="G1150" s="229"/>
      <c r="H1150" s="71"/>
      <c r="I1150" s="71"/>
      <c r="J1150" s="79"/>
      <c r="K1150" s="79"/>
      <c r="L1150" s="80"/>
      <c r="M1150" s="80"/>
      <c r="N1150" s="73"/>
      <c r="O1150" s="73"/>
      <c r="P1150" s="74"/>
      <c r="Q1150" s="75"/>
      <c r="R1150" s="241">
        <v>20396</v>
      </c>
      <c r="S1150" s="241"/>
      <c r="T1150" s="241">
        <v>20396</v>
      </c>
      <c r="U1150" s="231"/>
      <c r="V1150" s="230"/>
      <c r="W1150" s="230"/>
      <c r="X1150" s="231"/>
      <c r="Y1150" s="85"/>
      <c r="Z1150" s="85"/>
      <c r="AA1150" s="76"/>
      <c r="AB1150" s="77"/>
      <c r="AC1150" s="78"/>
    </row>
    <row r="1151" spans="1:29" hidden="1" x14ac:dyDescent="0.2">
      <c r="A1151" s="117"/>
      <c r="D1151" s="71"/>
      <c r="E1151" s="78"/>
      <c r="F1151" s="84"/>
      <c r="G1151" s="229"/>
      <c r="H1151" s="71"/>
      <c r="I1151" s="71"/>
      <c r="J1151" s="79"/>
      <c r="K1151" s="79"/>
      <c r="L1151" s="80"/>
      <c r="M1151" s="80"/>
      <c r="N1151" s="73"/>
      <c r="O1151" s="73"/>
      <c r="P1151" s="74"/>
      <c r="Q1151" s="75"/>
      <c r="R1151" s="230"/>
      <c r="S1151" s="230"/>
      <c r="T1151" s="230"/>
      <c r="U1151" s="231"/>
      <c r="V1151" s="230"/>
      <c r="W1151" s="230"/>
      <c r="X1151" s="231"/>
      <c r="Y1151" s="85"/>
      <c r="Z1151" s="85"/>
      <c r="AA1151" s="76"/>
      <c r="AB1151" s="77"/>
      <c r="AC1151" s="78"/>
    </row>
    <row r="1152" spans="1:29" hidden="1" x14ac:dyDescent="0.2">
      <c r="A1152" s="117"/>
      <c r="D1152" s="71"/>
      <c r="E1152" s="78"/>
      <c r="F1152" s="84"/>
      <c r="G1152" s="229"/>
      <c r="H1152" s="71"/>
      <c r="I1152" s="71"/>
      <c r="J1152" s="79"/>
      <c r="K1152" s="79"/>
      <c r="L1152" s="80"/>
      <c r="M1152" s="80"/>
      <c r="N1152" s="73"/>
      <c r="O1152" s="73"/>
      <c r="P1152" s="74"/>
      <c r="Q1152" s="75"/>
      <c r="R1152" s="230"/>
      <c r="S1152" s="230"/>
      <c r="T1152" s="230"/>
      <c r="U1152" s="231"/>
      <c r="V1152" s="230"/>
      <c r="W1152" s="230"/>
      <c r="X1152" s="231"/>
      <c r="Y1152" s="85"/>
      <c r="Z1152" s="85"/>
      <c r="AA1152" s="76"/>
      <c r="AB1152" s="77"/>
      <c r="AC1152" s="78"/>
    </row>
    <row r="1153" spans="1:29" hidden="1" x14ac:dyDescent="0.2">
      <c r="A1153" s="117"/>
      <c r="D1153" s="71"/>
      <c r="E1153" s="78"/>
      <c r="F1153" s="84"/>
      <c r="G1153" s="229"/>
      <c r="H1153" s="71"/>
      <c r="I1153" s="71"/>
      <c r="J1153" s="79"/>
      <c r="K1153" s="79"/>
      <c r="L1153" s="80"/>
      <c r="M1153" s="80"/>
      <c r="N1153" s="73"/>
      <c r="O1153" s="73"/>
      <c r="P1153" s="74"/>
      <c r="Q1153" s="75" t="s">
        <v>3943</v>
      </c>
      <c r="R1153" s="230"/>
      <c r="S1153" s="230"/>
      <c r="T1153" s="230">
        <v>19960803.5</v>
      </c>
      <c r="U1153" s="231"/>
      <c r="V1153" s="230"/>
      <c r="W1153" s="230"/>
      <c r="X1153" s="231"/>
      <c r="Y1153" s="85"/>
      <c r="Z1153" s="85"/>
      <c r="AA1153" s="76"/>
      <c r="AB1153" s="77"/>
      <c r="AC1153" s="78"/>
    </row>
    <row r="1154" spans="1:29" hidden="1" x14ac:dyDescent="0.2">
      <c r="A1154" s="117"/>
      <c r="D1154" s="71" t="s">
        <v>3944</v>
      </c>
      <c r="E1154" s="78"/>
      <c r="F1154" s="84"/>
      <c r="G1154" s="229"/>
      <c r="H1154" s="71"/>
      <c r="I1154" s="71"/>
      <c r="J1154" s="79"/>
      <c r="K1154" s="79"/>
      <c r="L1154" s="80"/>
      <c r="M1154" s="80"/>
      <c r="N1154" s="73"/>
      <c r="O1154" s="73"/>
      <c r="P1154" s="74"/>
      <c r="Q1154" s="75"/>
      <c r="R1154" s="230"/>
      <c r="S1154" s="230"/>
      <c r="T1154" s="230">
        <v>-313523</v>
      </c>
      <c r="U1154" s="231"/>
      <c r="V1154" s="230"/>
      <c r="W1154" s="230"/>
      <c r="X1154" s="231"/>
      <c r="Y1154" s="85"/>
      <c r="Z1154" s="85"/>
      <c r="AA1154" s="76"/>
      <c r="AB1154" s="77"/>
      <c r="AC1154" s="78"/>
    </row>
    <row r="1155" spans="1:29" hidden="1" x14ac:dyDescent="0.2">
      <c r="A1155" s="117" t="s">
        <v>1261</v>
      </c>
      <c r="B1155" s="118" t="e">
        <f>IF(COUNTIF(GIS,A1155),"YES","NO")</f>
        <v>#VALUE!</v>
      </c>
      <c r="C1155" s="118" t="s">
        <v>612</v>
      </c>
      <c r="D1155" s="71" t="s">
        <v>3945</v>
      </c>
      <c r="E1155" s="78"/>
      <c r="F1155" s="84"/>
      <c r="G1155" s="229"/>
      <c r="H1155" s="71"/>
      <c r="I1155" s="71"/>
      <c r="J1155" s="79"/>
      <c r="K1155" s="55"/>
      <c r="L1155" s="80"/>
      <c r="M1155" s="80"/>
      <c r="N1155" s="73"/>
      <c r="O1155" s="73"/>
      <c r="P1155" s="74"/>
      <c r="Q1155" s="75"/>
      <c r="R1155" s="230"/>
      <c r="S1155" s="230"/>
      <c r="T1155" s="230">
        <v>-1905</v>
      </c>
      <c r="U1155" s="231"/>
      <c r="V1155" s="230"/>
      <c r="W1155" s="230"/>
      <c r="X1155" s="231"/>
      <c r="Y1155" s="85">
        <v>0.5</v>
      </c>
      <c r="Z1155" s="85"/>
      <c r="AA1155" s="76"/>
      <c r="AB1155" s="77"/>
      <c r="AC1155" s="78"/>
    </row>
    <row r="1156" spans="1:29" hidden="1" x14ac:dyDescent="0.2">
      <c r="A1156" s="117" t="s">
        <v>3465</v>
      </c>
      <c r="B1156" s="118" t="e">
        <f>IF(COUNTIF(GIS,A1156),"YES","NO")</f>
        <v>#VALUE!</v>
      </c>
      <c r="C1156" s="118" t="s">
        <v>612</v>
      </c>
      <c r="D1156" s="71" t="s">
        <v>3946</v>
      </c>
      <c r="E1156" s="78"/>
      <c r="F1156" s="84"/>
      <c r="G1156" s="229"/>
      <c r="H1156" s="71"/>
      <c r="I1156" s="71"/>
      <c r="J1156" s="79"/>
      <c r="K1156" s="55"/>
      <c r="L1156" s="80"/>
      <c r="M1156" s="80"/>
      <c r="N1156" s="73"/>
      <c r="O1156" s="73"/>
      <c r="P1156" s="74"/>
      <c r="Q1156" s="75"/>
      <c r="R1156" s="230"/>
      <c r="S1156" s="230"/>
      <c r="T1156" s="230">
        <v>-280</v>
      </c>
      <c r="U1156" s="231"/>
      <c r="V1156" s="230"/>
      <c r="W1156" s="230"/>
      <c r="X1156" s="231"/>
      <c r="Y1156" s="85"/>
      <c r="Z1156" s="85">
        <v>0.18179999999999999</v>
      </c>
      <c r="AA1156" s="76"/>
      <c r="AB1156" s="77"/>
      <c r="AC1156" s="78"/>
    </row>
    <row r="1157" spans="1:29" hidden="1" x14ac:dyDescent="0.2">
      <c r="A1157" s="117" t="s">
        <v>3947</v>
      </c>
      <c r="C1157" s="118" t="s">
        <v>612</v>
      </c>
      <c r="D1157" s="71" t="s">
        <v>3948</v>
      </c>
      <c r="E1157" s="78"/>
      <c r="F1157" s="84"/>
      <c r="G1157" s="229"/>
      <c r="H1157" s="71"/>
      <c r="I1157" s="71"/>
      <c r="J1157" s="79"/>
      <c r="K1157" s="55"/>
      <c r="L1157" s="80"/>
      <c r="M1157" s="80"/>
      <c r="N1157" s="73"/>
      <c r="O1157" s="73"/>
      <c r="P1157" s="74"/>
      <c r="Q1157" s="75"/>
      <c r="R1157" s="230"/>
      <c r="S1157" s="230"/>
      <c r="T1157" s="257">
        <v>-197.5</v>
      </c>
      <c r="U1157" s="231"/>
      <c r="V1157" s="230"/>
      <c r="W1157" s="230"/>
      <c r="X1157" s="231"/>
      <c r="Y1157" s="85"/>
      <c r="Z1157" s="85"/>
      <c r="AA1157" s="76"/>
      <c r="AB1157" s="77"/>
      <c r="AC1157" s="78"/>
    </row>
    <row r="1158" spans="1:29" hidden="1" x14ac:dyDescent="0.2">
      <c r="A1158" s="117"/>
      <c r="D1158" s="71"/>
      <c r="E1158" s="78"/>
      <c r="F1158" s="84"/>
      <c r="G1158" s="229"/>
      <c r="H1158" s="71"/>
      <c r="I1158" s="71"/>
      <c r="J1158" s="79"/>
      <c r="K1158" s="79"/>
      <c r="L1158" s="80"/>
      <c r="M1158" s="80"/>
      <c r="N1158" s="73"/>
      <c r="O1158" s="73"/>
      <c r="P1158" s="74"/>
      <c r="Q1158" s="75"/>
      <c r="R1158" s="230"/>
      <c r="S1158" s="230"/>
      <c r="T1158" s="230"/>
      <c r="U1158" s="231"/>
      <c r="V1158" s="230"/>
      <c r="W1158" s="230"/>
      <c r="X1158" s="231"/>
      <c r="Y1158" s="85"/>
      <c r="Z1158" s="85"/>
      <c r="AA1158" s="76"/>
      <c r="AB1158" s="77"/>
      <c r="AC1158" s="78"/>
    </row>
    <row r="1159" spans="1:29" hidden="1" x14ac:dyDescent="0.2">
      <c r="A1159" s="117"/>
      <c r="D1159" s="71"/>
      <c r="E1159" s="78"/>
      <c r="F1159" s="84"/>
      <c r="G1159" s="229"/>
      <c r="H1159" s="71"/>
      <c r="I1159" s="71"/>
      <c r="J1159" s="79"/>
      <c r="K1159" s="79"/>
      <c r="L1159" s="80"/>
      <c r="M1159" s="80"/>
      <c r="N1159" s="73"/>
      <c r="O1159" s="73"/>
      <c r="P1159" s="74"/>
      <c r="Q1159" s="75"/>
      <c r="R1159" s="230"/>
      <c r="S1159" s="230"/>
      <c r="T1159" s="230"/>
      <c r="U1159" s="231"/>
      <c r="V1159" s="230"/>
      <c r="W1159" s="230"/>
      <c r="X1159" s="231"/>
      <c r="Y1159" s="85"/>
      <c r="Z1159" s="85"/>
      <c r="AA1159" s="76"/>
      <c r="AB1159" s="77"/>
      <c r="AC1159" s="78"/>
    </row>
    <row r="1160" spans="1:29" ht="15" hidden="1" customHeight="1" thickBot="1" x14ac:dyDescent="0.25">
      <c r="A1160" s="117"/>
      <c r="D1160" s="71" t="s">
        <v>3949</v>
      </c>
      <c r="E1160" s="78"/>
      <c r="F1160" s="84"/>
      <c r="G1160" s="229"/>
      <c r="H1160" s="71"/>
      <c r="I1160" s="71"/>
      <c r="J1160" s="79"/>
      <c r="K1160" s="79"/>
      <c r="L1160" s="80"/>
      <c r="M1160" s="80"/>
      <c r="N1160" s="73"/>
      <c r="O1160" s="73"/>
      <c r="P1160" s="74"/>
      <c r="Q1160" s="75" t="s">
        <v>3943</v>
      </c>
      <c r="R1160" s="230"/>
      <c r="S1160" s="230">
        <v>20111</v>
      </c>
      <c r="T1160" s="255">
        <v>19644898</v>
      </c>
      <c r="U1160" s="231"/>
      <c r="V1160" s="230"/>
      <c r="W1160" s="230"/>
      <c r="X1160" s="231"/>
      <c r="Y1160" s="85"/>
      <c r="Z1160" s="85"/>
      <c r="AA1160" s="76"/>
      <c r="AB1160" s="77"/>
      <c r="AC1160" s="78"/>
    </row>
    <row r="1161" spans="1:29" hidden="1" x14ac:dyDescent="0.2">
      <c r="A1161" s="117"/>
      <c r="D1161" s="71"/>
      <c r="E1161" s="78"/>
      <c r="F1161" s="84"/>
      <c r="G1161" s="229"/>
      <c r="H1161" s="71"/>
      <c r="I1161" s="71"/>
      <c r="J1161" s="79"/>
      <c r="K1161" s="79"/>
      <c r="L1161" s="80"/>
      <c r="M1161" s="80"/>
      <c r="N1161" s="73"/>
      <c r="O1161" s="73"/>
      <c r="P1161" s="74"/>
      <c r="Q1161" s="75"/>
      <c r="R1161" s="230"/>
      <c r="S1161" s="230"/>
      <c r="T1161" s="230"/>
      <c r="U1161" s="231"/>
      <c r="V1161" s="230"/>
      <c r="W1161" s="230"/>
      <c r="X1161" s="231"/>
      <c r="Y1161" s="85"/>
      <c r="Z1161" s="85"/>
      <c r="AA1161" s="76"/>
      <c r="AB1161" s="77"/>
      <c r="AC1161" s="78"/>
    </row>
    <row r="1162" spans="1:29" hidden="1" x14ac:dyDescent="0.2">
      <c r="A1162" s="117"/>
      <c r="D1162" s="71"/>
      <c r="E1162" s="78"/>
      <c r="F1162" s="84"/>
      <c r="G1162" s="229"/>
      <c r="H1162" s="71"/>
      <c r="I1162" s="71"/>
      <c r="J1162" s="79"/>
      <c r="K1162" s="79"/>
      <c r="L1162" s="80"/>
      <c r="M1162" s="80"/>
      <c r="N1162" s="73"/>
      <c r="O1162" s="73"/>
      <c r="P1162" s="74"/>
      <c r="Q1162" s="75"/>
      <c r="R1162" s="230"/>
      <c r="S1162" s="230"/>
      <c r="T1162" s="230"/>
      <c r="U1162" s="231"/>
      <c r="V1162" s="230"/>
      <c r="W1162" s="230"/>
      <c r="X1162" s="231"/>
      <c r="Y1162" s="85"/>
      <c r="Z1162" s="85"/>
      <c r="AA1162" s="76"/>
      <c r="AB1162" s="77"/>
      <c r="AC1162" s="78"/>
    </row>
    <row r="1163" spans="1:29" x14ac:dyDescent="0.2">
      <c r="A1163" s="117" t="s">
        <v>3950</v>
      </c>
      <c r="B1163" s="118" t="e">
        <f t="shared" ref="B1163:B1169" si="131">IF(COUNTIF(GIS,A1163),"YES","NO")</f>
        <v>#VALUE!</v>
      </c>
      <c r="C1163" s="118" t="s">
        <v>612</v>
      </c>
      <c r="D1163" s="113">
        <v>40562</v>
      </c>
      <c r="E1163" s="84">
        <v>40603</v>
      </c>
      <c r="F1163" s="84">
        <f t="shared" ref="F1163:F1169" si="132">DATE(YEAR(E1163)+10,MONTH(E1163),DAY(E1163))</f>
        <v>44256</v>
      </c>
      <c r="G1163" s="254">
        <v>320</v>
      </c>
      <c r="H1163" s="71" t="s">
        <v>3951</v>
      </c>
      <c r="I1163" s="71" t="s">
        <v>1147</v>
      </c>
      <c r="J1163" s="79"/>
      <c r="K1163" s="55">
        <f t="shared" ref="K1163:K1169" si="133">YEAR(F1163)</f>
        <v>2021</v>
      </c>
      <c r="L1163" s="80"/>
      <c r="M1163" s="80"/>
      <c r="N1163" s="73" t="s">
        <v>3952</v>
      </c>
      <c r="O1163" s="73" t="s">
        <v>3953</v>
      </c>
      <c r="P1163" s="74"/>
      <c r="Q1163" s="75"/>
      <c r="R1163" s="230"/>
      <c r="S1163" s="230"/>
      <c r="T1163" s="230">
        <v>12785</v>
      </c>
      <c r="U1163" s="231">
        <v>640</v>
      </c>
      <c r="V1163" s="230"/>
      <c r="W1163" s="230"/>
      <c r="X1163" s="231"/>
      <c r="Y1163" s="71"/>
      <c r="Z1163" s="101">
        <v>0.1</v>
      </c>
      <c r="AA1163" s="102">
        <v>0.09</v>
      </c>
      <c r="AB1163" s="77"/>
      <c r="AC1163" s="78"/>
    </row>
    <row r="1164" spans="1:29" x14ac:dyDescent="0.2">
      <c r="A1164" s="117" t="s">
        <v>3954</v>
      </c>
      <c r="B1164" s="118" t="e">
        <f t="shared" si="131"/>
        <v>#VALUE!</v>
      </c>
      <c r="C1164" s="118" t="s">
        <v>612</v>
      </c>
      <c r="D1164" s="113">
        <v>40562</v>
      </c>
      <c r="E1164" s="84">
        <v>40603</v>
      </c>
      <c r="F1164" s="84">
        <f t="shared" si="132"/>
        <v>44256</v>
      </c>
      <c r="G1164" s="254">
        <v>152.34</v>
      </c>
      <c r="H1164" s="71" t="s">
        <v>3843</v>
      </c>
      <c r="I1164" s="71" t="s">
        <v>1147</v>
      </c>
      <c r="J1164" s="79"/>
      <c r="K1164" s="55">
        <f t="shared" si="133"/>
        <v>2021</v>
      </c>
      <c r="L1164" s="80"/>
      <c r="M1164" s="80"/>
      <c r="N1164" s="73" t="s">
        <v>3955</v>
      </c>
      <c r="O1164" s="73" t="s">
        <v>3956</v>
      </c>
      <c r="P1164" s="74"/>
      <c r="Q1164" s="75"/>
      <c r="R1164" s="230"/>
      <c r="S1164" s="230"/>
      <c r="T1164" s="230">
        <v>5270.5</v>
      </c>
      <c r="U1164" s="231">
        <v>306</v>
      </c>
      <c r="V1164" s="230"/>
      <c r="W1164" s="230"/>
      <c r="X1164" s="231"/>
      <c r="Y1164" s="71"/>
      <c r="Z1164" s="101">
        <v>0.1</v>
      </c>
      <c r="AA1164" s="102">
        <v>0.09</v>
      </c>
      <c r="AB1164" s="77"/>
      <c r="AC1164" s="78"/>
    </row>
    <row r="1165" spans="1:29" ht="40" customHeight="1" x14ac:dyDescent="0.2">
      <c r="A1165" s="117" t="s">
        <v>3957</v>
      </c>
      <c r="B1165" s="118" t="e">
        <f t="shared" si="131"/>
        <v>#VALUE!</v>
      </c>
      <c r="C1165" s="118" t="s">
        <v>612</v>
      </c>
      <c r="D1165" s="113">
        <v>40562</v>
      </c>
      <c r="E1165" s="84">
        <v>40603</v>
      </c>
      <c r="F1165" s="84">
        <f t="shared" si="132"/>
        <v>44256</v>
      </c>
      <c r="G1165" s="254">
        <v>1004.52</v>
      </c>
      <c r="H1165" s="71" t="s">
        <v>3843</v>
      </c>
      <c r="I1165" s="71" t="s">
        <v>1147</v>
      </c>
      <c r="J1165" s="79"/>
      <c r="K1165" s="55">
        <f t="shared" si="133"/>
        <v>2021</v>
      </c>
      <c r="L1165" s="80"/>
      <c r="M1165" s="80"/>
      <c r="N1165" s="73" t="s">
        <v>3955</v>
      </c>
      <c r="O1165" s="73" t="s">
        <v>3958</v>
      </c>
      <c r="P1165" s="74"/>
      <c r="Q1165" s="75"/>
      <c r="R1165" s="230"/>
      <c r="S1165" s="230"/>
      <c r="T1165" s="230">
        <v>35822.5</v>
      </c>
      <c r="U1165" s="231">
        <v>2010</v>
      </c>
      <c r="V1165" s="230"/>
      <c r="W1165" s="230"/>
      <c r="X1165" s="231"/>
      <c r="Y1165" s="71"/>
      <c r="Z1165" s="101">
        <v>0.1</v>
      </c>
      <c r="AA1165" s="102">
        <v>0.09</v>
      </c>
      <c r="AB1165" s="77"/>
      <c r="AC1165" s="78"/>
    </row>
    <row r="1166" spans="1:29" x14ac:dyDescent="0.2">
      <c r="A1166" s="117" t="s">
        <v>3959</v>
      </c>
      <c r="B1166" s="118" t="e">
        <f t="shared" si="131"/>
        <v>#VALUE!</v>
      </c>
      <c r="C1166" s="118" t="s">
        <v>612</v>
      </c>
      <c r="D1166" s="113">
        <v>40562</v>
      </c>
      <c r="E1166" s="84">
        <v>40603</v>
      </c>
      <c r="F1166" s="84">
        <f t="shared" si="132"/>
        <v>44256</v>
      </c>
      <c r="G1166" s="254">
        <v>40</v>
      </c>
      <c r="H1166" s="71" t="s">
        <v>3843</v>
      </c>
      <c r="I1166" s="71" t="s">
        <v>1147</v>
      </c>
      <c r="J1166" s="79"/>
      <c r="K1166" s="55">
        <f t="shared" si="133"/>
        <v>2021</v>
      </c>
      <c r="L1166" s="80"/>
      <c r="M1166" s="80"/>
      <c r="N1166" s="73" t="s">
        <v>3955</v>
      </c>
      <c r="O1166" s="73" t="s">
        <v>3960</v>
      </c>
      <c r="P1166" s="74"/>
      <c r="Q1166" s="75"/>
      <c r="R1166" s="230"/>
      <c r="S1166" s="230"/>
      <c r="T1166" s="230">
        <v>1565</v>
      </c>
      <c r="U1166" s="231">
        <v>80</v>
      </c>
      <c r="V1166" s="230"/>
      <c r="W1166" s="230"/>
      <c r="X1166" s="231"/>
      <c r="Y1166" s="71"/>
      <c r="Z1166" s="101">
        <v>0.1</v>
      </c>
      <c r="AA1166" s="102">
        <v>0.09</v>
      </c>
      <c r="AB1166" s="77"/>
      <c r="AC1166" s="78"/>
    </row>
    <row r="1167" spans="1:29" ht="27" customHeight="1" x14ac:dyDescent="0.2">
      <c r="A1167" s="117" t="s">
        <v>3961</v>
      </c>
      <c r="B1167" s="118" t="e">
        <f t="shared" si="131"/>
        <v>#VALUE!</v>
      </c>
      <c r="C1167" s="118" t="s">
        <v>612</v>
      </c>
      <c r="D1167" s="113">
        <v>40562</v>
      </c>
      <c r="E1167" s="84">
        <v>40603</v>
      </c>
      <c r="F1167" s="84">
        <f t="shared" si="132"/>
        <v>44256</v>
      </c>
      <c r="G1167" s="254">
        <v>1420.87</v>
      </c>
      <c r="H1167" s="71" t="s">
        <v>3962</v>
      </c>
      <c r="I1167" s="71" t="s">
        <v>1147</v>
      </c>
      <c r="J1167" s="79"/>
      <c r="K1167" s="55">
        <f t="shared" si="133"/>
        <v>2021</v>
      </c>
      <c r="L1167" s="80"/>
      <c r="M1167" s="80"/>
      <c r="N1167" s="73" t="s">
        <v>3963</v>
      </c>
      <c r="O1167" s="73" t="s">
        <v>3964</v>
      </c>
      <c r="P1167" s="74"/>
      <c r="Q1167" s="75"/>
      <c r="R1167" s="230"/>
      <c r="S1167" s="230"/>
      <c r="T1167" s="230">
        <v>194111.5</v>
      </c>
      <c r="U1167" s="231">
        <v>2842</v>
      </c>
      <c r="V1167" s="230"/>
      <c r="W1167" s="230"/>
      <c r="X1167" s="231"/>
      <c r="Y1167" s="71"/>
      <c r="Z1167" s="101">
        <v>0.1</v>
      </c>
      <c r="AA1167" s="102">
        <v>0.09</v>
      </c>
      <c r="AB1167" s="77"/>
      <c r="AC1167" s="78"/>
    </row>
    <row r="1168" spans="1:29" x14ac:dyDescent="0.2">
      <c r="A1168" s="117" t="s">
        <v>3965</v>
      </c>
      <c r="B1168" s="118" t="e">
        <f t="shared" si="131"/>
        <v>#VALUE!</v>
      </c>
      <c r="C1168" s="118" t="s">
        <v>612</v>
      </c>
      <c r="D1168" s="113">
        <v>40562</v>
      </c>
      <c r="E1168" s="84">
        <v>40603</v>
      </c>
      <c r="F1168" s="84">
        <f t="shared" si="132"/>
        <v>44256</v>
      </c>
      <c r="G1168" s="254">
        <v>240</v>
      </c>
      <c r="H1168" s="71" t="s">
        <v>3962</v>
      </c>
      <c r="I1168" s="71" t="s">
        <v>1147</v>
      </c>
      <c r="J1168" s="79"/>
      <c r="K1168" s="55">
        <f t="shared" si="133"/>
        <v>2021</v>
      </c>
      <c r="L1168" s="80"/>
      <c r="M1168" s="80"/>
      <c r="N1168" s="73" t="s">
        <v>3963</v>
      </c>
      <c r="O1168" s="73" t="s">
        <v>3966</v>
      </c>
      <c r="P1168" s="74"/>
      <c r="Q1168" s="75"/>
      <c r="R1168" s="230"/>
      <c r="S1168" s="230"/>
      <c r="T1168" s="230">
        <v>24505</v>
      </c>
      <c r="U1168" s="231">
        <v>480</v>
      </c>
      <c r="V1168" s="230"/>
      <c r="W1168" s="230"/>
      <c r="X1168" s="231"/>
      <c r="Y1168" s="71"/>
      <c r="Z1168" s="101">
        <v>0.1</v>
      </c>
      <c r="AA1168" s="102">
        <v>0.09</v>
      </c>
      <c r="AB1168" s="77"/>
      <c r="AC1168" s="78"/>
    </row>
    <row r="1169" spans="1:29" ht="27" customHeight="1" x14ac:dyDescent="0.2">
      <c r="A1169" s="117" t="s">
        <v>3967</v>
      </c>
      <c r="B1169" s="118" t="e">
        <f t="shared" si="131"/>
        <v>#VALUE!</v>
      </c>
      <c r="C1169" s="118" t="s">
        <v>612</v>
      </c>
      <c r="D1169" s="113">
        <v>40562</v>
      </c>
      <c r="E1169" s="84">
        <v>40603</v>
      </c>
      <c r="F1169" s="84">
        <f t="shared" si="132"/>
        <v>44256</v>
      </c>
      <c r="G1169" s="254">
        <v>274.89</v>
      </c>
      <c r="H1169" s="71" t="s">
        <v>3968</v>
      </c>
      <c r="I1169" s="71" t="s">
        <v>614</v>
      </c>
      <c r="J1169" s="79"/>
      <c r="K1169" s="55">
        <f t="shared" si="133"/>
        <v>2021</v>
      </c>
      <c r="L1169" s="80"/>
      <c r="M1169" s="80"/>
      <c r="N1169" s="73" t="s">
        <v>3969</v>
      </c>
      <c r="O1169" s="73" t="s">
        <v>3970</v>
      </c>
      <c r="P1169" s="74" t="s">
        <v>3971</v>
      </c>
      <c r="Q1169" s="75"/>
      <c r="R1169" s="230"/>
      <c r="S1169" s="230"/>
      <c r="T1169" s="257">
        <v>110557.5</v>
      </c>
      <c r="U1169" s="231">
        <v>550</v>
      </c>
      <c r="V1169" s="230"/>
      <c r="W1169" s="230"/>
      <c r="X1169" s="231"/>
      <c r="Y1169" s="71"/>
      <c r="Z1169" s="101">
        <v>0.1</v>
      </c>
      <c r="AA1169" s="102">
        <v>0.09</v>
      </c>
      <c r="AB1169" s="77" t="s">
        <v>1069</v>
      </c>
      <c r="AC1169" s="78"/>
    </row>
    <row r="1170" spans="1:29" ht="15" hidden="1" customHeight="1" thickBot="1" x14ac:dyDescent="0.25">
      <c r="A1170" s="117"/>
      <c r="D1170" s="71"/>
      <c r="E1170" s="78"/>
      <c r="F1170" s="84"/>
      <c r="G1170" s="71"/>
      <c r="H1170" s="71"/>
      <c r="I1170" s="71"/>
      <c r="J1170" s="79"/>
      <c r="K1170" s="79"/>
      <c r="L1170" s="80"/>
      <c r="M1170" s="80"/>
      <c r="N1170" s="73"/>
      <c r="O1170" s="73"/>
      <c r="P1170" s="74"/>
      <c r="Q1170" s="75"/>
      <c r="R1170" s="230"/>
      <c r="S1170" s="230"/>
      <c r="T1170" s="241">
        <v>384617</v>
      </c>
      <c r="U1170" s="231"/>
      <c r="V1170" s="230"/>
      <c r="W1170" s="230"/>
      <c r="X1170" s="231"/>
      <c r="Y1170" s="71"/>
      <c r="Z1170" s="101"/>
      <c r="AA1170" s="102"/>
      <c r="AB1170" s="77"/>
      <c r="AC1170" s="78"/>
    </row>
    <row r="1171" spans="1:29" hidden="1" x14ac:dyDescent="0.2">
      <c r="A1171" s="117"/>
      <c r="D1171" s="71"/>
      <c r="E1171" s="78"/>
      <c r="F1171" s="84"/>
      <c r="G1171" s="71"/>
      <c r="H1171" s="71"/>
      <c r="I1171" s="71"/>
      <c r="J1171" s="79"/>
      <c r="K1171" s="79"/>
      <c r="L1171" s="80"/>
      <c r="M1171" s="80"/>
      <c r="N1171" s="73"/>
      <c r="O1171" s="73"/>
      <c r="P1171" s="74"/>
      <c r="Q1171" s="75" t="s">
        <v>3972</v>
      </c>
      <c r="R1171" s="230">
        <v>13104</v>
      </c>
      <c r="S1171" s="230">
        <v>85896</v>
      </c>
      <c r="T1171" s="230">
        <v>99000</v>
      </c>
      <c r="U1171" s="231"/>
      <c r="V1171" s="230"/>
      <c r="W1171" s="230"/>
      <c r="X1171" s="231"/>
      <c r="Y1171" s="71"/>
      <c r="Z1171" s="101"/>
      <c r="AA1171" s="102"/>
      <c r="AB1171" s="77"/>
      <c r="AC1171" s="78"/>
    </row>
    <row r="1172" spans="1:29" hidden="1" x14ac:dyDescent="0.2">
      <c r="A1172" s="117"/>
      <c r="D1172" s="71"/>
      <c r="E1172" s="78"/>
      <c r="F1172" s="84"/>
      <c r="G1172" s="71"/>
      <c r="H1172" s="71"/>
      <c r="I1172" s="71"/>
      <c r="J1172" s="79"/>
      <c r="K1172" s="79"/>
      <c r="L1172" s="80"/>
      <c r="M1172" s="80"/>
      <c r="N1172" s="73"/>
      <c r="O1172" s="73"/>
      <c r="P1172" s="74"/>
      <c r="Q1172" s="75" t="s">
        <v>3973</v>
      </c>
      <c r="R1172" s="230"/>
      <c r="S1172" s="230">
        <v>285617</v>
      </c>
      <c r="T1172" s="230">
        <v>285617</v>
      </c>
      <c r="U1172" s="231"/>
      <c r="V1172" s="230"/>
      <c r="W1172" s="230"/>
      <c r="X1172" s="231"/>
      <c r="Y1172" s="71"/>
      <c r="Z1172" s="101"/>
      <c r="AA1172" s="102"/>
      <c r="AB1172" s="77"/>
      <c r="AC1172" s="78"/>
    </row>
    <row r="1173" spans="1:29" ht="15" hidden="1" customHeight="1" thickBot="1" x14ac:dyDescent="0.25">
      <c r="A1173" s="117"/>
      <c r="D1173" s="71"/>
      <c r="E1173" s="78"/>
      <c r="F1173" s="84"/>
      <c r="G1173" s="71"/>
      <c r="H1173" s="71"/>
      <c r="I1173" s="71"/>
      <c r="J1173" s="79"/>
      <c r="K1173" s="79"/>
      <c r="L1173" s="80"/>
      <c r="M1173" s="80"/>
      <c r="N1173" s="73"/>
      <c r="O1173" s="73"/>
      <c r="P1173" s="74"/>
      <c r="Q1173" s="75"/>
      <c r="R1173" s="230"/>
      <c r="S1173" s="230"/>
      <c r="T1173" s="241">
        <v>384617</v>
      </c>
      <c r="U1173" s="231"/>
      <c r="V1173" s="230"/>
      <c r="W1173" s="230"/>
      <c r="X1173" s="231"/>
      <c r="Y1173" s="71"/>
      <c r="Z1173" s="101"/>
      <c r="AA1173" s="102"/>
      <c r="AB1173" s="77"/>
      <c r="AC1173" s="78"/>
    </row>
    <row r="1174" spans="1:29" hidden="1" x14ac:dyDescent="0.2">
      <c r="A1174" s="117"/>
      <c r="D1174" s="71"/>
      <c r="E1174" s="78"/>
      <c r="F1174" s="84"/>
      <c r="G1174" s="71"/>
      <c r="H1174" s="71"/>
      <c r="I1174" s="71"/>
      <c r="J1174" s="79"/>
      <c r="K1174" s="79"/>
      <c r="L1174" s="80"/>
      <c r="M1174" s="80"/>
      <c r="N1174" s="73"/>
      <c r="O1174" s="73"/>
      <c r="P1174" s="74"/>
      <c r="Q1174" s="75"/>
      <c r="R1174" s="230"/>
      <c r="S1174" s="230"/>
      <c r="T1174" s="230"/>
      <c r="U1174" s="231"/>
      <c r="V1174" s="230"/>
      <c r="W1174" s="230"/>
      <c r="X1174" s="231"/>
      <c r="Y1174" s="71"/>
      <c r="Z1174" s="101"/>
      <c r="AA1174" s="102"/>
      <c r="AB1174" s="77"/>
      <c r="AC1174" s="78"/>
    </row>
    <row r="1175" spans="1:29" ht="27" hidden="1" customHeight="1" x14ac:dyDescent="0.2">
      <c r="A1175" s="117" t="s">
        <v>3974</v>
      </c>
      <c r="B1175" s="118" t="e">
        <f>IF(COUNTIF(GIS,A1175),"YES","NO")</f>
        <v>#VALUE!</v>
      </c>
      <c r="C1175" s="118" t="s">
        <v>612</v>
      </c>
      <c r="D1175" s="113">
        <v>38435</v>
      </c>
      <c r="E1175" s="84">
        <v>38504</v>
      </c>
      <c r="F1175" s="84">
        <f>DATE(YEAR(E1175)+10,MONTH(E1175),DAY(E1175))</f>
        <v>42156</v>
      </c>
      <c r="G1175" s="254">
        <v>102.45</v>
      </c>
      <c r="H1175" s="71" t="s">
        <v>3975</v>
      </c>
      <c r="I1175" s="71" t="s">
        <v>684</v>
      </c>
      <c r="J1175" s="72" t="s">
        <v>3976</v>
      </c>
      <c r="K1175" s="55">
        <f>YEAR(F1175)</f>
        <v>2015</v>
      </c>
      <c r="L1175" s="81"/>
      <c r="M1175" s="81"/>
      <c r="N1175" s="105"/>
      <c r="O1175" s="73" t="s">
        <v>3977</v>
      </c>
      <c r="P1175" s="74"/>
      <c r="S1175" s="230"/>
      <c r="T1175" s="230">
        <v>1536.75</v>
      </c>
      <c r="U1175" s="231">
        <v>206</v>
      </c>
      <c r="V1175" s="230"/>
      <c r="W1175" s="230"/>
      <c r="X1175" s="231"/>
      <c r="Y1175" s="71"/>
      <c r="Z1175" s="101">
        <v>0.1</v>
      </c>
      <c r="AA1175" s="102">
        <v>0.09</v>
      </c>
      <c r="AB1175" s="77"/>
      <c r="AC1175" s="78"/>
    </row>
    <row r="1176" spans="1:29" ht="27" hidden="1" customHeight="1" x14ac:dyDescent="0.2">
      <c r="A1176" s="117" t="s">
        <v>3978</v>
      </c>
      <c r="B1176" s="118" t="e">
        <f>IF(COUNTIF(GIS,A1176),"YES","NO")</f>
        <v>#VALUE!</v>
      </c>
      <c r="C1176" s="118" t="s">
        <v>612</v>
      </c>
      <c r="D1176" s="113">
        <v>38435</v>
      </c>
      <c r="E1176" s="84">
        <v>38504</v>
      </c>
      <c r="F1176" s="84">
        <f>DATE(YEAR(E1176)+10,MONTH(E1176),DAY(E1176))</f>
        <v>42156</v>
      </c>
      <c r="G1176" s="254">
        <v>912.84</v>
      </c>
      <c r="H1176" s="71" t="s">
        <v>3975</v>
      </c>
      <c r="I1176" s="71" t="s">
        <v>684</v>
      </c>
      <c r="J1176" s="72" t="s">
        <v>3976</v>
      </c>
      <c r="K1176" s="55">
        <f>YEAR(F1176)</f>
        <v>2015</v>
      </c>
      <c r="L1176" s="81"/>
      <c r="M1176" s="81"/>
      <c r="N1176" s="105"/>
      <c r="O1176" s="73" t="s">
        <v>3979</v>
      </c>
      <c r="P1176" s="74"/>
      <c r="S1176" s="230"/>
      <c r="T1176" s="230">
        <v>13692.6</v>
      </c>
      <c r="U1176" s="231">
        <v>1826</v>
      </c>
      <c r="V1176" s="230"/>
      <c r="W1176" s="230"/>
      <c r="X1176" s="231"/>
      <c r="Y1176" s="71"/>
      <c r="Z1176" s="101">
        <v>0.1</v>
      </c>
      <c r="AA1176" s="102">
        <v>0.09</v>
      </c>
      <c r="AB1176" s="77"/>
      <c r="AC1176" s="78"/>
    </row>
    <row r="1177" spans="1:29" ht="15" hidden="1" customHeight="1" thickBot="1" x14ac:dyDescent="0.25">
      <c r="A1177" s="117"/>
      <c r="D1177" s="71"/>
      <c r="E1177" s="78"/>
      <c r="F1177" s="84"/>
      <c r="G1177" s="71"/>
      <c r="H1177" s="71"/>
      <c r="I1177" s="71"/>
      <c r="J1177" s="72" t="s">
        <v>3980</v>
      </c>
      <c r="K1177" s="72"/>
      <c r="L1177" s="81"/>
      <c r="M1177" s="81"/>
      <c r="N1177" s="105"/>
      <c r="O1177" s="73"/>
      <c r="P1177" s="74"/>
      <c r="Q1177" s="75"/>
      <c r="T1177" s="241">
        <v>15229.35</v>
      </c>
      <c r="U1177" s="231"/>
      <c r="V1177" s="230"/>
      <c r="W1177" s="230"/>
      <c r="X1177" s="231"/>
      <c r="Y1177" s="71"/>
      <c r="Z1177" s="101"/>
      <c r="AA1177" s="102"/>
      <c r="AB1177" s="77"/>
      <c r="AC1177" s="78"/>
    </row>
    <row r="1178" spans="1:29" hidden="1" x14ac:dyDescent="0.2">
      <c r="A1178" s="117"/>
      <c r="D1178" s="71"/>
      <c r="E1178" s="78"/>
      <c r="F1178" s="84"/>
      <c r="G1178" s="71"/>
      <c r="H1178" s="71"/>
      <c r="I1178" s="71"/>
      <c r="J1178" s="79"/>
      <c r="K1178" s="79"/>
      <c r="L1178" s="80"/>
      <c r="M1178" s="80"/>
      <c r="N1178" s="73"/>
      <c r="O1178" s="73"/>
      <c r="P1178" s="74"/>
      <c r="Q1178" s="75"/>
      <c r="R1178" s="230"/>
      <c r="S1178" s="230"/>
      <c r="T1178" s="230"/>
      <c r="U1178" s="231"/>
      <c r="V1178" s="230"/>
      <c r="W1178" s="230"/>
      <c r="X1178" s="231"/>
      <c r="Y1178" s="71"/>
      <c r="Z1178" s="71"/>
      <c r="AA1178" s="96"/>
      <c r="AB1178" s="77"/>
      <c r="AC1178" s="78"/>
    </row>
    <row r="1179" spans="1:29" hidden="1" x14ac:dyDescent="0.2">
      <c r="A1179" s="117"/>
      <c r="D1179" s="71"/>
      <c r="E1179" s="78"/>
      <c r="F1179" s="84"/>
      <c r="G1179" s="71"/>
      <c r="H1179" s="106"/>
      <c r="I1179" s="71"/>
      <c r="J1179" s="79"/>
      <c r="K1179" s="79"/>
      <c r="L1179" s="80"/>
      <c r="M1179" s="80"/>
      <c r="N1179" s="73"/>
      <c r="O1179" s="73"/>
      <c r="P1179" s="74"/>
      <c r="Q1179" s="75"/>
      <c r="R1179" s="230"/>
      <c r="S1179" s="230"/>
      <c r="T1179" s="230"/>
      <c r="U1179" s="231"/>
      <c r="V1179" s="230"/>
      <c r="W1179" s="230"/>
      <c r="X1179" s="231"/>
      <c r="Y1179" s="71"/>
      <c r="Z1179" s="71"/>
      <c r="AA1179" s="96"/>
      <c r="AB1179" s="77"/>
      <c r="AC1179" s="78"/>
    </row>
    <row r="1180" spans="1:29" ht="27" customHeight="1" x14ac:dyDescent="0.2">
      <c r="A1180" s="117" t="s">
        <v>3981</v>
      </c>
      <c r="B1180" s="118" t="e">
        <f t="shared" ref="B1180:B1211" si="134">IF(COUNTIF(GIS,A1180),"YES","NO")</f>
        <v>#VALUE!</v>
      </c>
      <c r="C1180" s="118" t="s">
        <v>612</v>
      </c>
      <c r="D1180" s="113">
        <v>40619</v>
      </c>
      <c r="E1180" s="84">
        <v>40664</v>
      </c>
      <c r="F1180" s="84">
        <f t="shared" ref="F1180:F1211" si="135">DATE(YEAR(E1180)+10,MONTH(E1180),DAY(E1180))</f>
        <v>44317</v>
      </c>
      <c r="G1180" s="254">
        <v>507.45</v>
      </c>
      <c r="H1180" s="71" t="s">
        <v>3982</v>
      </c>
      <c r="I1180" s="71" t="s">
        <v>931</v>
      </c>
      <c r="J1180" s="238" t="s">
        <v>2277</v>
      </c>
      <c r="K1180" s="55">
        <f t="shared" ref="K1180:K1211" si="136">YEAR(F1180)</f>
        <v>2021</v>
      </c>
      <c r="L1180" s="239"/>
      <c r="M1180" s="239"/>
      <c r="N1180" s="73" t="s">
        <v>3983</v>
      </c>
      <c r="O1180" s="73" t="s">
        <v>3984</v>
      </c>
      <c r="P1180" s="74" t="s">
        <v>3985</v>
      </c>
      <c r="Q1180" s="75"/>
      <c r="R1180" s="230">
        <v>1923</v>
      </c>
      <c r="S1180" s="230">
        <v>9144</v>
      </c>
      <c r="T1180" s="230">
        <v>11067</v>
      </c>
      <c r="U1180" s="231">
        <v>762</v>
      </c>
      <c r="V1180" s="230"/>
      <c r="W1180" s="230"/>
      <c r="X1180" s="231"/>
      <c r="Y1180" s="71"/>
      <c r="Z1180" s="101">
        <v>0.1</v>
      </c>
      <c r="AA1180" s="102">
        <v>0.09</v>
      </c>
      <c r="AB1180" s="77"/>
      <c r="AC1180" s="78"/>
    </row>
    <row r="1181" spans="1:29" ht="40" customHeight="1" x14ac:dyDescent="0.2">
      <c r="A1181" s="117" t="s">
        <v>3986</v>
      </c>
      <c r="B1181" s="118" t="e">
        <f t="shared" si="134"/>
        <v>#VALUE!</v>
      </c>
      <c r="C1181" s="118" t="s">
        <v>612</v>
      </c>
      <c r="D1181" s="113">
        <v>40619</v>
      </c>
      <c r="E1181" s="84">
        <v>40664</v>
      </c>
      <c r="F1181" s="84">
        <f t="shared" si="135"/>
        <v>44317</v>
      </c>
      <c r="G1181" s="254">
        <v>734.12</v>
      </c>
      <c r="H1181" s="71" t="s">
        <v>3987</v>
      </c>
      <c r="I1181" s="71" t="s">
        <v>931</v>
      </c>
      <c r="J1181" s="79"/>
      <c r="K1181" s="55">
        <f t="shared" si="136"/>
        <v>2021</v>
      </c>
      <c r="L1181" s="80"/>
      <c r="M1181" s="80"/>
      <c r="N1181" s="73" t="s">
        <v>3988</v>
      </c>
      <c r="O1181" s="73" t="s">
        <v>3989</v>
      </c>
      <c r="P1181" s="74" t="s">
        <v>3990</v>
      </c>
      <c r="Q1181" s="75"/>
      <c r="R1181" s="230">
        <v>2717.5</v>
      </c>
      <c r="S1181" s="230"/>
      <c r="T1181" s="230">
        <v>2717.5</v>
      </c>
      <c r="U1181" s="231">
        <v>1102.5</v>
      </c>
      <c r="V1181" s="230"/>
      <c r="W1181" s="230"/>
      <c r="X1181" s="231"/>
      <c r="Y1181" s="71"/>
      <c r="Z1181" s="101">
        <v>0.1</v>
      </c>
      <c r="AA1181" s="102">
        <v>0.09</v>
      </c>
      <c r="AB1181" s="77"/>
      <c r="AC1181" s="78"/>
    </row>
    <row r="1182" spans="1:29" ht="40" customHeight="1" x14ac:dyDescent="0.2">
      <c r="A1182" s="117" t="s">
        <v>3991</v>
      </c>
      <c r="B1182" s="118" t="e">
        <f t="shared" si="134"/>
        <v>#VALUE!</v>
      </c>
      <c r="C1182" s="118" t="s">
        <v>612</v>
      </c>
      <c r="D1182" s="113">
        <v>40619</v>
      </c>
      <c r="E1182" s="84">
        <v>40664</v>
      </c>
      <c r="F1182" s="84">
        <f t="shared" si="135"/>
        <v>44317</v>
      </c>
      <c r="G1182" s="254">
        <v>34.549999999999997</v>
      </c>
      <c r="H1182" s="71" t="s">
        <v>3987</v>
      </c>
      <c r="I1182" s="71" t="s">
        <v>931</v>
      </c>
      <c r="J1182" s="79"/>
      <c r="K1182" s="55">
        <f t="shared" si="136"/>
        <v>2021</v>
      </c>
      <c r="L1182" s="80"/>
      <c r="M1182" s="80"/>
      <c r="N1182" s="73" t="s">
        <v>3988</v>
      </c>
      <c r="O1182" s="73" t="s">
        <v>3992</v>
      </c>
      <c r="P1182" s="74" t="s">
        <v>3993</v>
      </c>
      <c r="Q1182" s="75"/>
      <c r="R1182" s="230">
        <v>267.5</v>
      </c>
      <c r="S1182" s="230"/>
      <c r="T1182" s="230">
        <v>267.5</v>
      </c>
      <c r="U1182" s="231">
        <v>52.5</v>
      </c>
      <c r="V1182" s="230"/>
      <c r="W1182" s="230"/>
      <c r="X1182" s="231"/>
      <c r="Y1182" s="71"/>
      <c r="Z1182" s="101">
        <v>0.1</v>
      </c>
      <c r="AA1182" s="102">
        <v>0.09</v>
      </c>
      <c r="AB1182" s="77"/>
      <c r="AC1182" s="78"/>
    </row>
    <row r="1183" spans="1:29" ht="27" customHeight="1" x14ac:dyDescent="0.2">
      <c r="A1183" s="117" t="s">
        <v>3994</v>
      </c>
      <c r="B1183" s="118" t="e">
        <f t="shared" si="134"/>
        <v>#VALUE!</v>
      </c>
      <c r="C1183" s="118" t="s">
        <v>612</v>
      </c>
      <c r="D1183" s="113">
        <v>40619</v>
      </c>
      <c r="E1183" s="84">
        <v>40664</v>
      </c>
      <c r="F1183" s="84">
        <f t="shared" si="135"/>
        <v>44317</v>
      </c>
      <c r="G1183" s="254">
        <v>558.03</v>
      </c>
      <c r="H1183" s="71" t="s">
        <v>3995</v>
      </c>
      <c r="I1183" s="71" t="s">
        <v>676</v>
      </c>
      <c r="J1183" s="79"/>
      <c r="K1183" s="55">
        <f t="shared" si="136"/>
        <v>2021</v>
      </c>
      <c r="L1183" s="80"/>
      <c r="M1183" s="80"/>
      <c r="N1183" s="73" t="s">
        <v>3996</v>
      </c>
      <c r="O1183" s="73" t="s">
        <v>3997</v>
      </c>
      <c r="P1183" s="74" t="s">
        <v>3998</v>
      </c>
      <c r="Q1183" s="75"/>
      <c r="R1183" s="230">
        <v>2101.5</v>
      </c>
      <c r="S1183" s="230"/>
      <c r="T1183" s="230">
        <v>2101.5</v>
      </c>
      <c r="U1183" s="231">
        <v>838.5</v>
      </c>
      <c r="V1183" s="230"/>
      <c r="W1183" s="230"/>
      <c r="X1183" s="231"/>
      <c r="Y1183" s="71"/>
      <c r="Z1183" s="101">
        <v>0.1</v>
      </c>
      <c r="AA1183" s="102">
        <v>0.09</v>
      </c>
      <c r="AB1183" s="77"/>
      <c r="AC1183" s="78"/>
    </row>
    <row r="1184" spans="1:29" ht="40" customHeight="1" x14ac:dyDescent="0.2">
      <c r="A1184" s="117" t="s">
        <v>3999</v>
      </c>
      <c r="B1184" s="118" t="e">
        <f t="shared" si="134"/>
        <v>#VALUE!</v>
      </c>
      <c r="C1184" s="118" t="s">
        <v>612</v>
      </c>
      <c r="D1184" s="113">
        <v>40619</v>
      </c>
      <c r="E1184" s="84">
        <v>40664</v>
      </c>
      <c r="F1184" s="84">
        <f t="shared" si="135"/>
        <v>44317</v>
      </c>
      <c r="G1184" s="254">
        <v>12.4</v>
      </c>
      <c r="H1184" s="71" t="s">
        <v>3995</v>
      </c>
      <c r="I1184" s="71" t="s">
        <v>676</v>
      </c>
      <c r="J1184" s="79"/>
      <c r="K1184" s="55">
        <f t="shared" si="136"/>
        <v>2021</v>
      </c>
      <c r="L1184" s="80"/>
      <c r="M1184" s="80"/>
      <c r="N1184" s="73" t="s">
        <v>3996</v>
      </c>
      <c r="O1184" s="73" t="s">
        <v>4000</v>
      </c>
      <c r="P1184" s="74" t="s">
        <v>4001</v>
      </c>
      <c r="Q1184" s="75"/>
      <c r="R1184" s="230">
        <v>190.5</v>
      </c>
      <c r="S1184" s="230"/>
      <c r="T1184" s="230">
        <v>190.5</v>
      </c>
      <c r="U1184" s="231">
        <v>19.5</v>
      </c>
      <c r="V1184" s="230"/>
      <c r="W1184" s="230"/>
      <c r="X1184" s="231"/>
      <c r="Y1184" s="71"/>
      <c r="Z1184" s="101">
        <v>0.1</v>
      </c>
      <c r="AA1184" s="102">
        <v>0.09</v>
      </c>
      <c r="AB1184" s="77"/>
      <c r="AC1184" s="78"/>
    </row>
    <row r="1185" spans="1:29" ht="66" customHeight="1" x14ac:dyDescent="0.2">
      <c r="A1185" s="117" t="s">
        <v>4002</v>
      </c>
      <c r="B1185" s="118" t="e">
        <f t="shared" si="134"/>
        <v>#VALUE!</v>
      </c>
      <c r="C1185" s="118" t="s">
        <v>612</v>
      </c>
      <c r="D1185" s="113">
        <v>40619</v>
      </c>
      <c r="E1185" s="84">
        <v>40664</v>
      </c>
      <c r="F1185" s="84">
        <f t="shared" si="135"/>
        <v>44317</v>
      </c>
      <c r="G1185" s="254">
        <v>157.47</v>
      </c>
      <c r="H1185" s="71" t="s">
        <v>3995</v>
      </c>
      <c r="I1185" s="71" t="s">
        <v>676</v>
      </c>
      <c r="J1185" s="79"/>
      <c r="K1185" s="55">
        <f t="shared" si="136"/>
        <v>2021</v>
      </c>
      <c r="L1185" s="80"/>
      <c r="M1185" s="80"/>
      <c r="N1185" s="73" t="s">
        <v>4003</v>
      </c>
      <c r="O1185" s="73" t="s">
        <v>4004</v>
      </c>
      <c r="P1185" s="74" t="s">
        <v>4005</v>
      </c>
      <c r="Q1185" s="75"/>
      <c r="R1185" s="230">
        <v>698</v>
      </c>
      <c r="S1185" s="230"/>
      <c r="T1185" s="230">
        <v>698</v>
      </c>
      <c r="U1185" s="231">
        <v>237</v>
      </c>
      <c r="V1185" s="230"/>
      <c r="W1185" s="230"/>
      <c r="X1185" s="231"/>
      <c r="Y1185" s="71"/>
      <c r="Z1185" s="101">
        <v>0.1</v>
      </c>
      <c r="AA1185" s="102">
        <v>0.09</v>
      </c>
      <c r="AB1185" s="77"/>
      <c r="AC1185" s="78"/>
    </row>
    <row r="1186" spans="1:29" ht="40" customHeight="1" x14ac:dyDescent="0.2">
      <c r="A1186" s="117" t="s">
        <v>4006</v>
      </c>
      <c r="B1186" s="118" t="e">
        <f t="shared" si="134"/>
        <v>#VALUE!</v>
      </c>
      <c r="C1186" s="118" t="s">
        <v>612</v>
      </c>
      <c r="D1186" s="113">
        <v>40619</v>
      </c>
      <c r="E1186" s="84">
        <v>40664</v>
      </c>
      <c r="F1186" s="84">
        <f t="shared" si="135"/>
        <v>44317</v>
      </c>
      <c r="G1186" s="254">
        <v>40</v>
      </c>
      <c r="H1186" s="71" t="s">
        <v>3995</v>
      </c>
      <c r="I1186" s="71" t="s">
        <v>676</v>
      </c>
      <c r="J1186" s="79"/>
      <c r="K1186" s="55">
        <f t="shared" si="136"/>
        <v>2021</v>
      </c>
      <c r="L1186" s="80"/>
      <c r="M1186" s="80"/>
      <c r="N1186" s="73" t="s">
        <v>4003</v>
      </c>
      <c r="O1186" s="73" t="s">
        <v>4007</v>
      </c>
      <c r="P1186" s="74" t="s">
        <v>4008</v>
      </c>
      <c r="Q1186" s="75"/>
      <c r="R1186" s="230">
        <v>285</v>
      </c>
      <c r="S1186" s="230">
        <v>852</v>
      </c>
      <c r="T1186" s="230">
        <v>1137</v>
      </c>
      <c r="U1186" s="231">
        <v>60</v>
      </c>
      <c r="V1186" s="230"/>
      <c r="W1186" s="230"/>
      <c r="X1186" s="231"/>
      <c r="Y1186" s="71"/>
      <c r="Z1186" s="101">
        <v>0.1</v>
      </c>
      <c r="AA1186" s="102">
        <v>0.09</v>
      </c>
      <c r="AB1186" s="77"/>
      <c r="AC1186" s="78"/>
    </row>
    <row r="1187" spans="1:29" ht="53" customHeight="1" x14ac:dyDescent="0.2">
      <c r="A1187" s="117" t="s">
        <v>4009</v>
      </c>
      <c r="B1187" s="118" t="e">
        <f t="shared" si="134"/>
        <v>#VALUE!</v>
      </c>
      <c r="C1187" s="118" t="s">
        <v>612</v>
      </c>
      <c r="D1187" s="113">
        <v>40619</v>
      </c>
      <c r="E1187" s="84">
        <v>40664</v>
      </c>
      <c r="F1187" s="84">
        <f t="shared" si="135"/>
        <v>44317</v>
      </c>
      <c r="G1187" s="254">
        <v>522.16999999999996</v>
      </c>
      <c r="H1187" s="71" t="s">
        <v>3995</v>
      </c>
      <c r="I1187" s="71" t="s">
        <v>676</v>
      </c>
      <c r="J1187" s="79"/>
      <c r="K1187" s="55">
        <f t="shared" si="136"/>
        <v>2021</v>
      </c>
      <c r="L1187" s="80"/>
      <c r="M1187" s="80"/>
      <c r="N1187" s="73" t="s">
        <v>4003</v>
      </c>
      <c r="O1187" s="73" t="s">
        <v>4010</v>
      </c>
      <c r="P1187" s="74" t="s">
        <v>4011</v>
      </c>
      <c r="Q1187" s="75"/>
      <c r="R1187" s="230">
        <v>1975.5</v>
      </c>
      <c r="S1187" s="230">
        <v>2092</v>
      </c>
      <c r="T1187" s="230">
        <v>4067.5</v>
      </c>
      <c r="U1187" s="231">
        <v>784.5</v>
      </c>
      <c r="V1187" s="230"/>
      <c r="W1187" s="230"/>
      <c r="X1187" s="231"/>
      <c r="Y1187" s="71"/>
      <c r="Z1187" s="101">
        <v>0.1</v>
      </c>
      <c r="AA1187" s="102">
        <v>0.09</v>
      </c>
      <c r="AB1187" s="77"/>
      <c r="AC1187" s="78"/>
    </row>
    <row r="1188" spans="1:29" ht="53" customHeight="1" x14ac:dyDescent="0.2">
      <c r="A1188" s="117" t="s">
        <v>4012</v>
      </c>
      <c r="B1188" s="118" t="e">
        <f t="shared" si="134"/>
        <v>#VALUE!</v>
      </c>
      <c r="C1188" s="118" t="s">
        <v>612</v>
      </c>
      <c r="D1188" s="113">
        <v>40619</v>
      </c>
      <c r="E1188" s="84">
        <v>40664</v>
      </c>
      <c r="F1188" s="84">
        <f t="shared" si="135"/>
        <v>44317</v>
      </c>
      <c r="G1188" s="254">
        <v>767.1</v>
      </c>
      <c r="H1188" s="71" t="s">
        <v>3995</v>
      </c>
      <c r="I1188" s="71" t="s">
        <v>676</v>
      </c>
      <c r="J1188" s="79"/>
      <c r="K1188" s="55">
        <f t="shared" si="136"/>
        <v>2021</v>
      </c>
      <c r="L1188" s="80"/>
      <c r="M1188" s="80"/>
      <c r="N1188" s="73" t="s">
        <v>4003</v>
      </c>
      <c r="O1188" s="73" t="s">
        <v>4013</v>
      </c>
      <c r="P1188" s="74" t="s">
        <v>4014</v>
      </c>
      <c r="Q1188" s="75"/>
      <c r="R1188" s="230">
        <v>2833</v>
      </c>
      <c r="S1188" s="230">
        <v>3072</v>
      </c>
      <c r="T1188" s="230">
        <v>5905</v>
      </c>
      <c r="U1188" s="231">
        <v>1152</v>
      </c>
      <c r="V1188" s="230"/>
      <c r="W1188" s="230"/>
      <c r="X1188" s="231"/>
      <c r="Y1188" s="71"/>
      <c r="Z1188" s="101">
        <v>0.1</v>
      </c>
      <c r="AA1188" s="102">
        <v>0.09</v>
      </c>
      <c r="AB1188" s="77"/>
      <c r="AC1188" s="78"/>
    </row>
    <row r="1189" spans="1:29" ht="66" customHeight="1" x14ac:dyDescent="0.2">
      <c r="A1189" s="117" t="s">
        <v>4015</v>
      </c>
      <c r="B1189" s="118" t="e">
        <f t="shared" si="134"/>
        <v>#VALUE!</v>
      </c>
      <c r="C1189" s="118" t="s">
        <v>612</v>
      </c>
      <c r="D1189" s="113">
        <v>40619</v>
      </c>
      <c r="E1189" s="84">
        <v>40664</v>
      </c>
      <c r="F1189" s="84">
        <f t="shared" si="135"/>
        <v>44317</v>
      </c>
      <c r="G1189" s="254">
        <v>358.3</v>
      </c>
      <c r="H1189" s="71" t="s">
        <v>3995</v>
      </c>
      <c r="I1189" s="71" t="s">
        <v>676</v>
      </c>
      <c r="J1189" s="79"/>
      <c r="K1189" s="55">
        <f t="shared" si="136"/>
        <v>2021</v>
      </c>
      <c r="L1189" s="80"/>
      <c r="M1189" s="80"/>
      <c r="N1189" s="73" t="s">
        <v>4003</v>
      </c>
      <c r="O1189" s="73" t="s">
        <v>4016</v>
      </c>
      <c r="P1189" s="74" t="s">
        <v>4017</v>
      </c>
      <c r="Q1189" s="75"/>
      <c r="R1189" s="230">
        <v>1401.5</v>
      </c>
      <c r="S1189" s="230">
        <v>1436</v>
      </c>
      <c r="T1189" s="230">
        <v>2837.5</v>
      </c>
      <c r="U1189" s="231">
        <v>538.5</v>
      </c>
      <c r="V1189" s="230"/>
      <c r="W1189" s="230"/>
      <c r="X1189" s="231"/>
      <c r="Y1189" s="71"/>
      <c r="Z1189" s="101">
        <v>0.1</v>
      </c>
      <c r="AA1189" s="102">
        <v>0.09</v>
      </c>
      <c r="AB1189" s="77"/>
      <c r="AC1189" s="78"/>
    </row>
    <row r="1190" spans="1:29" ht="40" customHeight="1" x14ac:dyDescent="0.2">
      <c r="A1190" s="117" t="s">
        <v>4018</v>
      </c>
      <c r="B1190" s="118" t="e">
        <f t="shared" si="134"/>
        <v>#VALUE!</v>
      </c>
      <c r="C1190" s="118" t="s">
        <v>612</v>
      </c>
      <c r="D1190" s="113">
        <v>40619</v>
      </c>
      <c r="E1190" s="84">
        <v>40664</v>
      </c>
      <c r="F1190" s="84">
        <f t="shared" si="135"/>
        <v>44317</v>
      </c>
      <c r="G1190" s="254">
        <v>80</v>
      </c>
      <c r="H1190" s="71" t="s">
        <v>3995</v>
      </c>
      <c r="I1190" s="71" t="s">
        <v>676</v>
      </c>
      <c r="J1190" s="79"/>
      <c r="K1190" s="55">
        <f t="shared" si="136"/>
        <v>2021</v>
      </c>
      <c r="L1190" s="80"/>
      <c r="M1190" s="80"/>
      <c r="N1190" s="73" t="s">
        <v>4019</v>
      </c>
      <c r="O1190" s="73" t="s">
        <v>4020</v>
      </c>
      <c r="P1190" s="74" t="s">
        <v>4021</v>
      </c>
      <c r="Q1190" s="75"/>
      <c r="R1190" s="230">
        <v>425</v>
      </c>
      <c r="S1190" s="230"/>
      <c r="T1190" s="230">
        <v>425</v>
      </c>
      <c r="U1190" s="231">
        <v>120</v>
      </c>
      <c r="V1190" s="230"/>
      <c r="W1190" s="230"/>
      <c r="X1190" s="231"/>
      <c r="Y1190" s="71"/>
      <c r="Z1190" s="101">
        <v>0.1</v>
      </c>
      <c r="AA1190" s="102">
        <v>0.09</v>
      </c>
      <c r="AB1190" s="77"/>
      <c r="AC1190" s="78"/>
    </row>
    <row r="1191" spans="1:29" ht="53" customHeight="1" x14ac:dyDescent="0.2">
      <c r="A1191" s="117" t="s">
        <v>4022</v>
      </c>
      <c r="B1191" s="118" t="e">
        <f t="shared" si="134"/>
        <v>#VALUE!</v>
      </c>
      <c r="C1191" s="118" t="s">
        <v>612</v>
      </c>
      <c r="D1191" s="113">
        <v>40619</v>
      </c>
      <c r="E1191" s="84">
        <v>40664</v>
      </c>
      <c r="F1191" s="84">
        <f t="shared" si="135"/>
        <v>44317</v>
      </c>
      <c r="G1191" s="254">
        <v>62.454999999999998</v>
      </c>
      <c r="H1191" s="71" t="s">
        <v>4023</v>
      </c>
      <c r="I1191" s="71" t="s">
        <v>676</v>
      </c>
      <c r="J1191" s="79"/>
      <c r="K1191" s="55">
        <f t="shared" si="136"/>
        <v>2021</v>
      </c>
      <c r="L1191" s="80"/>
      <c r="M1191" s="80"/>
      <c r="N1191" s="73" t="s">
        <v>4024</v>
      </c>
      <c r="O1191" s="73" t="s">
        <v>4025</v>
      </c>
      <c r="P1191" s="74" t="s">
        <v>4026</v>
      </c>
      <c r="Q1191" s="75"/>
      <c r="R1191" s="230">
        <v>365.5</v>
      </c>
      <c r="S1191" s="230">
        <v>126</v>
      </c>
      <c r="T1191" s="230">
        <v>491.5</v>
      </c>
      <c r="U1191" s="231">
        <v>94.5</v>
      </c>
      <c r="V1191" s="230"/>
      <c r="W1191" s="230"/>
      <c r="X1191" s="231"/>
      <c r="Y1191" s="71"/>
      <c r="Z1191" s="101">
        <v>0.1</v>
      </c>
      <c r="AA1191" s="102">
        <v>0.09</v>
      </c>
      <c r="AB1191" s="77"/>
      <c r="AC1191" s="78"/>
    </row>
    <row r="1192" spans="1:29" ht="79" customHeight="1" x14ac:dyDescent="0.2">
      <c r="A1192" s="117" t="s">
        <v>4027</v>
      </c>
      <c r="B1192" s="118" t="e">
        <f t="shared" si="134"/>
        <v>#VALUE!</v>
      </c>
      <c r="C1192" s="118" t="s">
        <v>612</v>
      </c>
      <c r="D1192" s="113">
        <v>40619</v>
      </c>
      <c r="E1192" s="84">
        <v>40664</v>
      </c>
      <c r="F1192" s="84">
        <f t="shared" si="135"/>
        <v>44317</v>
      </c>
      <c r="G1192" s="254">
        <v>79</v>
      </c>
      <c r="H1192" s="71" t="s">
        <v>4023</v>
      </c>
      <c r="I1192" s="71" t="s">
        <v>676</v>
      </c>
      <c r="J1192" s="79"/>
      <c r="K1192" s="55">
        <f t="shared" si="136"/>
        <v>2021</v>
      </c>
      <c r="L1192" s="80"/>
      <c r="M1192" s="80"/>
      <c r="N1192" s="73" t="s">
        <v>4028</v>
      </c>
      <c r="O1192" s="73" t="s">
        <v>4029</v>
      </c>
      <c r="P1192" s="74" t="s">
        <v>4030</v>
      </c>
      <c r="Q1192" s="75"/>
      <c r="R1192" s="230">
        <v>421.5</v>
      </c>
      <c r="S1192" s="230">
        <v>316</v>
      </c>
      <c r="T1192" s="230">
        <v>737.5</v>
      </c>
      <c r="U1192" s="231">
        <v>118.5</v>
      </c>
      <c r="V1192" s="230"/>
      <c r="W1192" s="230"/>
      <c r="X1192" s="231"/>
      <c r="Y1192" s="71"/>
      <c r="Z1192" s="101">
        <v>0.1</v>
      </c>
      <c r="AA1192" s="102">
        <v>0.09</v>
      </c>
      <c r="AB1192" s="77"/>
      <c r="AC1192" s="78"/>
    </row>
    <row r="1193" spans="1:29" ht="92" customHeight="1" x14ac:dyDescent="0.2">
      <c r="A1193" s="117" t="s">
        <v>4031</v>
      </c>
      <c r="B1193" s="118" t="e">
        <f t="shared" si="134"/>
        <v>#VALUE!</v>
      </c>
      <c r="C1193" s="118" t="s">
        <v>612</v>
      </c>
      <c r="D1193" s="113">
        <v>40619</v>
      </c>
      <c r="E1193" s="84">
        <v>40664</v>
      </c>
      <c r="F1193" s="84">
        <f t="shared" si="135"/>
        <v>44317</v>
      </c>
      <c r="G1193" s="254">
        <v>40</v>
      </c>
      <c r="H1193" s="71" t="s">
        <v>4023</v>
      </c>
      <c r="I1193" s="71" t="s">
        <v>676</v>
      </c>
      <c r="J1193" s="79"/>
      <c r="K1193" s="55">
        <f t="shared" si="136"/>
        <v>2021</v>
      </c>
      <c r="L1193" s="80"/>
      <c r="M1193" s="80"/>
      <c r="N1193" s="73" t="s">
        <v>4028</v>
      </c>
      <c r="O1193" s="73" t="s">
        <v>4032</v>
      </c>
      <c r="P1193" s="74" t="s">
        <v>4033</v>
      </c>
      <c r="Q1193" s="75"/>
      <c r="R1193" s="230">
        <v>285</v>
      </c>
      <c r="S1193" s="230"/>
      <c r="T1193" s="230">
        <v>285</v>
      </c>
      <c r="U1193" s="231">
        <v>60</v>
      </c>
      <c r="V1193" s="230"/>
      <c r="W1193" s="230"/>
      <c r="X1193" s="231"/>
      <c r="Y1193" s="71"/>
      <c r="Z1193" s="101">
        <v>0.1</v>
      </c>
      <c r="AA1193" s="102">
        <v>0.09</v>
      </c>
      <c r="AB1193" s="77"/>
      <c r="AC1193" s="78"/>
    </row>
    <row r="1194" spans="1:29" ht="40" customHeight="1" x14ac:dyDescent="0.2">
      <c r="A1194" s="117" t="s">
        <v>4034</v>
      </c>
      <c r="B1194" s="118" t="e">
        <f t="shared" si="134"/>
        <v>#VALUE!</v>
      </c>
      <c r="C1194" s="118" t="s">
        <v>612</v>
      </c>
      <c r="D1194" s="113">
        <v>40619</v>
      </c>
      <c r="E1194" s="84">
        <v>40664</v>
      </c>
      <c r="F1194" s="84">
        <f t="shared" si="135"/>
        <v>44317</v>
      </c>
      <c r="G1194" s="254">
        <v>20</v>
      </c>
      <c r="H1194" s="71" t="s">
        <v>4023</v>
      </c>
      <c r="I1194" s="71" t="s">
        <v>676</v>
      </c>
      <c r="J1194" s="79"/>
      <c r="K1194" s="55">
        <f t="shared" si="136"/>
        <v>2021</v>
      </c>
      <c r="L1194" s="80"/>
      <c r="M1194" s="80"/>
      <c r="N1194" s="73" t="s">
        <v>4035</v>
      </c>
      <c r="O1194" s="73" t="s">
        <v>4036</v>
      </c>
      <c r="P1194" s="74" t="s">
        <v>4037</v>
      </c>
      <c r="Q1194" s="75"/>
      <c r="R1194" s="230">
        <v>215</v>
      </c>
      <c r="S1194" s="230">
        <v>80</v>
      </c>
      <c r="T1194" s="230">
        <v>295</v>
      </c>
      <c r="U1194" s="231">
        <v>30</v>
      </c>
      <c r="V1194" s="230"/>
      <c r="W1194" s="230"/>
      <c r="X1194" s="231"/>
      <c r="Y1194" s="71"/>
      <c r="Z1194" s="101">
        <v>0.1</v>
      </c>
      <c r="AA1194" s="102">
        <v>0.09</v>
      </c>
      <c r="AB1194" s="77"/>
      <c r="AC1194" s="78"/>
    </row>
    <row r="1195" spans="1:29" ht="40" customHeight="1" x14ac:dyDescent="0.2">
      <c r="A1195" s="117" t="s">
        <v>4038</v>
      </c>
      <c r="B1195" s="118" t="e">
        <f t="shared" si="134"/>
        <v>#VALUE!</v>
      </c>
      <c r="C1195" s="118" t="s">
        <v>612</v>
      </c>
      <c r="D1195" s="113">
        <v>40619</v>
      </c>
      <c r="E1195" s="84">
        <v>40664</v>
      </c>
      <c r="F1195" s="84">
        <f t="shared" si="135"/>
        <v>44317</v>
      </c>
      <c r="G1195" s="254">
        <v>640</v>
      </c>
      <c r="H1195" s="71" t="s">
        <v>4023</v>
      </c>
      <c r="I1195" s="71" t="s">
        <v>676</v>
      </c>
      <c r="J1195" s="79"/>
      <c r="K1195" s="55">
        <f t="shared" si="136"/>
        <v>2021</v>
      </c>
      <c r="L1195" s="80"/>
      <c r="M1195" s="80"/>
      <c r="N1195" s="73" t="s">
        <v>4039</v>
      </c>
      <c r="O1195" s="73" t="s">
        <v>4040</v>
      </c>
      <c r="P1195" s="74" t="s">
        <v>4041</v>
      </c>
      <c r="Q1195" s="75"/>
      <c r="R1195" s="230">
        <v>2385</v>
      </c>
      <c r="S1195" s="230"/>
      <c r="T1195" s="230">
        <v>2385</v>
      </c>
      <c r="U1195" s="231">
        <v>960</v>
      </c>
      <c r="V1195" s="230"/>
      <c r="W1195" s="230"/>
      <c r="X1195" s="231"/>
      <c r="Y1195" s="71"/>
      <c r="Z1195" s="101">
        <v>0.1</v>
      </c>
      <c r="AA1195" s="102">
        <v>0.09</v>
      </c>
      <c r="AB1195" s="77"/>
      <c r="AC1195" s="78"/>
    </row>
    <row r="1196" spans="1:29" ht="40" customHeight="1" x14ac:dyDescent="0.2">
      <c r="A1196" s="117" t="s">
        <v>4042</v>
      </c>
      <c r="B1196" s="118" t="e">
        <f t="shared" si="134"/>
        <v>#VALUE!</v>
      </c>
      <c r="C1196" s="118" t="s">
        <v>612</v>
      </c>
      <c r="D1196" s="113">
        <v>40619</v>
      </c>
      <c r="E1196" s="84">
        <v>40664</v>
      </c>
      <c r="F1196" s="84">
        <f t="shared" si="135"/>
        <v>44317</v>
      </c>
      <c r="G1196" s="254">
        <v>74</v>
      </c>
      <c r="H1196" s="71" t="s">
        <v>4043</v>
      </c>
      <c r="I1196" s="71" t="s">
        <v>676</v>
      </c>
      <c r="J1196" s="79"/>
      <c r="K1196" s="55">
        <f t="shared" si="136"/>
        <v>2021</v>
      </c>
      <c r="L1196" s="80"/>
      <c r="M1196" s="80"/>
      <c r="N1196" s="73" t="s">
        <v>4044</v>
      </c>
      <c r="O1196" s="73" t="s">
        <v>4045</v>
      </c>
      <c r="P1196" s="74" t="s">
        <v>4046</v>
      </c>
      <c r="Q1196" s="75"/>
      <c r="R1196" s="230">
        <v>404</v>
      </c>
      <c r="S1196" s="230"/>
      <c r="T1196" s="230">
        <v>404</v>
      </c>
      <c r="U1196" s="231">
        <v>111</v>
      </c>
      <c r="V1196" s="230"/>
      <c r="W1196" s="230"/>
      <c r="X1196" s="231"/>
      <c r="Y1196" s="71"/>
      <c r="Z1196" s="101">
        <v>0.1</v>
      </c>
      <c r="AA1196" s="102">
        <v>0.09</v>
      </c>
      <c r="AB1196" s="77"/>
      <c r="AC1196" s="78"/>
    </row>
    <row r="1197" spans="1:29" ht="40" customHeight="1" x14ac:dyDescent="0.2">
      <c r="A1197" s="117" t="s">
        <v>4047</v>
      </c>
      <c r="B1197" s="118" t="e">
        <f t="shared" si="134"/>
        <v>#VALUE!</v>
      </c>
      <c r="C1197" s="118" t="s">
        <v>612</v>
      </c>
      <c r="D1197" s="113">
        <v>40619</v>
      </c>
      <c r="E1197" s="84">
        <v>40664</v>
      </c>
      <c r="F1197" s="84">
        <f t="shared" si="135"/>
        <v>44317</v>
      </c>
      <c r="G1197" s="254">
        <v>75.97</v>
      </c>
      <c r="H1197" s="71" t="s">
        <v>4043</v>
      </c>
      <c r="I1197" s="71" t="s">
        <v>676</v>
      </c>
      <c r="J1197" s="79"/>
      <c r="K1197" s="55">
        <f t="shared" si="136"/>
        <v>2021</v>
      </c>
      <c r="L1197" s="80"/>
      <c r="M1197" s="80"/>
      <c r="N1197" s="73" t="s">
        <v>4044</v>
      </c>
      <c r="O1197" s="73" t="s">
        <v>4048</v>
      </c>
      <c r="P1197" s="74" t="s">
        <v>4049</v>
      </c>
      <c r="Q1197" s="75"/>
      <c r="R1197" s="230">
        <v>411</v>
      </c>
      <c r="S1197" s="230"/>
      <c r="T1197" s="230">
        <v>411</v>
      </c>
      <c r="U1197" s="231">
        <v>114</v>
      </c>
      <c r="V1197" s="230"/>
      <c r="W1197" s="230"/>
      <c r="X1197" s="231"/>
      <c r="Y1197" s="71"/>
      <c r="Z1197" s="101">
        <v>0.1</v>
      </c>
      <c r="AA1197" s="102">
        <v>0.09</v>
      </c>
      <c r="AB1197" s="77"/>
      <c r="AC1197" s="78"/>
    </row>
    <row r="1198" spans="1:29" x14ac:dyDescent="0.2">
      <c r="A1198" s="117" t="s">
        <v>4050</v>
      </c>
      <c r="B1198" s="118" t="e">
        <f t="shared" si="134"/>
        <v>#VALUE!</v>
      </c>
      <c r="C1198" s="118" t="s">
        <v>612</v>
      </c>
      <c r="D1198" s="113">
        <v>40619</v>
      </c>
      <c r="E1198" s="84">
        <v>40664</v>
      </c>
      <c r="F1198" s="84">
        <f t="shared" si="135"/>
        <v>44317</v>
      </c>
      <c r="G1198" s="254">
        <v>66.099999999999994</v>
      </c>
      <c r="H1198" s="71" t="s">
        <v>4051</v>
      </c>
      <c r="I1198" s="71" t="s">
        <v>2860</v>
      </c>
      <c r="J1198" s="79"/>
      <c r="K1198" s="55">
        <f t="shared" si="136"/>
        <v>2021</v>
      </c>
      <c r="L1198" s="80"/>
      <c r="M1198" s="80"/>
      <c r="N1198" s="73" t="s">
        <v>4052</v>
      </c>
      <c r="O1198" s="73" t="s">
        <v>4053</v>
      </c>
      <c r="P1198" s="74"/>
      <c r="Q1198" s="75"/>
      <c r="R1198" s="230">
        <v>379.5</v>
      </c>
      <c r="S1198" s="230"/>
      <c r="T1198" s="230">
        <v>379.5</v>
      </c>
      <c r="U1198" s="231">
        <v>100.5</v>
      </c>
      <c r="V1198" s="230"/>
      <c r="W1198" s="230"/>
      <c r="X1198" s="231"/>
      <c r="Y1198" s="71"/>
      <c r="Z1198" s="101">
        <v>0.1</v>
      </c>
      <c r="AA1198" s="102">
        <v>0.09</v>
      </c>
      <c r="AB1198" s="77"/>
      <c r="AC1198" s="78"/>
    </row>
    <row r="1199" spans="1:29" x14ac:dyDescent="0.2">
      <c r="A1199" s="117" t="s">
        <v>4054</v>
      </c>
      <c r="B1199" s="118" t="e">
        <f t="shared" si="134"/>
        <v>#VALUE!</v>
      </c>
      <c r="C1199" s="118" t="s">
        <v>612</v>
      </c>
      <c r="D1199" s="113">
        <v>40619</v>
      </c>
      <c r="E1199" s="84">
        <v>40664</v>
      </c>
      <c r="F1199" s="84">
        <f t="shared" si="135"/>
        <v>44317</v>
      </c>
      <c r="G1199" s="254">
        <v>1418.9</v>
      </c>
      <c r="H1199" s="71" t="s">
        <v>4051</v>
      </c>
      <c r="I1199" s="71" t="s">
        <v>2860</v>
      </c>
      <c r="J1199" s="79"/>
      <c r="K1199" s="55">
        <f t="shared" si="136"/>
        <v>2021</v>
      </c>
      <c r="L1199" s="80"/>
      <c r="M1199" s="80"/>
      <c r="N1199" s="73" t="s">
        <v>4052</v>
      </c>
      <c r="O1199" s="73" t="s">
        <v>4055</v>
      </c>
      <c r="P1199" s="74"/>
      <c r="Q1199" s="75"/>
      <c r="R1199" s="230">
        <v>5111.5</v>
      </c>
      <c r="S1199" s="230"/>
      <c r="T1199" s="230">
        <v>5111.5</v>
      </c>
      <c r="U1199" s="231">
        <v>2128.5</v>
      </c>
      <c r="V1199" s="230"/>
      <c r="W1199" s="230"/>
      <c r="X1199" s="231"/>
      <c r="Y1199" s="71"/>
      <c r="Z1199" s="101">
        <v>0.1</v>
      </c>
      <c r="AA1199" s="102">
        <v>0.09</v>
      </c>
      <c r="AB1199" s="77"/>
      <c r="AC1199" s="78"/>
    </row>
    <row r="1200" spans="1:29" x14ac:dyDescent="0.2">
      <c r="A1200" s="117" t="s">
        <v>4056</v>
      </c>
      <c r="B1200" s="118" t="e">
        <f t="shared" si="134"/>
        <v>#VALUE!</v>
      </c>
      <c r="C1200" s="118" t="s">
        <v>612</v>
      </c>
      <c r="D1200" s="113">
        <v>40619</v>
      </c>
      <c r="E1200" s="84">
        <v>40664</v>
      </c>
      <c r="F1200" s="84">
        <f t="shared" si="135"/>
        <v>44317</v>
      </c>
      <c r="G1200" s="254">
        <v>183.7</v>
      </c>
      <c r="H1200" s="71" t="s">
        <v>4051</v>
      </c>
      <c r="I1200" s="71" t="s">
        <v>2860</v>
      </c>
      <c r="J1200" s="79"/>
      <c r="K1200" s="55">
        <f t="shared" si="136"/>
        <v>2021</v>
      </c>
      <c r="L1200" s="80"/>
      <c r="M1200" s="80"/>
      <c r="N1200" s="73" t="s">
        <v>4052</v>
      </c>
      <c r="O1200" s="73" t="s">
        <v>4057</v>
      </c>
      <c r="P1200" s="74"/>
      <c r="Q1200" s="75"/>
      <c r="R1200" s="230">
        <v>789</v>
      </c>
      <c r="S1200" s="230"/>
      <c r="T1200" s="230">
        <v>789</v>
      </c>
      <c r="U1200" s="231">
        <v>276</v>
      </c>
      <c r="V1200" s="230"/>
      <c r="W1200" s="230"/>
      <c r="X1200" s="231"/>
      <c r="Y1200" s="71"/>
      <c r="Z1200" s="101">
        <v>0.1</v>
      </c>
      <c r="AA1200" s="102">
        <v>0.09</v>
      </c>
      <c r="AB1200" s="77"/>
      <c r="AC1200" s="78"/>
    </row>
    <row r="1201" spans="1:29" x14ac:dyDescent="0.2">
      <c r="A1201" s="117" t="s">
        <v>4058</v>
      </c>
      <c r="B1201" s="118" t="e">
        <f t="shared" si="134"/>
        <v>#VALUE!</v>
      </c>
      <c r="C1201" s="118" t="s">
        <v>612</v>
      </c>
      <c r="D1201" s="113">
        <v>40619</v>
      </c>
      <c r="E1201" s="84">
        <v>40664</v>
      </c>
      <c r="F1201" s="84">
        <f t="shared" si="135"/>
        <v>44317</v>
      </c>
      <c r="G1201" s="254">
        <v>95.2</v>
      </c>
      <c r="H1201" s="71" t="s">
        <v>4059</v>
      </c>
      <c r="I1201" s="71" t="s">
        <v>2860</v>
      </c>
      <c r="J1201" s="79"/>
      <c r="K1201" s="55">
        <f t="shared" si="136"/>
        <v>2021</v>
      </c>
      <c r="L1201" s="80"/>
      <c r="M1201" s="80"/>
      <c r="N1201" s="73" t="s">
        <v>4052</v>
      </c>
      <c r="O1201" s="73" t="s">
        <v>4060</v>
      </c>
      <c r="P1201" s="74"/>
      <c r="Q1201" s="75"/>
      <c r="R1201" s="230">
        <v>481</v>
      </c>
      <c r="S1201" s="230"/>
      <c r="T1201" s="230">
        <v>481</v>
      </c>
      <c r="U1201" s="231">
        <v>144</v>
      </c>
      <c r="V1201" s="230"/>
      <c r="W1201" s="230"/>
      <c r="X1201" s="231"/>
      <c r="Y1201" s="71"/>
      <c r="Z1201" s="101">
        <v>0.1</v>
      </c>
      <c r="AA1201" s="102">
        <v>0.09</v>
      </c>
      <c r="AB1201" s="77"/>
      <c r="AC1201" s="78"/>
    </row>
    <row r="1202" spans="1:29" x14ac:dyDescent="0.2">
      <c r="A1202" s="117" t="s">
        <v>4061</v>
      </c>
      <c r="B1202" s="118" t="e">
        <f t="shared" si="134"/>
        <v>#VALUE!</v>
      </c>
      <c r="C1202" s="118" t="s">
        <v>612</v>
      </c>
      <c r="D1202" s="113">
        <v>40619</v>
      </c>
      <c r="E1202" s="84">
        <v>40664</v>
      </c>
      <c r="F1202" s="84">
        <f t="shared" si="135"/>
        <v>44317</v>
      </c>
      <c r="G1202" s="254">
        <v>2069.6999999999998</v>
      </c>
      <c r="H1202" s="71" t="s">
        <v>4062</v>
      </c>
      <c r="I1202" s="71" t="s">
        <v>2860</v>
      </c>
      <c r="J1202" s="79"/>
      <c r="K1202" s="55">
        <f t="shared" si="136"/>
        <v>2021</v>
      </c>
      <c r="L1202" s="80"/>
      <c r="M1202" s="80"/>
      <c r="N1202" s="73" t="s">
        <v>4052</v>
      </c>
      <c r="O1202" s="73" t="s">
        <v>4063</v>
      </c>
      <c r="P1202" s="74"/>
      <c r="Q1202" s="75"/>
      <c r="R1202" s="230">
        <v>7390</v>
      </c>
      <c r="S1202" s="230"/>
      <c r="T1202" s="230">
        <v>7390</v>
      </c>
      <c r="U1202" s="231">
        <v>3105</v>
      </c>
      <c r="V1202" s="230"/>
      <c r="W1202" s="230"/>
      <c r="X1202" s="231"/>
      <c r="Y1202" s="71"/>
      <c r="Z1202" s="101">
        <v>0.1</v>
      </c>
      <c r="AA1202" s="102">
        <v>0.09</v>
      </c>
      <c r="AB1202" s="77"/>
      <c r="AC1202" s="78"/>
    </row>
    <row r="1203" spans="1:29" ht="53" customHeight="1" x14ac:dyDescent="0.2">
      <c r="A1203" s="117" t="s">
        <v>4064</v>
      </c>
      <c r="B1203" s="118" t="e">
        <f t="shared" si="134"/>
        <v>#VALUE!</v>
      </c>
      <c r="C1203" s="118" t="s">
        <v>612</v>
      </c>
      <c r="D1203" s="113">
        <v>40619</v>
      </c>
      <c r="E1203" s="84">
        <v>40664</v>
      </c>
      <c r="F1203" s="84">
        <f t="shared" si="135"/>
        <v>44317</v>
      </c>
      <c r="G1203" s="254">
        <v>794.84</v>
      </c>
      <c r="H1203" s="71" t="s">
        <v>4065</v>
      </c>
      <c r="I1203" s="71" t="s">
        <v>684</v>
      </c>
      <c r="J1203" s="79"/>
      <c r="K1203" s="55">
        <f t="shared" si="136"/>
        <v>2021</v>
      </c>
      <c r="L1203" s="80"/>
      <c r="M1203" s="80"/>
      <c r="N1203" s="73" t="s">
        <v>4066</v>
      </c>
      <c r="O1203" s="73" t="s">
        <v>4067</v>
      </c>
      <c r="P1203" s="74" t="s">
        <v>4068</v>
      </c>
      <c r="Q1203" s="75"/>
      <c r="R1203" s="230">
        <v>2927.5</v>
      </c>
      <c r="S1203" s="230"/>
      <c r="T1203" s="230">
        <v>2927.5</v>
      </c>
      <c r="U1203" s="231">
        <v>1192.5</v>
      </c>
      <c r="V1203" s="230"/>
      <c r="W1203" s="230"/>
      <c r="X1203" s="231"/>
      <c r="Y1203" s="71"/>
      <c r="Z1203" s="101">
        <v>0.1</v>
      </c>
      <c r="AA1203" s="102">
        <v>0.09</v>
      </c>
      <c r="AB1203" s="77"/>
      <c r="AC1203" s="78"/>
    </row>
    <row r="1204" spans="1:29" ht="40" customHeight="1" x14ac:dyDescent="0.2">
      <c r="A1204" s="117" t="s">
        <v>4069</v>
      </c>
      <c r="B1204" s="118" t="e">
        <f t="shared" si="134"/>
        <v>#VALUE!</v>
      </c>
      <c r="C1204" s="118" t="s">
        <v>612</v>
      </c>
      <c r="D1204" s="113">
        <v>40619</v>
      </c>
      <c r="E1204" s="84">
        <v>40664</v>
      </c>
      <c r="F1204" s="84">
        <f t="shared" si="135"/>
        <v>44317</v>
      </c>
      <c r="G1204" s="254">
        <v>80</v>
      </c>
      <c r="H1204" s="71" t="s">
        <v>4065</v>
      </c>
      <c r="I1204" s="71" t="s">
        <v>684</v>
      </c>
      <c r="J1204" s="79"/>
      <c r="K1204" s="55">
        <f t="shared" si="136"/>
        <v>2021</v>
      </c>
      <c r="L1204" s="80"/>
      <c r="M1204" s="80"/>
      <c r="N1204" s="73" t="s">
        <v>4066</v>
      </c>
      <c r="O1204" s="73" t="s">
        <v>4070</v>
      </c>
      <c r="P1204" s="74" t="s">
        <v>4071</v>
      </c>
      <c r="Q1204" s="75"/>
      <c r="R1204" s="230">
        <v>425</v>
      </c>
      <c r="S1204" s="230">
        <v>1600</v>
      </c>
      <c r="T1204" s="230">
        <v>2025</v>
      </c>
      <c r="U1204" s="231">
        <v>120</v>
      </c>
      <c r="V1204" s="230"/>
      <c r="W1204" s="230"/>
      <c r="X1204" s="231"/>
      <c r="Y1204" s="71"/>
      <c r="Z1204" s="101">
        <v>0.1</v>
      </c>
      <c r="AA1204" s="102">
        <v>0.09</v>
      </c>
      <c r="AB1204" s="77"/>
      <c r="AC1204" s="78"/>
    </row>
    <row r="1205" spans="1:29" ht="53" customHeight="1" x14ac:dyDescent="0.2">
      <c r="A1205" s="117" t="s">
        <v>4072</v>
      </c>
      <c r="B1205" s="118" t="e">
        <f t="shared" si="134"/>
        <v>#VALUE!</v>
      </c>
      <c r="C1205" s="118" t="s">
        <v>612</v>
      </c>
      <c r="D1205" s="113">
        <v>40619</v>
      </c>
      <c r="E1205" s="84">
        <v>40664</v>
      </c>
      <c r="F1205" s="84">
        <f t="shared" si="135"/>
        <v>44317</v>
      </c>
      <c r="G1205" s="254">
        <v>1112</v>
      </c>
      <c r="H1205" s="71" t="s">
        <v>4065</v>
      </c>
      <c r="I1205" s="71" t="s">
        <v>684</v>
      </c>
      <c r="J1205" s="79"/>
      <c r="K1205" s="55">
        <f t="shared" si="136"/>
        <v>2021</v>
      </c>
      <c r="L1205" s="80"/>
      <c r="M1205" s="80"/>
      <c r="N1205" s="73" t="s">
        <v>4066</v>
      </c>
      <c r="O1205" s="73" t="s">
        <v>4073</v>
      </c>
      <c r="P1205" s="74" t="s">
        <v>4074</v>
      </c>
      <c r="Q1205" s="75"/>
      <c r="R1205" s="230">
        <v>4037</v>
      </c>
      <c r="S1205" s="230">
        <v>22240</v>
      </c>
      <c r="T1205" s="230">
        <v>26277</v>
      </c>
      <c r="U1205" s="231">
        <v>1668</v>
      </c>
      <c r="V1205" s="230"/>
      <c r="W1205" s="230"/>
      <c r="X1205" s="231"/>
      <c r="Y1205" s="71"/>
      <c r="Z1205" s="101">
        <v>0.1</v>
      </c>
      <c r="AA1205" s="102">
        <v>0.09</v>
      </c>
      <c r="AB1205" s="77"/>
      <c r="AC1205" s="78"/>
    </row>
    <row r="1206" spans="1:29" ht="40" customHeight="1" x14ac:dyDescent="0.2">
      <c r="A1206" s="117" t="s">
        <v>4075</v>
      </c>
      <c r="B1206" s="118" t="e">
        <f t="shared" si="134"/>
        <v>#VALUE!</v>
      </c>
      <c r="C1206" s="118" t="s">
        <v>612</v>
      </c>
      <c r="D1206" s="113">
        <v>40619</v>
      </c>
      <c r="E1206" s="84">
        <v>40664</v>
      </c>
      <c r="F1206" s="84">
        <f t="shared" si="135"/>
        <v>44317</v>
      </c>
      <c r="G1206" s="254">
        <v>477.66</v>
      </c>
      <c r="H1206" s="71" t="s">
        <v>4065</v>
      </c>
      <c r="I1206" s="71" t="s">
        <v>684</v>
      </c>
      <c r="J1206" s="79"/>
      <c r="K1206" s="55">
        <f t="shared" si="136"/>
        <v>2021</v>
      </c>
      <c r="L1206" s="80"/>
      <c r="M1206" s="80"/>
      <c r="N1206" s="73" t="s">
        <v>4066</v>
      </c>
      <c r="O1206" s="73" t="s">
        <v>4076</v>
      </c>
      <c r="P1206" s="74" t="s">
        <v>4077</v>
      </c>
      <c r="Q1206" s="75"/>
      <c r="R1206" s="230">
        <v>1818</v>
      </c>
      <c r="S1206" s="230">
        <v>15296</v>
      </c>
      <c r="T1206" s="230">
        <v>17114</v>
      </c>
      <c r="U1206" s="231">
        <v>717</v>
      </c>
      <c r="V1206" s="230"/>
      <c r="W1206" s="230"/>
      <c r="X1206" s="231"/>
      <c r="Y1206" s="71"/>
      <c r="Z1206" s="101">
        <v>0.1</v>
      </c>
      <c r="AA1206" s="102">
        <v>0.09</v>
      </c>
      <c r="AB1206" s="77"/>
      <c r="AC1206" s="78"/>
    </row>
    <row r="1207" spans="1:29" ht="53" customHeight="1" x14ac:dyDescent="0.2">
      <c r="A1207" s="117" t="s">
        <v>4078</v>
      </c>
      <c r="B1207" s="118" t="e">
        <f t="shared" si="134"/>
        <v>#VALUE!</v>
      </c>
      <c r="C1207" s="118" t="s">
        <v>612</v>
      </c>
      <c r="D1207" s="113">
        <v>40619</v>
      </c>
      <c r="E1207" s="84">
        <v>40664</v>
      </c>
      <c r="F1207" s="84">
        <f t="shared" si="135"/>
        <v>44317</v>
      </c>
      <c r="G1207" s="254">
        <v>793.21</v>
      </c>
      <c r="H1207" s="71" t="s">
        <v>4065</v>
      </c>
      <c r="I1207" s="71" t="s">
        <v>684</v>
      </c>
      <c r="J1207" s="79"/>
      <c r="K1207" s="55">
        <f t="shared" si="136"/>
        <v>2021</v>
      </c>
      <c r="L1207" s="80"/>
      <c r="M1207" s="80"/>
      <c r="N1207" s="73" t="s">
        <v>4079</v>
      </c>
      <c r="O1207" s="73" t="s">
        <v>4080</v>
      </c>
      <c r="P1207" s="74" t="s">
        <v>4081</v>
      </c>
      <c r="Q1207" s="75"/>
      <c r="R1207" s="230">
        <v>2924</v>
      </c>
      <c r="S1207" s="230">
        <v>15880</v>
      </c>
      <c r="T1207" s="230">
        <v>18804</v>
      </c>
      <c r="U1207" s="231">
        <v>1191</v>
      </c>
      <c r="V1207" s="230"/>
      <c r="W1207" s="230"/>
      <c r="X1207" s="231"/>
      <c r="Y1207" s="71"/>
      <c r="Z1207" s="101">
        <v>0.1</v>
      </c>
      <c r="AA1207" s="102">
        <v>0.09</v>
      </c>
      <c r="AB1207" s="77"/>
      <c r="AC1207" s="78"/>
    </row>
    <row r="1208" spans="1:29" ht="66" customHeight="1" x14ac:dyDescent="0.2">
      <c r="A1208" s="117" t="s">
        <v>4082</v>
      </c>
      <c r="B1208" s="118" t="e">
        <f t="shared" si="134"/>
        <v>#VALUE!</v>
      </c>
      <c r="C1208" s="118" t="s">
        <v>612</v>
      </c>
      <c r="D1208" s="113">
        <v>40619</v>
      </c>
      <c r="E1208" s="84">
        <v>40664</v>
      </c>
      <c r="F1208" s="84">
        <f t="shared" si="135"/>
        <v>44317</v>
      </c>
      <c r="G1208" s="254">
        <v>1071.9100000000001</v>
      </c>
      <c r="H1208" s="71" t="s">
        <v>4065</v>
      </c>
      <c r="I1208" s="71" t="s">
        <v>684</v>
      </c>
      <c r="J1208" s="79"/>
      <c r="K1208" s="55">
        <f t="shared" si="136"/>
        <v>2021</v>
      </c>
      <c r="L1208" s="80"/>
      <c r="M1208" s="80"/>
      <c r="N1208" s="73" t="s">
        <v>4083</v>
      </c>
      <c r="O1208" s="73" t="s">
        <v>4084</v>
      </c>
      <c r="P1208" s="74" t="s">
        <v>4085</v>
      </c>
      <c r="Q1208" s="75"/>
      <c r="R1208" s="230">
        <v>3897</v>
      </c>
      <c r="S1208" s="230"/>
      <c r="T1208" s="230">
        <v>3897</v>
      </c>
      <c r="U1208" s="231">
        <v>1608</v>
      </c>
      <c r="V1208" s="230"/>
      <c r="W1208" s="230"/>
      <c r="X1208" s="231"/>
      <c r="Y1208" s="71"/>
      <c r="Z1208" s="101">
        <v>0.1</v>
      </c>
      <c r="AA1208" s="102">
        <v>0.09</v>
      </c>
      <c r="AB1208" s="77"/>
      <c r="AC1208" s="78"/>
    </row>
    <row r="1209" spans="1:29" ht="53" customHeight="1" x14ac:dyDescent="0.2">
      <c r="A1209" s="117" t="s">
        <v>4086</v>
      </c>
      <c r="B1209" s="118" t="e">
        <f t="shared" si="134"/>
        <v>#VALUE!</v>
      </c>
      <c r="C1209" s="118" t="s">
        <v>612</v>
      </c>
      <c r="D1209" s="113">
        <v>40619</v>
      </c>
      <c r="E1209" s="84">
        <v>40664</v>
      </c>
      <c r="F1209" s="84">
        <f t="shared" si="135"/>
        <v>44317</v>
      </c>
      <c r="G1209" s="254">
        <v>1083.6500000000001</v>
      </c>
      <c r="H1209" s="71" t="s">
        <v>4065</v>
      </c>
      <c r="I1209" s="71" t="s">
        <v>684</v>
      </c>
      <c r="J1209" s="79"/>
      <c r="K1209" s="55">
        <f t="shared" si="136"/>
        <v>2021</v>
      </c>
      <c r="L1209" s="80"/>
      <c r="M1209" s="80"/>
      <c r="N1209" s="73" t="s">
        <v>4083</v>
      </c>
      <c r="O1209" s="73" t="s">
        <v>4087</v>
      </c>
      <c r="P1209" s="74" t="s">
        <v>4088</v>
      </c>
      <c r="Q1209" s="75"/>
      <c r="R1209" s="230">
        <v>3939</v>
      </c>
      <c r="S1209" s="230"/>
      <c r="T1209" s="230">
        <v>3939</v>
      </c>
      <c r="U1209" s="231">
        <v>1626</v>
      </c>
      <c r="V1209" s="230"/>
      <c r="W1209" s="230"/>
      <c r="X1209" s="231"/>
      <c r="Y1209" s="71"/>
      <c r="Z1209" s="101">
        <v>0.1</v>
      </c>
      <c r="AA1209" s="102">
        <v>0.09</v>
      </c>
      <c r="AB1209" s="77"/>
      <c r="AC1209" s="78"/>
    </row>
    <row r="1210" spans="1:29" ht="40" customHeight="1" x14ac:dyDescent="0.2">
      <c r="A1210" s="117" t="s">
        <v>4089</v>
      </c>
      <c r="B1210" s="118" t="e">
        <f t="shared" si="134"/>
        <v>#VALUE!</v>
      </c>
      <c r="C1210" s="118" t="s">
        <v>612</v>
      </c>
      <c r="D1210" s="113">
        <v>40619</v>
      </c>
      <c r="E1210" s="84">
        <v>40664</v>
      </c>
      <c r="F1210" s="84">
        <f t="shared" si="135"/>
        <v>44317</v>
      </c>
      <c r="G1210" s="254">
        <v>179.05</v>
      </c>
      <c r="H1210" s="71" t="s">
        <v>4065</v>
      </c>
      <c r="I1210" s="71" t="s">
        <v>684</v>
      </c>
      <c r="J1210" s="79"/>
      <c r="K1210" s="55">
        <f t="shared" si="136"/>
        <v>2021</v>
      </c>
      <c r="L1210" s="80"/>
      <c r="M1210" s="80"/>
      <c r="N1210" s="73" t="s">
        <v>4083</v>
      </c>
      <c r="O1210" s="73" t="s">
        <v>4090</v>
      </c>
      <c r="P1210" s="74" t="s">
        <v>4091</v>
      </c>
      <c r="Q1210" s="75"/>
      <c r="R1210" s="230">
        <v>775</v>
      </c>
      <c r="S1210" s="230"/>
      <c r="T1210" s="230">
        <v>775</v>
      </c>
      <c r="U1210" s="231">
        <v>270</v>
      </c>
      <c r="V1210" s="230"/>
      <c r="W1210" s="230"/>
      <c r="X1210" s="231"/>
      <c r="Y1210" s="71"/>
      <c r="Z1210" s="101">
        <v>0.1</v>
      </c>
      <c r="AA1210" s="102">
        <v>0.09</v>
      </c>
      <c r="AB1210" s="77"/>
      <c r="AC1210" s="78"/>
    </row>
    <row r="1211" spans="1:29" ht="53" customHeight="1" x14ac:dyDescent="0.2">
      <c r="A1211" s="117" t="s">
        <v>4092</v>
      </c>
      <c r="B1211" s="118" t="e">
        <f t="shared" si="134"/>
        <v>#VALUE!</v>
      </c>
      <c r="C1211" s="118" t="s">
        <v>612</v>
      </c>
      <c r="D1211" s="113">
        <v>40619</v>
      </c>
      <c r="E1211" s="84">
        <v>40664</v>
      </c>
      <c r="F1211" s="84">
        <f t="shared" si="135"/>
        <v>44317</v>
      </c>
      <c r="G1211" s="254">
        <v>655.28</v>
      </c>
      <c r="H1211" s="71" t="s">
        <v>4065</v>
      </c>
      <c r="I1211" s="71" t="s">
        <v>684</v>
      </c>
      <c r="J1211" s="79"/>
      <c r="K1211" s="55">
        <f t="shared" si="136"/>
        <v>2021</v>
      </c>
      <c r="L1211" s="80"/>
      <c r="M1211" s="80"/>
      <c r="N1211" s="73" t="s">
        <v>4083</v>
      </c>
      <c r="O1211" s="73" t="s">
        <v>4093</v>
      </c>
      <c r="P1211" s="74" t="s">
        <v>4094</v>
      </c>
      <c r="Q1211" s="75"/>
      <c r="R1211" s="230">
        <v>2441</v>
      </c>
      <c r="S1211" s="230"/>
      <c r="T1211" s="230">
        <v>2441</v>
      </c>
      <c r="U1211" s="231">
        <v>984</v>
      </c>
      <c r="V1211" s="230"/>
      <c r="W1211" s="230"/>
      <c r="X1211" s="231"/>
      <c r="Y1211" s="71"/>
      <c r="Z1211" s="101">
        <v>0.1</v>
      </c>
      <c r="AA1211" s="102">
        <v>0.09</v>
      </c>
      <c r="AB1211" s="77"/>
      <c r="AC1211" s="78"/>
    </row>
    <row r="1212" spans="1:29" ht="53" customHeight="1" x14ac:dyDescent="0.2">
      <c r="A1212" s="117" t="s">
        <v>4095</v>
      </c>
      <c r="B1212" s="118" t="e">
        <f t="shared" ref="B1212:B1243" si="137">IF(COUNTIF(GIS,A1212),"YES","NO")</f>
        <v>#VALUE!</v>
      </c>
      <c r="C1212" s="118" t="s">
        <v>612</v>
      </c>
      <c r="D1212" s="113">
        <v>40619</v>
      </c>
      <c r="E1212" s="84">
        <v>40664</v>
      </c>
      <c r="F1212" s="84">
        <f t="shared" ref="F1212:F1243" si="138">DATE(YEAR(E1212)+10,MONTH(E1212),DAY(E1212))</f>
        <v>44317</v>
      </c>
      <c r="G1212" s="254">
        <v>976.88</v>
      </c>
      <c r="H1212" s="71" t="s">
        <v>4096</v>
      </c>
      <c r="I1212" s="71" t="s">
        <v>684</v>
      </c>
      <c r="J1212" s="79"/>
      <c r="K1212" s="55">
        <f t="shared" ref="K1212:K1243" si="139">YEAR(F1212)</f>
        <v>2021</v>
      </c>
      <c r="L1212" s="80"/>
      <c r="M1212" s="80"/>
      <c r="N1212" s="73" t="s">
        <v>4097</v>
      </c>
      <c r="O1212" s="73" t="s">
        <v>4098</v>
      </c>
      <c r="P1212" s="74" t="s">
        <v>4099</v>
      </c>
      <c r="Q1212" s="75"/>
      <c r="R1212" s="230">
        <v>3564.5</v>
      </c>
      <c r="S1212" s="230"/>
      <c r="T1212" s="230">
        <v>3564.5</v>
      </c>
      <c r="U1212" s="231">
        <v>1465.5</v>
      </c>
      <c r="V1212" s="230"/>
      <c r="W1212" s="230"/>
      <c r="X1212" s="231"/>
      <c r="Y1212" s="71"/>
      <c r="Z1212" s="101">
        <v>0.1</v>
      </c>
      <c r="AA1212" s="102">
        <v>0.09</v>
      </c>
      <c r="AB1212" s="77"/>
      <c r="AC1212" s="78"/>
    </row>
    <row r="1213" spans="1:29" ht="53" customHeight="1" x14ac:dyDescent="0.2">
      <c r="A1213" s="117" t="s">
        <v>4100</v>
      </c>
      <c r="B1213" s="118" t="e">
        <f t="shared" si="137"/>
        <v>#VALUE!</v>
      </c>
      <c r="C1213" s="118" t="s">
        <v>612</v>
      </c>
      <c r="D1213" s="113">
        <v>40619</v>
      </c>
      <c r="E1213" s="84">
        <v>40664</v>
      </c>
      <c r="F1213" s="84">
        <f t="shared" si="138"/>
        <v>44317</v>
      </c>
      <c r="G1213" s="254">
        <v>761.76</v>
      </c>
      <c r="H1213" s="71" t="s">
        <v>4096</v>
      </c>
      <c r="I1213" s="71" t="s">
        <v>684</v>
      </c>
      <c r="J1213" s="79"/>
      <c r="K1213" s="55">
        <f t="shared" si="139"/>
        <v>2021</v>
      </c>
      <c r="L1213" s="80"/>
      <c r="M1213" s="80"/>
      <c r="N1213" s="73" t="s">
        <v>4097</v>
      </c>
      <c r="O1213" s="73" t="s">
        <v>4101</v>
      </c>
      <c r="P1213" s="74" t="s">
        <v>4102</v>
      </c>
      <c r="Q1213" s="75"/>
      <c r="R1213" s="230">
        <v>2812</v>
      </c>
      <c r="S1213" s="230"/>
      <c r="T1213" s="230">
        <v>2812</v>
      </c>
      <c r="U1213" s="231">
        <v>1143</v>
      </c>
      <c r="V1213" s="230"/>
      <c r="W1213" s="230"/>
      <c r="X1213" s="231"/>
      <c r="Y1213" s="71"/>
      <c r="Z1213" s="101">
        <v>0.1</v>
      </c>
      <c r="AA1213" s="102">
        <v>0.09</v>
      </c>
      <c r="AB1213" s="77"/>
      <c r="AC1213" s="78"/>
    </row>
    <row r="1214" spans="1:29" ht="40" customHeight="1" x14ac:dyDescent="0.2">
      <c r="A1214" s="117" t="s">
        <v>4103</v>
      </c>
      <c r="B1214" s="118" t="e">
        <f t="shared" si="137"/>
        <v>#VALUE!</v>
      </c>
      <c r="C1214" s="118" t="s">
        <v>612</v>
      </c>
      <c r="D1214" s="113">
        <v>40619</v>
      </c>
      <c r="E1214" s="84">
        <v>40664</v>
      </c>
      <c r="F1214" s="84">
        <f t="shared" si="138"/>
        <v>44317</v>
      </c>
      <c r="G1214" s="254">
        <v>1079.17</v>
      </c>
      <c r="H1214" s="71" t="s">
        <v>4096</v>
      </c>
      <c r="I1214" s="71" t="s">
        <v>684</v>
      </c>
      <c r="J1214" s="79"/>
      <c r="K1214" s="55">
        <f t="shared" si="139"/>
        <v>2021</v>
      </c>
      <c r="L1214" s="80"/>
      <c r="M1214" s="80"/>
      <c r="N1214" s="73" t="s">
        <v>4097</v>
      </c>
      <c r="O1214" s="73" t="s">
        <v>4104</v>
      </c>
      <c r="P1214" s="74" t="s">
        <v>4102</v>
      </c>
      <c r="Q1214" s="75"/>
      <c r="R1214" s="230">
        <v>3925</v>
      </c>
      <c r="S1214" s="230"/>
      <c r="T1214" s="230">
        <v>3925</v>
      </c>
      <c r="U1214" s="231">
        <v>1620</v>
      </c>
      <c r="V1214" s="230"/>
      <c r="W1214" s="230"/>
      <c r="X1214" s="231"/>
      <c r="Y1214" s="71"/>
      <c r="Z1214" s="101">
        <v>0.1</v>
      </c>
      <c r="AA1214" s="102">
        <v>0.09</v>
      </c>
      <c r="AB1214" s="77"/>
      <c r="AC1214" s="78"/>
    </row>
    <row r="1215" spans="1:29" ht="40" customHeight="1" x14ac:dyDescent="0.2">
      <c r="A1215" s="117" t="s">
        <v>4105</v>
      </c>
      <c r="B1215" s="118" t="e">
        <f t="shared" si="137"/>
        <v>#VALUE!</v>
      </c>
      <c r="C1215" s="118" t="s">
        <v>612</v>
      </c>
      <c r="D1215" s="113">
        <v>40619</v>
      </c>
      <c r="E1215" s="84">
        <v>40664</v>
      </c>
      <c r="F1215" s="84">
        <f t="shared" si="138"/>
        <v>44317</v>
      </c>
      <c r="G1215" s="254">
        <v>19.829999999999998</v>
      </c>
      <c r="H1215" s="71" t="s">
        <v>4096</v>
      </c>
      <c r="I1215" s="71" t="s">
        <v>684</v>
      </c>
      <c r="J1215" s="79"/>
      <c r="K1215" s="55">
        <f t="shared" si="139"/>
        <v>2021</v>
      </c>
      <c r="L1215" s="80"/>
      <c r="M1215" s="80"/>
      <c r="N1215" s="73" t="s">
        <v>4097</v>
      </c>
      <c r="O1215" s="73" t="s">
        <v>4106</v>
      </c>
      <c r="P1215" s="74" t="s">
        <v>4102</v>
      </c>
      <c r="Q1215" s="75"/>
      <c r="R1215" s="230">
        <v>215</v>
      </c>
      <c r="S1215" s="230"/>
      <c r="T1215" s="230">
        <v>215</v>
      </c>
      <c r="U1215" s="231">
        <v>30</v>
      </c>
      <c r="V1215" s="230"/>
      <c r="W1215" s="230"/>
      <c r="X1215" s="231"/>
      <c r="Y1215" s="71"/>
      <c r="Z1215" s="101">
        <v>0.1</v>
      </c>
      <c r="AA1215" s="102">
        <v>0.09</v>
      </c>
      <c r="AB1215" s="77"/>
      <c r="AC1215" s="78"/>
    </row>
    <row r="1216" spans="1:29" ht="66" customHeight="1" x14ac:dyDescent="0.2">
      <c r="A1216" s="117" t="s">
        <v>4107</v>
      </c>
      <c r="B1216" s="118" t="e">
        <f t="shared" si="137"/>
        <v>#VALUE!</v>
      </c>
      <c r="C1216" s="118" t="s">
        <v>612</v>
      </c>
      <c r="D1216" s="113">
        <v>40619</v>
      </c>
      <c r="E1216" s="84">
        <v>40664</v>
      </c>
      <c r="F1216" s="84">
        <f t="shared" si="138"/>
        <v>44317</v>
      </c>
      <c r="G1216" s="254">
        <v>1283.5899999999999</v>
      </c>
      <c r="H1216" s="71" t="s">
        <v>4096</v>
      </c>
      <c r="I1216" s="71" t="s">
        <v>684</v>
      </c>
      <c r="J1216" s="79"/>
      <c r="K1216" s="55">
        <f t="shared" si="139"/>
        <v>2021</v>
      </c>
      <c r="L1216" s="80"/>
      <c r="M1216" s="80"/>
      <c r="N1216" s="73" t="s">
        <v>4097</v>
      </c>
      <c r="O1216" s="73" t="s">
        <v>4108</v>
      </c>
      <c r="P1216" s="74" t="s">
        <v>4109</v>
      </c>
      <c r="Q1216" s="75"/>
      <c r="R1216" s="230">
        <v>4639</v>
      </c>
      <c r="S1216" s="230"/>
      <c r="T1216" s="230">
        <v>4639</v>
      </c>
      <c r="U1216" s="231">
        <v>1926</v>
      </c>
      <c r="V1216" s="230"/>
      <c r="W1216" s="230"/>
      <c r="X1216" s="231"/>
      <c r="Y1216" s="71"/>
      <c r="Z1216" s="101">
        <v>0.1</v>
      </c>
      <c r="AA1216" s="102">
        <v>0.09</v>
      </c>
      <c r="AB1216" s="77"/>
      <c r="AC1216" s="78"/>
    </row>
    <row r="1217" spans="1:29" ht="53" customHeight="1" x14ac:dyDescent="0.2">
      <c r="A1217" s="117" t="s">
        <v>4110</v>
      </c>
      <c r="B1217" s="118" t="e">
        <f t="shared" si="137"/>
        <v>#VALUE!</v>
      </c>
      <c r="C1217" s="118" t="s">
        <v>612</v>
      </c>
      <c r="D1217" s="113">
        <v>40619</v>
      </c>
      <c r="E1217" s="84">
        <v>40664</v>
      </c>
      <c r="F1217" s="84">
        <f t="shared" si="138"/>
        <v>44317</v>
      </c>
      <c r="G1217" s="254">
        <v>848.11</v>
      </c>
      <c r="H1217" s="71" t="s">
        <v>4096</v>
      </c>
      <c r="I1217" s="71" t="s">
        <v>684</v>
      </c>
      <c r="J1217" s="79"/>
      <c r="K1217" s="55">
        <f t="shared" si="139"/>
        <v>2021</v>
      </c>
      <c r="L1217" s="80"/>
      <c r="M1217" s="80"/>
      <c r="N1217" s="73" t="s">
        <v>4097</v>
      </c>
      <c r="O1217" s="73" t="s">
        <v>4111</v>
      </c>
      <c r="P1217" s="74" t="s">
        <v>4112</v>
      </c>
      <c r="Q1217" s="75"/>
      <c r="R1217" s="230">
        <v>3116.5</v>
      </c>
      <c r="S1217" s="230"/>
      <c r="T1217" s="230">
        <v>3116.5</v>
      </c>
      <c r="U1217" s="231">
        <v>1273.5</v>
      </c>
      <c r="V1217" s="230"/>
      <c r="W1217" s="230"/>
      <c r="X1217" s="231"/>
      <c r="Y1217" s="71"/>
      <c r="Z1217" s="101">
        <v>0.1</v>
      </c>
      <c r="AA1217" s="102">
        <v>0.09</v>
      </c>
      <c r="AB1217" s="77"/>
      <c r="AC1217" s="78"/>
    </row>
    <row r="1218" spans="1:29" ht="53" customHeight="1" x14ac:dyDescent="0.2">
      <c r="A1218" s="117" t="s">
        <v>4113</v>
      </c>
      <c r="B1218" s="118" t="e">
        <f t="shared" si="137"/>
        <v>#VALUE!</v>
      </c>
      <c r="C1218" s="118" t="s">
        <v>612</v>
      </c>
      <c r="D1218" s="113">
        <v>40619</v>
      </c>
      <c r="E1218" s="84">
        <v>40664</v>
      </c>
      <c r="F1218" s="84">
        <f t="shared" si="138"/>
        <v>44317</v>
      </c>
      <c r="G1218" s="254">
        <v>802.2</v>
      </c>
      <c r="H1218" s="71" t="s">
        <v>4096</v>
      </c>
      <c r="I1218" s="71" t="s">
        <v>684</v>
      </c>
      <c r="J1218" s="79"/>
      <c r="K1218" s="55">
        <f t="shared" si="139"/>
        <v>2021</v>
      </c>
      <c r="L1218" s="80"/>
      <c r="M1218" s="80"/>
      <c r="N1218" s="73" t="s">
        <v>4097</v>
      </c>
      <c r="O1218" s="73" t="s">
        <v>4114</v>
      </c>
      <c r="P1218" s="74" t="s">
        <v>4115</v>
      </c>
      <c r="Q1218" s="75"/>
      <c r="R1218" s="230">
        <v>2955.5</v>
      </c>
      <c r="S1218" s="230"/>
      <c r="T1218" s="230">
        <v>2955.5</v>
      </c>
      <c r="U1218" s="231">
        <v>1204.5</v>
      </c>
      <c r="V1218" s="230"/>
      <c r="W1218" s="230"/>
      <c r="X1218" s="231"/>
      <c r="Y1218" s="71"/>
      <c r="Z1218" s="101">
        <v>0.1</v>
      </c>
      <c r="AA1218" s="102">
        <v>0.09</v>
      </c>
      <c r="AB1218" s="77"/>
      <c r="AC1218" s="78"/>
    </row>
    <row r="1219" spans="1:29" ht="40" customHeight="1" x14ac:dyDescent="0.2">
      <c r="A1219" s="117" t="s">
        <v>4116</v>
      </c>
      <c r="B1219" s="118" t="e">
        <f t="shared" si="137"/>
        <v>#VALUE!</v>
      </c>
      <c r="C1219" s="118" t="s">
        <v>612</v>
      </c>
      <c r="D1219" s="113">
        <v>40619</v>
      </c>
      <c r="E1219" s="84">
        <v>40664</v>
      </c>
      <c r="F1219" s="84">
        <f t="shared" si="138"/>
        <v>44317</v>
      </c>
      <c r="G1219" s="254">
        <v>1239.46</v>
      </c>
      <c r="H1219" s="71" t="s">
        <v>4096</v>
      </c>
      <c r="I1219" s="71" t="s">
        <v>684</v>
      </c>
      <c r="J1219" s="79"/>
      <c r="K1219" s="55">
        <f t="shared" si="139"/>
        <v>2021</v>
      </c>
      <c r="L1219" s="80"/>
      <c r="M1219" s="80"/>
      <c r="N1219" s="73" t="s">
        <v>4097</v>
      </c>
      <c r="O1219" s="73" t="s">
        <v>4117</v>
      </c>
      <c r="P1219" s="74" t="s">
        <v>4102</v>
      </c>
      <c r="Q1219" s="75"/>
      <c r="R1219" s="230">
        <v>4485</v>
      </c>
      <c r="S1219" s="230"/>
      <c r="T1219" s="230">
        <v>4485</v>
      </c>
      <c r="U1219" s="231">
        <v>1860</v>
      </c>
      <c r="V1219" s="230"/>
      <c r="W1219" s="230"/>
      <c r="X1219" s="231"/>
      <c r="Y1219" s="71"/>
      <c r="Z1219" s="101">
        <v>0.1</v>
      </c>
      <c r="AA1219" s="102">
        <v>0.09</v>
      </c>
      <c r="AB1219" s="77"/>
      <c r="AC1219" s="78"/>
    </row>
    <row r="1220" spans="1:29" ht="66" customHeight="1" x14ac:dyDescent="0.2">
      <c r="A1220" s="117" t="s">
        <v>4118</v>
      </c>
      <c r="B1220" s="118" t="e">
        <f t="shared" si="137"/>
        <v>#VALUE!</v>
      </c>
      <c r="C1220" s="118" t="s">
        <v>612</v>
      </c>
      <c r="D1220" s="113">
        <v>40619</v>
      </c>
      <c r="E1220" s="84">
        <v>40664</v>
      </c>
      <c r="F1220" s="84">
        <f t="shared" si="138"/>
        <v>44317</v>
      </c>
      <c r="G1220" s="254">
        <v>1453.53</v>
      </c>
      <c r="H1220" s="71" t="s">
        <v>4096</v>
      </c>
      <c r="I1220" s="71" t="s">
        <v>684</v>
      </c>
      <c r="J1220" s="79"/>
      <c r="K1220" s="55">
        <f t="shared" si="139"/>
        <v>2021</v>
      </c>
      <c r="L1220" s="80"/>
      <c r="M1220" s="80"/>
      <c r="N1220" s="73" t="s">
        <v>4097</v>
      </c>
      <c r="O1220" s="73" t="s">
        <v>4119</v>
      </c>
      <c r="P1220" s="74" t="s">
        <v>4120</v>
      </c>
      <c r="Q1220" s="75"/>
      <c r="R1220" s="230">
        <v>5234</v>
      </c>
      <c r="S1220" s="230"/>
      <c r="T1220" s="230">
        <v>5234</v>
      </c>
      <c r="U1220" s="231">
        <v>2181</v>
      </c>
      <c r="V1220" s="230"/>
      <c r="W1220" s="230"/>
      <c r="X1220" s="231"/>
      <c r="Y1220" s="71"/>
      <c r="Z1220" s="101">
        <v>0.1</v>
      </c>
      <c r="AA1220" s="102">
        <v>0.09</v>
      </c>
      <c r="AB1220" s="77"/>
      <c r="AC1220" s="78"/>
    </row>
    <row r="1221" spans="1:29" ht="40" customHeight="1" x14ac:dyDescent="0.2">
      <c r="A1221" s="117" t="s">
        <v>4121</v>
      </c>
      <c r="B1221" s="118" t="e">
        <f t="shared" si="137"/>
        <v>#VALUE!</v>
      </c>
      <c r="C1221" s="118" t="s">
        <v>612</v>
      </c>
      <c r="D1221" s="113">
        <v>40619</v>
      </c>
      <c r="E1221" s="84">
        <v>40664</v>
      </c>
      <c r="F1221" s="84">
        <f t="shared" si="138"/>
        <v>44317</v>
      </c>
      <c r="G1221" s="254">
        <v>1107.43</v>
      </c>
      <c r="H1221" s="71" t="s">
        <v>4096</v>
      </c>
      <c r="I1221" s="71" t="s">
        <v>684</v>
      </c>
      <c r="J1221" s="79"/>
      <c r="K1221" s="55">
        <f t="shared" si="139"/>
        <v>2021</v>
      </c>
      <c r="L1221" s="80"/>
      <c r="M1221" s="80"/>
      <c r="N1221" s="73" t="s">
        <v>4122</v>
      </c>
      <c r="O1221" s="73" t="s">
        <v>4123</v>
      </c>
      <c r="P1221" s="74" t="s">
        <v>4102</v>
      </c>
      <c r="Q1221" s="75"/>
      <c r="R1221" s="230">
        <v>4023</v>
      </c>
      <c r="S1221" s="230"/>
      <c r="T1221" s="230">
        <v>4023</v>
      </c>
      <c r="U1221" s="231">
        <v>1662</v>
      </c>
      <c r="V1221" s="230"/>
      <c r="W1221" s="230"/>
      <c r="X1221" s="231"/>
      <c r="Y1221" s="71"/>
      <c r="Z1221" s="101">
        <v>0.1</v>
      </c>
      <c r="AA1221" s="102">
        <v>0.09</v>
      </c>
      <c r="AB1221" s="77"/>
      <c r="AC1221" s="78"/>
    </row>
    <row r="1222" spans="1:29" ht="53" customHeight="1" x14ac:dyDescent="0.2">
      <c r="A1222" s="117" t="s">
        <v>4124</v>
      </c>
      <c r="B1222" s="118" t="e">
        <f t="shared" si="137"/>
        <v>#VALUE!</v>
      </c>
      <c r="C1222" s="118" t="s">
        <v>612</v>
      </c>
      <c r="D1222" s="113">
        <v>40619</v>
      </c>
      <c r="E1222" s="84">
        <v>40664</v>
      </c>
      <c r="F1222" s="84">
        <f t="shared" si="138"/>
        <v>44317</v>
      </c>
      <c r="G1222" s="254">
        <v>323.39</v>
      </c>
      <c r="H1222" s="71" t="s">
        <v>4096</v>
      </c>
      <c r="I1222" s="71" t="s">
        <v>684</v>
      </c>
      <c r="J1222" s="79"/>
      <c r="K1222" s="55">
        <f t="shared" si="139"/>
        <v>2021</v>
      </c>
      <c r="L1222" s="80"/>
      <c r="M1222" s="80"/>
      <c r="N1222" s="73" t="s">
        <v>4125</v>
      </c>
      <c r="O1222" s="73" t="s">
        <v>4126</v>
      </c>
      <c r="P1222" s="74" t="s">
        <v>4127</v>
      </c>
      <c r="Q1222" s="75"/>
      <c r="R1222" s="230">
        <v>1279</v>
      </c>
      <c r="S1222" s="230"/>
      <c r="T1222" s="230">
        <v>1279</v>
      </c>
      <c r="U1222" s="231">
        <v>486</v>
      </c>
      <c r="V1222" s="230"/>
      <c r="W1222" s="230"/>
      <c r="X1222" s="231"/>
      <c r="Y1222" s="71"/>
      <c r="Z1222" s="101">
        <v>0.1</v>
      </c>
      <c r="AA1222" s="102">
        <v>0.09</v>
      </c>
      <c r="AB1222" s="77"/>
      <c r="AC1222" s="78"/>
    </row>
    <row r="1223" spans="1:29" ht="79" customHeight="1" x14ac:dyDescent="0.2">
      <c r="A1223" s="117" t="s">
        <v>4128</v>
      </c>
      <c r="B1223" s="118" t="e">
        <f t="shared" si="137"/>
        <v>#VALUE!</v>
      </c>
      <c r="C1223" s="118" t="s">
        <v>612</v>
      </c>
      <c r="D1223" s="113">
        <v>40619</v>
      </c>
      <c r="E1223" s="84">
        <v>40664</v>
      </c>
      <c r="F1223" s="84">
        <f t="shared" si="138"/>
        <v>44317</v>
      </c>
      <c r="G1223" s="254">
        <v>1219.1199999999999</v>
      </c>
      <c r="H1223" s="71" t="s">
        <v>4096</v>
      </c>
      <c r="I1223" s="71" t="s">
        <v>684</v>
      </c>
      <c r="J1223" s="79"/>
      <c r="K1223" s="55">
        <f t="shared" si="139"/>
        <v>2021</v>
      </c>
      <c r="L1223" s="80"/>
      <c r="M1223" s="80"/>
      <c r="N1223" s="73" t="s">
        <v>4125</v>
      </c>
      <c r="O1223" s="73" t="s">
        <v>4129</v>
      </c>
      <c r="P1223" s="74" t="s">
        <v>4130</v>
      </c>
      <c r="Q1223" s="75"/>
      <c r="R1223" s="230">
        <v>4415</v>
      </c>
      <c r="S1223" s="230"/>
      <c r="T1223" s="230">
        <v>4415</v>
      </c>
      <c r="U1223" s="231">
        <v>1830</v>
      </c>
      <c r="V1223" s="230"/>
      <c r="W1223" s="230"/>
      <c r="X1223" s="231"/>
      <c r="Y1223" s="71"/>
      <c r="Z1223" s="101">
        <v>0.1</v>
      </c>
      <c r="AA1223" s="102">
        <v>0.09</v>
      </c>
      <c r="AB1223" s="77"/>
      <c r="AC1223" s="78"/>
    </row>
    <row r="1224" spans="1:29" ht="53" customHeight="1" x14ac:dyDescent="0.2">
      <c r="A1224" s="117" t="s">
        <v>4131</v>
      </c>
      <c r="B1224" s="118" t="e">
        <f t="shared" si="137"/>
        <v>#VALUE!</v>
      </c>
      <c r="C1224" s="118" t="s">
        <v>612</v>
      </c>
      <c r="D1224" s="113">
        <v>40619</v>
      </c>
      <c r="E1224" s="84">
        <v>40664</v>
      </c>
      <c r="F1224" s="84">
        <f t="shared" si="138"/>
        <v>44317</v>
      </c>
      <c r="G1224" s="254">
        <v>80</v>
      </c>
      <c r="H1224" s="71" t="s">
        <v>4096</v>
      </c>
      <c r="I1224" s="71" t="s">
        <v>684</v>
      </c>
      <c r="J1224" s="79"/>
      <c r="K1224" s="55">
        <f t="shared" si="139"/>
        <v>2021</v>
      </c>
      <c r="L1224" s="80"/>
      <c r="M1224" s="80"/>
      <c r="N1224" s="73" t="s">
        <v>4125</v>
      </c>
      <c r="O1224" s="73" t="s">
        <v>4132</v>
      </c>
      <c r="P1224" s="74" t="s">
        <v>4133</v>
      </c>
      <c r="Q1224" s="75"/>
      <c r="R1224" s="230">
        <v>425</v>
      </c>
      <c r="S1224" s="230"/>
      <c r="T1224" s="230">
        <v>425</v>
      </c>
      <c r="U1224" s="231">
        <v>120</v>
      </c>
      <c r="V1224" s="230"/>
      <c r="W1224" s="230"/>
      <c r="X1224" s="231"/>
      <c r="Y1224" s="71"/>
      <c r="Z1224" s="101">
        <v>0.1</v>
      </c>
      <c r="AA1224" s="102">
        <v>0.09</v>
      </c>
      <c r="AB1224" s="77"/>
      <c r="AC1224" s="78"/>
    </row>
    <row r="1225" spans="1:29" ht="27" customHeight="1" x14ac:dyDescent="0.2">
      <c r="A1225" s="117" t="s">
        <v>4134</v>
      </c>
      <c r="B1225" s="118" t="e">
        <f t="shared" si="137"/>
        <v>#VALUE!</v>
      </c>
      <c r="C1225" s="118" t="s">
        <v>612</v>
      </c>
      <c r="D1225" s="113">
        <v>40619</v>
      </c>
      <c r="E1225" s="84">
        <v>40664</v>
      </c>
      <c r="F1225" s="84">
        <f t="shared" si="138"/>
        <v>44317</v>
      </c>
      <c r="G1225" s="254">
        <v>299.45</v>
      </c>
      <c r="H1225" s="71" t="s">
        <v>4096</v>
      </c>
      <c r="I1225" s="71" t="s">
        <v>684</v>
      </c>
      <c r="J1225" s="79"/>
      <c r="K1225" s="55">
        <f t="shared" si="139"/>
        <v>2021</v>
      </c>
      <c r="L1225" s="80"/>
      <c r="M1225" s="80"/>
      <c r="N1225" s="73" t="s">
        <v>4125</v>
      </c>
      <c r="O1225" s="73" t="s">
        <v>4135</v>
      </c>
      <c r="P1225" s="74" t="s">
        <v>4136</v>
      </c>
      <c r="Q1225" s="75"/>
      <c r="R1225" s="230">
        <v>1195</v>
      </c>
      <c r="S1225" s="230"/>
      <c r="T1225" s="230">
        <v>1195</v>
      </c>
      <c r="U1225" s="231">
        <v>450</v>
      </c>
      <c r="V1225" s="230"/>
      <c r="W1225" s="230"/>
      <c r="X1225" s="231"/>
      <c r="Y1225" s="71"/>
      <c r="Z1225" s="101">
        <v>0.1</v>
      </c>
      <c r="AA1225" s="102">
        <v>0.09</v>
      </c>
      <c r="AB1225" s="77"/>
      <c r="AC1225" s="78"/>
    </row>
    <row r="1226" spans="1:29" x14ac:dyDescent="0.2">
      <c r="A1226" s="117" t="s">
        <v>4137</v>
      </c>
      <c r="B1226" s="118" t="e">
        <f t="shared" si="137"/>
        <v>#VALUE!</v>
      </c>
      <c r="C1226" s="118" t="s">
        <v>612</v>
      </c>
      <c r="D1226" s="113">
        <v>40619</v>
      </c>
      <c r="E1226" s="84">
        <v>40664</v>
      </c>
      <c r="F1226" s="84">
        <f t="shared" si="138"/>
        <v>44317</v>
      </c>
      <c r="G1226" s="254">
        <v>79.14</v>
      </c>
      <c r="H1226" s="71" t="s">
        <v>4096</v>
      </c>
      <c r="I1226" s="71" t="s">
        <v>684</v>
      </c>
      <c r="J1226" s="79"/>
      <c r="K1226" s="55">
        <f t="shared" si="139"/>
        <v>2021</v>
      </c>
      <c r="L1226" s="80"/>
      <c r="M1226" s="80"/>
      <c r="N1226" s="73" t="s">
        <v>4125</v>
      </c>
      <c r="O1226" s="73" t="s">
        <v>4138</v>
      </c>
      <c r="P1226" s="74" t="s">
        <v>4139</v>
      </c>
      <c r="Q1226" s="75"/>
      <c r="R1226" s="230">
        <v>425</v>
      </c>
      <c r="S1226" s="230"/>
      <c r="T1226" s="230">
        <v>425</v>
      </c>
      <c r="U1226" s="231">
        <v>120</v>
      </c>
      <c r="V1226" s="230"/>
      <c r="W1226" s="230"/>
      <c r="X1226" s="231"/>
      <c r="Y1226" s="71"/>
      <c r="Z1226" s="101">
        <v>0.1</v>
      </c>
      <c r="AA1226" s="102">
        <v>0.09</v>
      </c>
      <c r="AB1226" s="77"/>
      <c r="AC1226" s="78"/>
    </row>
    <row r="1227" spans="1:29" ht="53" customHeight="1" x14ac:dyDescent="0.2">
      <c r="A1227" s="117" t="s">
        <v>4140</v>
      </c>
      <c r="B1227" s="118" t="e">
        <f t="shared" si="137"/>
        <v>#VALUE!</v>
      </c>
      <c r="C1227" s="118" t="s">
        <v>612</v>
      </c>
      <c r="D1227" s="113">
        <v>40619</v>
      </c>
      <c r="E1227" s="84">
        <v>40664</v>
      </c>
      <c r="F1227" s="84">
        <f t="shared" si="138"/>
        <v>44317</v>
      </c>
      <c r="G1227" s="254">
        <v>77.25</v>
      </c>
      <c r="H1227" s="71" t="s">
        <v>4096</v>
      </c>
      <c r="I1227" s="71" t="s">
        <v>684</v>
      </c>
      <c r="J1227" s="79"/>
      <c r="K1227" s="55">
        <f t="shared" si="139"/>
        <v>2021</v>
      </c>
      <c r="L1227" s="80"/>
      <c r="M1227" s="80"/>
      <c r="N1227" s="73" t="s">
        <v>4141</v>
      </c>
      <c r="O1227" s="73" t="s">
        <v>4142</v>
      </c>
      <c r="P1227" s="74" t="s">
        <v>4143</v>
      </c>
      <c r="Q1227" s="75"/>
      <c r="R1227" s="230">
        <v>418</v>
      </c>
      <c r="S1227" s="230"/>
      <c r="T1227" s="230">
        <v>418</v>
      </c>
      <c r="U1227" s="231">
        <v>117</v>
      </c>
      <c r="V1227" s="230"/>
      <c r="W1227" s="230"/>
      <c r="X1227" s="231"/>
      <c r="Y1227" s="71"/>
      <c r="Z1227" s="101">
        <v>0.1</v>
      </c>
      <c r="AA1227" s="102">
        <v>0.09</v>
      </c>
      <c r="AB1227" s="77"/>
      <c r="AC1227" s="78"/>
    </row>
    <row r="1228" spans="1:29" ht="79" customHeight="1" x14ac:dyDescent="0.2">
      <c r="A1228" s="117" t="s">
        <v>4144</v>
      </c>
      <c r="B1228" s="118" t="e">
        <f t="shared" si="137"/>
        <v>#VALUE!</v>
      </c>
      <c r="C1228" s="118" t="s">
        <v>612</v>
      </c>
      <c r="D1228" s="113">
        <v>40619</v>
      </c>
      <c r="E1228" s="84">
        <v>40664</v>
      </c>
      <c r="F1228" s="84">
        <f t="shared" si="138"/>
        <v>44317</v>
      </c>
      <c r="G1228" s="254">
        <v>513.38</v>
      </c>
      <c r="H1228" s="71" t="s">
        <v>4145</v>
      </c>
      <c r="I1228" s="71" t="s">
        <v>684</v>
      </c>
      <c r="J1228" s="79"/>
      <c r="K1228" s="55">
        <f t="shared" si="139"/>
        <v>2021</v>
      </c>
      <c r="L1228" s="80"/>
      <c r="M1228" s="80"/>
      <c r="N1228" s="73" t="s">
        <v>4141</v>
      </c>
      <c r="O1228" s="73" t="s">
        <v>4146</v>
      </c>
      <c r="P1228" s="74" t="s">
        <v>4147</v>
      </c>
      <c r="Q1228" s="75"/>
      <c r="R1228" s="230">
        <v>1944</v>
      </c>
      <c r="S1228" s="230"/>
      <c r="T1228" s="230">
        <v>1944</v>
      </c>
      <c r="U1228" s="231">
        <v>771</v>
      </c>
      <c r="V1228" s="230"/>
      <c r="W1228" s="230"/>
      <c r="X1228" s="231"/>
      <c r="Y1228" s="71"/>
      <c r="Z1228" s="101">
        <v>0.1</v>
      </c>
      <c r="AA1228" s="102">
        <v>0.09</v>
      </c>
      <c r="AB1228" s="77"/>
      <c r="AC1228" s="78"/>
    </row>
    <row r="1229" spans="1:29" ht="53" customHeight="1" x14ac:dyDescent="0.2">
      <c r="A1229" s="117" t="s">
        <v>4148</v>
      </c>
      <c r="B1229" s="118" t="e">
        <f t="shared" si="137"/>
        <v>#VALUE!</v>
      </c>
      <c r="C1229" s="118" t="s">
        <v>612</v>
      </c>
      <c r="D1229" s="113">
        <v>40619</v>
      </c>
      <c r="E1229" s="84">
        <v>40664</v>
      </c>
      <c r="F1229" s="84">
        <f t="shared" si="138"/>
        <v>44317</v>
      </c>
      <c r="G1229" s="254">
        <v>301.67</v>
      </c>
      <c r="H1229" s="71" t="s">
        <v>4096</v>
      </c>
      <c r="I1229" s="71" t="s">
        <v>684</v>
      </c>
      <c r="J1229" s="79"/>
      <c r="K1229" s="55">
        <f t="shared" si="139"/>
        <v>2021</v>
      </c>
      <c r="L1229" s="80"/>
      <c r="M1229" s="80"/>
      <c r="N1229" s="73" t="s">
        <v>4141</v>
      </c>
      <c r="O1229" s="73" t="s">
        <v>4149</v>
      </c>
      <c r="P1229" s="74" t="s">
        <v>4150</v>
      </c>
      <c r="Q1229" s="75"/>
      <c r="R1229" s="230">
        <v>1202</v>
      </c>
      <c r="S1229" s="230"/>
      <c r="T1229" s="230">
        <v>1202</v>
      </c>
      <c r="U1229" s="231">
        <v>453</v>
      </c>
      <c r="V1229" s="230"/>
      <c r="W1229" s="230"/>
      <c r="X1229" s="231"/>
      <c r="Y1229" s="71"/>
      <c r="Z1229" s="101">
        <v>0.1</v>
      </c>
      <c r="AA1229" s="102">
        <v>0.09</v>
      </c>
      <c r="AB1229" s="77"/>
      <c r="AC1229" s="78"/>
    </row>
    <row r="1230" spans="1:29" ht="40" customHeight="1" x14ac:dyDescent="0.2">
      <c r="A1230" s="117" t="s">
        <v>4151</v>
      </c>
      <c r="B1230" s="118" t="e">
        <f t="shared" si="137"/>
        <v>#VALUE!</v>
      </c>
      <c r="C1230" s="118" t="s">
        <v>612</v>
      </c>
      <c r="D1230" s="113">
        <v>40619</v>
      </c>
      <c r="E1230" s="84">
        <v>40664</v>
      </c>
      <c r="F1230" s="84">
        <f t="shared" si="138"/>
        <v>44317</v>
      </c>
      <c r="G1230" s="254">
        <v>37.56</v>
      </c>
      <c r="H1230" s="71" t="s">
        <v>4096</v>
      </c>
      <c r="I1230" s="71" t="s">
        <v>684</v>
      </c>
      <c r="J1230" s="79"/>
      <c r="K1230" s="55">
        <f t="shared" si="139"/>
        <v>2021</v>
      </c>
      <c r="L1230" s="80"/>
      <c r="M1230" s="80"/>
      <c r="N1230" s="73" t="s">
        <v>4141</v>
      </c>
      <c r="O1230" s="73" t="s">
        <v>4152</v>
      </c>
      <c r="P1230" s="74" t="s">
        <v>4153</v>
      </c>
      <c r="Q1230" s="75"/>
      <c r="R1230" s="230">
        <v>278</v>
      </c>
      <c r="S1230" s="230"/>
      <c r="T1230" s="230">
        <v>278</v>
      </c>
      <c r="U1230" s="231">
        <v>57</v>
      </c>
      <c r="V1230" s="230"/>
      <c r="W1230" s="230"/>
      <c r="X1230" s="231"/>
      <c r="Y1230" s="71"/>
      <c r="Z1230" s="101">
        <v>0.1</v>
      </c>
      <c r="AA1230" s="102">
        <v>0.09</v>
      </c>
      <c r="AB1230" s="77"/>
      <c r="AC1230" s="78"/>
    </row>
    <row r="1231" spans="1:29" ht="53" customHeight="1" x14ac:dyDescent="0.2">
      <c r="A1231" s="117" t="s">
        <v>4154</v>
      </c>
      <c r="B1231" s="118" t="e">
        <f t="shared" si="137"/>
        <v>#VALUE!</v>
      </c>
      <c r="C1231" s="118" t="s">
        <v>612</v>
      </c>
      <c r="D1231" s="113">
        <v>40619</v>
      </c>
      <c r="E1231" s="84">
        <v>40664</v>
      </c>
      <c r="F1231" s="84">
        <f t="shared" si="138"/>
        <v>44317</v>
      </c>
      <c r="G1231" s="254">
        <v>100</v>
      </c>
      <c r="H1231" s="71" t="s">
        <v>4096</v>
      </c>
      <c r="I1231" s="71" t="s">
        <v>684</v>
      </c>
      <c r="J1231" s="79"/>
      <c r="K1231" s="55">
        <f t="shared" si="139"/>
        <v>2021</v>
      </c>
      <c r="L1231" s="80"/>
      <c r="M1231" s="80"/>
      <c r="N1231" s="73" t="s">
        <v>4141</v>
      </c>
      <c r="O1231" s="73" t="s">
        <v>4155</v>
      </c>
      <c r="P1231" s="74" t="s">
        <v>4156</v>
      </c>
      <c r="Q1231" s="75"/>
      <c r="R1231" s="230">
        <v>495</v>
      </c>
      <c r="S1231" s="230"/>
      <c r="T1231" s="230">
        <v>495</v>
      </c>
      <c r="U1231" s="231">
        <v>150</v>
      </c>
      <c r="V1231" s="230"/>
      <c r="W1231" s="230"/>
      <c r="X1231" s="231"/>
      <c r="Y1231" s="71"/>
      <c r="Z1231" s="101">
        <v>0.1</v>
      </c>
      <c r="AA1231" s="102">
        <v>0.09</v>
      </c>
      <c r="AB1231" s="77"/>
      <c r="AC1231" s="78"/>
    </row>
    <row r="1232" spans="1:29" ht="66" customHeight="1" x14ac:dyDescent="0.2">
      <c r="A1232" s="117" t="s">
        <v>4157</v>
      </c>
      <c r="B1232" s="118" t="e">
        <f t="shared" si="137"/>
        <v>#VALUE!</v>
      </c>
      <c r="C1232" s="118" t="s">
        <v>612</v>
      </c>
      <c r="D1232" s="113">
        <v>40619</v>
      </c>
      <c r="E1232" s="84">
        <v>40664</v>
      </c>
      <c r="F1232" s="84">
        <f t="shared" si="138"/>
        <v>44317</v>
      </c>
      <c r="G1232" s="254">
        <v>332.91</v>
      </c>
      <c r="H1232" s="71" t="s">
        <v>4096</v>
      </c>
      <c r="I1232" s="71" t="s">
        <v>684</v>
      </c>
      <c r="J1232" s="79"/>
      <c r="K1232" s="55">
        <f t="shared" si="139"/>
        <v>2021</v>
      </c>
      <c r="L1232" s="80"/>
      <c r="M1232" s="80"/>
      <c r="N1232" s="73" t="s">
        <v>4158</v>
      </c>
      <c r="O1232" s="73" t="s">
        <v>4159</v>
      </c>
      <c r="P1232" s="74" t="s">
        <v>4160</v>
      </c>
      <c r="Q1232" s="75"/>
      <c r="R1232" s="230">
        <v>1310.5</v>
      </c>
      <c r="S1232" s="230"/>
      <c r="T1232" s="230">
        <v>1310.5</v>
      </c>
      <c r="U1232" s="231">
        <v>499.5</v>
      </c>
      <c r="V1232" s="230"/>
      <c r="W1232" s="230"/>
      <c r="X1232" s="231"/>
      <c r="Y1232" s="71"/>
      <c r="Z1232" s="101">
        <v>0.1</v>
      </c>
      <c r="AA1232" s="102">
        <v>0.09</v>
      </c>
      <c r="AB1232" s="77"/>
      <c r="AC1232" s="78"/>
    </row>
    <row r="1233" spans="1:29" ht="53" customHeight="1" x14ac:dyDescent="0.2">
      <c r="A1233" s="117" t="s">
        <v>4161</v>
      </c>
      <c r="B1233" s="118" t="e">
        <f t="shared" si="137"/>
        <v>#VALUE!</v>
      </c>
      <c r="C1233" s="118" t="s">
        <v>612</v>
      </c>
      <c r="D1233" s="113">
        <v>40619</v>
      </c>
      <c r="E1233" s="84">
        <v>40664</v>
      </c>
      <c r="F1233" s="84">
        <f t="shared" si="138"/>
        <v>44317</v>
      </c>
      <c r="G1233" s="254">
        <v>642.48</v>
      </c>
      <c r="H1233" s="118" t="s">
        <v>1311</v>
      </c>
      <c r="I1233" s="71" t="s">
        <v>684</v>
      </c>
      <c r="J1233" s="79"/>
      <c r="K1233" s="55">
        <f t="shared" si="139"/>
        <v>2021</v>
      </c>
      <c r="L1233" s="80"/>
      <c r="M1233" s="80"/>
      <c r="N1233" s="73" t="s">
        <v>4162</v>
      </c>
      <c r="O1233" s="73" t="s">
        <v>4163</v>
      </c>
      <c r="P1233" s="74" t="s">
        <v>4164</v>
      </c>
      <c r="Q1233" s="75"/>
      <c r="R1233" s="230">
        <v>2395.5</v>
      </c>
      <c r="S1233" s="230">
        <v>593489</v>
      </c>
      <c r="T1233" s="230">
        <v>595884.5</v>
      </c>
      <c r="U1233" s="231">
        <v>964.5</v>
      </c>
      <c r="V1233" s="230"/>
      <c r="W1233" s="230"/>
      <c r="X1233" s="231"/>
      <c r="Y1233" s="71"/>
      <c r="Z1233" s="101">
        <v>0.1</v>
      </c>
      <c r="AA1233" s="102">
        <v>0.09</v>
      </c>
      <c r="AB1233" s="77"/>
      <c r="AC1233" s="78"/>
    </row>
    <row r="1234" spans="1:29" ht="118" customHeight="1" x14ac:dyDescent="0.2">
      <c r="A1234" s="117" t="s">
        <v>4165</v>
      </c>
      <c r="B1234" s="118" t="e">
        <f t="shared" si="137"/>
        <v>#VALUE!</v>
      </c>
      <c r="C1234" s="118" t="s">
        <v>612</v>
      </c>
      <c r="D1234" s="113">
        <v>40619</v>
      </c>
      <c r="E1234" s="84">
        <v>40664</v>
      </c>
      <c r="F1234" s="84">
        <f t="shared" si="138"/>
        <v>44317</v>
      </c>
      <c r="G1234" s="254">
        <v>160</v>
      </c>
      <c r="H1234" s="71" t="s">
        <v>4166</v>
      </c>
      <c r="I1234" s="71" t="s">
        <v>1703</v>
      </c>
      <c r="J1234" s="79"/>
      <c r="K1234" s="55">
        <f t="shared" si="139"/>
        <v>2021</v>
      </c>
      <c r="L1234" s="80"/>
      <c r="M1234" s="80"/>
      <c r="N1234" s="73" t="s">
        <v>4167</v>
      </c>
      <c r="O1234" s="73" t="s">
        <v>4168</v>
      </c>
      <c r="P1234" s="74" t="s">
        <v>4169</v>
      </c>
      <c r="Q1234" s="75"/>
      <c r="R1234" s="230">
        <v>705</v>
      </c>
      <c r="S1234" s="230"/>
      <c r="T1234" s="230">
        <v>705</v>
      </c>
      <c r="U1234" s="231">
        <v>240</v>
      </c>
      <c r="V1234" s="230"/>
      <c r="W1234" s="230"/>
      <c r="X1234" s="231"/>
      <c r="Y1234" s="71"/>
      <c r="Z1234" s="101">
        <v>0.1</v>
      </c>
      <c r="AA1234" s="102">
        <v>0.09</v>
      </c>
      <c r="AB1234" s="77"/>
      <c r="AC1234" s="78"/>
    </row>
    <row r="1235" spans="1:29" ht="53" customHeight="1" x14ac:dyDescent="0.2">
      <c r="A1235" s="117" t="s">
        <v>4170</v>
      </c>
      <c r="B1235" s="118" t="e">
        <f t="shared" si="137"/>
        <v>#VALUE!</v>
      </c>
      <c r="C1235" s="118" t="s">
        <v>612</v>
      </c>
      <c r="D1235" s="113">
        <v>40619</v>
      </c>
      <c r="E1235" s="84">
        <v>40664</v>
      </c>
      <c r="F1235" s="84">
        <f t="shared" si="138"/>
        <v>44317</v>
      </c>
      <c r="G1235" s="254">
        <v>407</v>
      </c>
      <c r="H1235" s="71" t="s">
        <v>4171</v>
      </c>
      <c r="I1235" s="71" t="s">
        <v>691</v>
      </c>
      <c r="J1235" s="79"/>
      <c r="K1235" s="55">
        <f t="shared" si="139"/>
        <v>2021</v>
      </c>
      <c r="L1235" s="80"/>
      <c r="M1235" s="80"/>
      <c r="N1235" s="73" t="s">
        <v>4172</v>
      </c>
      <c r="O1235" s="73" t="s">
        <v>4173</v>
      </c>
      <c r="P1235" s="74" t="s">
        <v>4174</v>
      </c>
      <c r="Q1235" s="75"/>
      <c r="R1235" s="230">
        <v>1569.5</v>
      </c>
      <c r="S1235" s="230"/>
      <c r="T1235" s="230">
        <v>1569.5</v>
      </c>
      <c r="U1235" s="231">
        <v>610.5</v>
      </c>
      <c r="V1235" s="230"/>
      <c r="W1235" s="230"/>
      <c r="X1235" s="231"/>
      <c r="Y1235" s="71"/>
      <c r="Z1235" s="101">
        <v>0.1</v>
      </c>
      <c r="AA1235" s="102">
        <v>0.09</v>
      </c>
      <c r="AB1235" s="77"/>
      <c r="AC1235" s="78"/>
    </row>
    <row r="1236" spans="1:29" ht="53" customHeight="1" x14ac:dyDescent="0.2">
      <c r="A1236" s="117" t="s">
        <v>4175</v>
      </c>
      <c r="B1236" s="118" t="e">
        <f t="shared" si="137"/>
        <v>#VALUE!</v>
      </c>
      <c r="C1236" s="118" t="s">
        <v>612</v>
      </c>
      <c r="D1236" s="113">
        <v>40619</v>
      </c>
      <c r="E1236" s="84">
        <v>40664</v>
      </c>
      <c r="F1236" s="84">
        <f t="shared" si="138"/>
        <v>44317</v>
      </c>
      <c r="G1236" s="254">
        <v>1011.72</v>
      </c>
      <c r="H1236" s="71" t="s">
        <v>4171</v>
      </c>
      <c r="I1236" s="71" t="s">
        <v>691</v>
      </c>
      <c r="J1236" s="79"/>
      <c r="K1236" s="55">
        <f t="shared" si="139"/>
        <v>2021</v>
      </c>
      <c r="L1236" s="80"/>
      <c r="M1236" s="80"/>
      <c r="N1236" s="73" t="s">
        <v>4176</v>
      </c>
      <c r="O1236" s="73" t="s">
        <v>4177</v>
      </c>
      <c r="P1236" s="74" t="s">
        <v>4178</v>
      </c>
      <c r="Q1236" s="75"/>
      <c r="R1236" s="230">
        <v>3687</v>
      </c>
      <c r="S1236" s="230"/>
      <c r="T1236" s="230">
        <v>3687</v>
      </c>
      <c r="U1236" s="231">
        <v>1518</v>
      </c>
      <c r="V1236" s="230"/>
      <c r="W1236" s="230"/>
      <c r="X1236" s="231"/>
      <c r="Y1236" s="71"/>
      <c r="Z1236" s="101">
        <v>0.1</v>
      </c>
      <c r="AA1236" s="102">
        <v>0.09</v>
      </c>
      <c r="AB1236" s="77"/>
      <c r="AC1236" s="78"/>
    </row>
    <row r="1237" spans="1:29" ht="53" customHeight="1" x14ac:dyDescent="0.2">
      <c r="A1237" s="117" t="s">
        <v>4179</v>
      </c>
      <c r="B1237" s="118" t="e">
        <f t="shared" si="137"/>
        <v>#VALUE!</v>
      </c>
      <c r="C1237" s="118" t="s">
        <v>612</v>
      </c>
      <c r="D1237" s="113">
        <v>40619</v>
      </c>
      <c r="E1237" s="84">
        <v>40664</v>
      </c>
      <c r="F1237" s="84">
        <f t="shared" si="138"/>
        <v>44317</v>
      </c>
      <c r="G1237" s="254">
        <v>555.62</v>
      </c>
      <c r="H1237" s="71" t="s">
        <v>4171</v>
      </c>
      <c r="I1237" s="71" t="s">
        <v>691</v>
      </c>
      <c r="J1237" s="79"/>
      <c r="K1237" s="55">
        <f t="shared" si="139"/>
        <v>2021</v>
      </c>
      <c r="L1237" s="80"/>
      <c r="M1237" s="80"/>
      <c r="N1237" s="73" t="s">
        <v>4180</v>
      </c>
      <c r="O1237" s="73" t="s">
        <v>4181</v>
      </c>
      <c r="P1237" s="74" t="s">
        <v>4182</v>
      </c>
      <c r="Q1237" s="75"/>
      <c r="R1237" s="230">
        <v>2091</v>
      </c>
      <c r="S1237" s="230"/>
      <c r="T1237" s="230">
        <v>2091</v>
      </c>
      <c r="U1237" s="231">
        <v>834</v>
      </c>
      <c r="V1237" s="230"/>
      <c r="W1237" s="230"/>
      <c r="X1237" s="231"/>
      <c r="Y1237" s="71"/>
      <c r="Z1237" s="101">
        <v>0.1</v>
      </c>
      <c r="AA1237" s="102">
        <v>0.09</v>
      </c>
      <c r="AB1237" s="77"/>
      <c r="AC1237" s="78"/>
    </row>
    <row r="1238" spans="1:29" ht="53" customHeight="1" x14ac:dyDescent="0.2">
      <c r="A1238" s="117" t="s">
        <v>4183</v>
      </c>
      <c r="B1238" s="118" t="e">
        <f t="shared" si="137"/>
        <v>#VALUE!</v>
      </c>
      <c r="C1238" s="118" t="s">
        <v>612</v>
      </c>
      <c r="D1238" s="113">
        <v>40619</v>
      </c>
      <c r="E1238" s="84">
        <v>40664</v>
      </c>
      <c r="F1238" s="84">
        <f t="shared" si="138"/>
        <v>44317</v>
      </c>
      <c r="G1238" s="254">
        <v>591.4</v>
      </c>
      <c r="H1238" s="71" t="s">
        <v>4171</v>
      </c>
      <c r="I1238" s="71" t="s">
        <v>691</v>
      </c>
      <c r="J1238" s="79"/>
      <c r="K1238" s="55">
        <f t="shared" si="139"/>
        <v>2021</v>
      </c>
      <c r="L1238" s="80"/>
      <c r="M1238" s="80"/>
      <c r="N1238" s="73" t="s">
        <v>4180</v>
      </c>
      <c r="O1238" s="73" t="s">
        <v>4184</v>
      </c>
      <c r="P1238" s="74" t="s">
        <v>4182</v>
      </c>
      <c r="Q1238" s="75"/>
      <c r="R1238" s="230">
        <v>2217</v>
      </c>
      <c r="S1238" s="230"/>
      <c r="T1238" s="230">
        <v>2217</v>
      </c>
      <c r="U1238" s="231">
        <v>888</v>
      </c>
      <c r="V1238" s="230"/>
      <c r="W1238" s="230"/>
      <c r="X1238" s="231"/>
      <c r="Y1238" s="71"/>
      <c r="Z1238" s="101">
        <v>0.1</v>
      </c>
      <c r="AA1238" s="102">
        <v>0.09</v>
      </c>
      <c r="AB1238" s="77"/>
      <c r="AC1238" s="78"/>
    </row>
    <row r="1239" spans="1:29" ht="53" customHeight="1" x14ac:dyDescent="0.2">
      <c r="A1239" s="117" t="s">
        <v>4185</v>
      </c>
      <c r="B1239" s="118" t="e">
        <f t="shared" si="137"/>
        <v>#VALUE!</v>
      </c>
      <c r="C1239" s="118" t="s">
        <v>612</v>
      </c>
      <c r="D1239" s="113">
        <v>40619</v>
      </c>
      <c r="E1239" s="84">
        <v>40664</v>
      </c>
      <c r="F1239" s="84">
        <f t="shared" si="138"/>
        <v>44317</v>
      </c>
      <c r="G1239" s="254">
        <v>726.54</v>
      </c>
      <c r="H1239" s="71" t="s">
        <v>4171</v>
      </c>
      <c r="I1239" s="71" t="s">
        <v>691</v>
      </c>
      <c r="J1239" s="79"/>
      <c r="K1239" s="55">
        <f t="shared" si="139"/>
        <v>2021</v>
      </c>
      <c r="L1239" s="80"/>
      <c r="M1239" s="80"/>
      <c r="N1239" s="73" t="s">
        <v>4180</v>
      </c>
      <c r="O1239" s="73" t="s">
        <v>4186</v>
      </c>
      <c r="P1239" s="74" t="s">
        <v>4182</v>
      </c>
      <c r="Q1239" s="75"/>
      <c r="R1239" s="230">
        <v>2689.5</v>
      </c>
      <c r="S1239" s="230"/>
      <c r="T1239" s="230">
        <v>2689.5</v>
      </c>
      <c r="U1239" s="231">
        <v>1090.5</v>
      </c>
      <c r="V1239" s="230"/>
      <c r="W1239" s="230"/>
      <c r="X1239" s="231"/>
      <c r="Y1239" s="71"/>
      <c r="Z1239" s="101">
        <v>0.1</v>
      </c>
      <c r="AA1239" s="102">
        <v>0.09</v>
      </c>
      <c r="AB1239" s="77"/>
      <c r="AC1239" s="78"/>
    </row>
    <row r="1240" spans="1:29" ht="53" customHeight="1" x14ac:dyDescent="0.2">
      <c r="A1240" s="117" t="s">
        <v>4187</v>
      </c>
      <c r="B1240" s="118" t="e">
        <f t="shared" si="137"/>
        <v>#VALUE!</v>
      </c>
      <c r="C1240" s="118" t="s">
        <v>612</v>
      </c>
      <c r="D1240" s="113">
        <v>40619</v>
      </c>
      <c r="E1240" s="84">
        <v>40664</v>
      </c>
      <c r="F1240" s="84">
        <f t="shared" si="138"/>
        <v>44317</v>
      </c>
      <c r="G1240" s="254">
        <v>757.18</v>
      </c>
      <c r="H1240" s="71" t="s">
        <v>4171</v>
      </c>
      <c r="I1240" s="71" t="s">
        <v>691</v>
      </c>
      <c r="J1240" s="79"/>
      <c r="K1240" s="55">
        <f t="shared" si="139"/>
        <v>2021</v>
      </c>
      <c r="L1240" s="80"/>
      <c r="M1240" s="80"/>
      <c r="N1240" s="73" t="s">
        <v>4180</v>
      </c>
      <c r="O1240" s="73" t="s">
        <v>4188</v>
      </c>
      <c r="P1240" s="74" t="s">
        <v>4182</v>
      </c>
      <c r="Q1240" s="75"/>
      <c r="R1240" s="230">
        <v>2798</v>
      </c>
      <c r="S1240" s="230"/>
      <c r="T1240" s="230">
        <v>2798</v>
      </c>
      <c r="U1240" s="231">
        <v>1137</v>
      </c>
      <c r="V1240" s="230"/>
      <c r="W1240" s="230"/>
      <c r="X1240" s="231"/>
      <c r="Y1240" s="71"/>
      <c r="Z1240" s="101">
        <v>0.1</v>
      </c>
      <c r="AA1240" s="102">
        <v>0.09</v>
      </c>
      <c r="AB1240" s="77"/>
      <c r="AC1240" s="78"/>
    </row>
    <row r="1241" spans="1:29" ht="66" customHeight="1" x14ac:dyDescent="0.2">
      <c r="A1241" s="117" t="s">
        <v>4189</v>
      </c>
      <c r="B1241" s="118" t="e">
        <f t="shared" si="137"/>
        <v>#VALUE!</v>
      </c>
      <c r="C1241" s="118" t="s">
        <v>612</v>
      </c>
      <c r="D1241" s="113">
        <v>40619</v>
      </c>
      <c r="E1241" s="84">
        <v>40664</v>
      </c>
      <c r="F1241" s="84">
        <f t="shared" si="138"/>
        <v>44317</v>
      </c>
      <c r="G1241" s="254">
        <v>1918.38</v>
      </c>
      <c r="H1241" s="71" t="s">
        <v>4190</v>
      </c>
      <c r="I1241" s="71" t="s">
        <v>691</v>
      </c>
      <c r="J1241" s="72" t="s">
        <v>2984</v>
      </c>
      <c r="K1241" s="55">
        <f t="shared" si="139"/>
        <v>2021</v>
      </c>
      <c r="L1241" s="81"/>
      <c r="M1241" s="81"/>
      <c r="N1241" s="73" t="s">
        <v>4191</v>
      </c>
      <c r="O1241" s="73" t="s">
        <v>4192</v>
      </c>
      <c r="P1241" s="74" t="s">
        <v>4193</v>
      </c>
      <c r="Q1241" s="75"/>
      <c r="R1241" s="230">
        <v>6861.5</v>
      </c>
      <c r="S1241" s="230"/>
      <c r="T1241" s="230">
        <v>6861.5</v>
      </c>
      <c r="U1241" s="231">
        <v>2878.5</v>
      </c>
      <c r="V1241" s="230"/>
      <c r="W1241" s="230"/>
      <c r="X1241" s="231"/>
      <c r="Y1241" s="71"/>
      <c r="Z1241" s="101">
        <v>0.1</v>
      </c>
      <c r="AA1241" s="102">
        <v>0.09</v>
      </c>
      <c r="AB1241" s="77"/>
      <c r="AC1241" s="78"/>
    </row>
    <row r="1242" spans="1:29" ht="66" customHeight="1" x14ac:dyDescent="0.2">
      <c r="A1242" s="117" t="s">
        <v>4194</v>
      </c>
      <c r="B1242" s="118" t="e">
        <f t="shared" si="137"/>
        <v>#VALUE!</v>
      </c>
      <c r="C1242" s="118" t="s">
        <v>612</v>
      </c>
      <c r="D1242" s="113">
        <v>40619</v>
      </c>
      <c r="E1242" s="84">
        <v>40664</v>
      </c>
      <c r="F1242" s="84">
        <f t="shared" si="138"/>
        <v>44317</v>
      </c>
      <c r="G1242" s="254">
        <v>1040.6500000000001</v>
      </c>
      <c r="H1242" s="71" t="s">
        <v>4190</v>
      </c>
      <c r="I1242" s="71" t="s">
        <v>691</v>
      </c>
      <c r="J1242" s="72" t="s">
        <v>2984</v>
      </c>
      <c r="K1242" s="55">
        <f t="shared" si="139"/>
        <v>2021</v>
      </c>
      <c r="L1242" s="81"/>
      <c r="M1242" s="81"/>
      <c r="N1242" s="73" t="s">
        <v>4191</v>
      </c>
      <c r="O1242" s="73" t="s">
        <v>4195</v>
      </c>
      <c r="P1242" s="74" t="s">
        <v>4193</v>
      </c>
      <c r="Q1242" s="75"/>
      <c r="R1242" s="230">
        <v>3788.5</v>
      </c>
      <c r="S1242" s="230"/>
      <c r="T1242" s="230">
        <v>3788.5</v>
      </c>
      <c r="U1242" s="231">
        <v>1561.5</v>
      </c>
      <c r="V1242" s="230"/>
      <c r="W1242" s="230"/>
      <c r="X1242" s="231"/>
      <c r="Y1242" s="71"/>
      <c r="Z1242" s="101">
        <v>0.1</v>
      </c>
      <c r="AA1242" s="102">
        <v>0.09</v>
      </c>
      <c r="AB1242" s="77"/>
      <c r="AC1242" s="78"/>
    </row>
    <row r="1243" spans="1:29" ht="66" customHeight="1" x14ac:dyDescent="0.2">
      <c r="A1243" s="117" t="s">
        <v>4196</v>
      </c>
      <c r="B1243" s="118" t="e">
        <f t="shared" si="137"/>
        <v>#VALUE!</v>
      </c>
      <c r="C1243" s="118" t="s">
        <v>612</v>
      </c>
      <c r="D1243" s="113">
        <v>40619</v>
      </c>
      <c r="E1243" s="84">
        <v>40664</v>
      </c>
      <c r="F1243" s="84">
        <f t="shared" si="138"/>
        <v>44317</v>
      </c>
      <c r="G1243" s="254">
        <v>1280.4000000000001</v>
      </c>
      <c r="H1243" s="71" t="s">
        <v>4190</v>
      </c>
      <c r="I1243" s="71" t="s">
        <v>691</v>
      </c>
      <c r="J1243" s="72" t="s">
        <v>2984</v>
      </c>
      <c r="K1243" s="55">
        <f t="shared" si="139"/>
        <v>2021</v>
      </c>
      <c r="L1243" s="81"/>
      <c r="M1243" s="81"/>
      <c r="N1243" s="73" t="s">
        <v>4191</v>
      </c>
      <c r="O1243" s="73" t="s">
        <v>4197</v>
      </c>
      <c r="P1243" s="74" t="s">
        <v>4193</v>
      </c>
      <c r="Q1243" s="75"/>
      <c r="R1243" s="230">
        <v>4628.5</v>
      </c>
      <c r="S1243" s="230">
        <v>5124</v>
      </c>
      <c r="T1243" s="230">
        <v>9752.5</v>
      </c>
      <c r="U1243" s="231">
        <v>1921.5</v>
      </c>
      <c r="V1243" s="230"/>
      <c r="W1243" s="230"/>
      <c r="X1243" s="231"/>
      <c r="Y1243" s="71"/>
      <c r="Z1243" s="101">
        <v>0.1</v>
      </c>
      <c r="AA1243" s="102">
        <v>0.09</v>
      </c>
      <c r="AB1243" s="77"/>
      <c r="AC1243" s="78"/>
    </row>
    <row r="1244" spans="1:29" ht="66" customHeight="1" x14ac:dyDescent="0.2">
      <c r="A1244" s="117" t="s">
        <v>4198</v>
      </c>
      <c r="B1244" s="118" t="e">
        <f t="shared" ref="B1244:B1270" si="140">IF(COUNTIF(GIS,A1244),"YES","NO")</f>
        <v>#VALUE!</v>
      </c>
      <c r="C1244" s="118" t="s">
        <v>612</v>
      </c>
      <c r="D1244" s="113">
        <v>40619</v>
      </c>
      <c r="E1244" s="84">
        <v>40664</v>
      </c>
      <c r="F1244" s="84">
        <f t="shared" ref="F1244:F1270" si="141">DATE(YEAR(E1244)+10,MONTH(E1244),DAY(E1244))</f>
        <v>44317</v>
      </c>
      <c r="G1244" s="254">
        <v>1280.4000000000001</v>
      </c>
      <c r="H1244" s="71" t="s">
        <v>4190</v>
      </c>
      <c r="I1244" s="71" t="s">
        <v>691</v>
      </c>
      <c r="J1244" s="72" t="s">
        <v>2984</v>
      </c>
      <c r="K1244" s="55">
        <f t="shared" ref="K1244:K1270" si="142">YEAR(F1244)</f>
        <v>2021</v>
      </c>
      <c r="L1244" s="81"/>
      <c r="M1244" s="81"/>
      <c r="N1244" s="73" t="s">
        <v>4191</v>
      </c>
      <c r="O1244" s="73" t="s">
        <v>4199</v>
      </c>
      <c r="P1244" s="74" t="s">
        <v>4193</v>
      </c>
      <c r="Q1244" s="75"/>
      <c r="R1244" s="230">
        <v>4628.5</v>
      </c>
      <c r="S1244" s="230"/>
      <c r="T1244" s="230">
        <v>4628.5</v>
      </c>
      <c r="U1244" s="231">
        <v>1921.5</v>
      </c>
      <c r="V1244" s="230"/>
      <c r="W1244" s="230"/>
      <c r="X1244" s="231"/>
      <c r="Y1244" s="71"/>
      <c r="Z1244" s="101">
        <v>0.1</v>
      </c>
      <c r="AA1244" s="102">
        <v>0.09</v>
      </c>
      <c r="AB1244" s="77"/>
      <c r="AC1244" s="78"/>
    </row>
    <row r="1245" spans="1:29" ht="66" customHeight="1" x14ac:dyDescent="0.2">
      <c r="A1245" s="117" t="s">
        <v>4200</v>
      </c>
      <c r="B1245" s="118" t="e">
        <f t="shared" si="140"/>
        <v>#VALUE!</v>
      </c>
      <c r="C1245" s="118" t="s">
        <v>612</v>
      </c>
      <c r="D1245" s="113">
        <v>40619</v>
      </c>
      <c r="E1245" s="84">
        <v>40664</v>
      </c>
      <c r="F1245" s="84">
        <f t="shared" si="141"/>
        <v>44317</v>
      </c>
      <c r="G1245" s="254">
        <v>1080.28</v>
      </c>
      <c r="H1245" s="71" t="s">
        <v>4190</v>
      </c>
      <c r="I1245" s="71" t="s">
        <v>691</v>
      </c>
      <c r="J1245" s="72" t="s">
        <v>2984</v>
      </c>
      <c r="K1245" s="55">
        <f t="shared" si="142"/>
        <v>2021</v>
      </c>
      <c r="L1245" s="81"/>
      <c r="M1245" s="81"/>
      <c r="N1245" s="73" t="s">
        <v>4191</v>
      </c>
      <c r="O1245" s="73" t="s">
        <v>4201</v>
      </c>
      <c r="P1245" s="74" t="s">
        <v>4193</v>
      </c>
      <c r="Q1245" s="75"/>
      <c r="R1245" s="230">
        <v>3928.5</v>
      </c>
      <c r="S1245" s="230"/>
      <c r="T1245" s="230">
        <v>3928.5</v>
      </c>
      <c r="U1245" s="231">
        <v>1621.5</v>
      </c>
      <c r="V1245" s="230"/>
      <c r="W1245" s="230"/>
      <c r="X1245" s="231"/>
      <c r="Y1245" s="71"/>
      <c r="Z1245" s="101">
        <v>0.1</v>
      </c>
      <c r="AA1245" s="102">
        <v>0.09</v>
      </c>
      <c r="AB1245" s="77"/>
      <c r="AC1245" s="78"/>
    </row>
    <row r="1246" spans="1:29" x14ac:dyDescent="0.2">
      <c r="A1246" s="117" t="s">
        <v>4202</v>
      </c>
      <c r="B1246" s="118" t="e">
        <f t="shared" si="140"/>
        <v>#VALUE!</v>
      </c>
      <c r="C1246" s="118" t="s">
        <v>612</v>
      </c>
      <c r="D1246" s="113">
        <v>40619</v>
      </c>
      <c r="E1246" s="84">
        <v>40664</v>
      </c>
      <c r="F1246" s="84">
        <f t="shared" si="141"/>
        <v>44317</v>
      </c>
      <c r="G1246" s="254">
        <v>1198.4000000000001</v>
      </c>
      <c r="H1246" s="71" t="s">
        <v>4190</v>
      </c>
      <c r="I1246" s="71" t="s">
        <v>691</v>
      </c>
      <c r="J1246" s="72" t="s">
        <v>2984</v>
      </c>
      <c r="K1246" s="55">
        <f t="shared" si="142"/>
        <v>2021</v>
      </c>
      <c r="L1246" s="81"/>
      <c r="M1246" s="81"/>
      <c r="N1246" s="73" t="s">
        <v>4191</v>
      </c>
      <c r="O1246" s="73" t="s">
        <v>4203</v>
      </c>
      <c r="P1246" s="74" t="s">
        <v>4204</v>
      </c>
      <c r="Q1246" s="75"/>
      <c r="R1246" s="230">
        <v>4341.5</v>
      </c>
      <c r="S1246" s="230">
        <v>4796</v>
      </c>
      <c r="T1246" s="230">
        <v>9137.5</v>
      </c>
      <c r="U1246" s="231">
        <v>1798.5</v>
      </c>
      <c r="V1246" s="230"/>
      <c r="W1246" s="230"/>
      <c r="X1246" s="231"/>
      <c r="Y1246" s="71"/>
      <c r="Z1246" s="101">
        <v>0.1</v>
      </c>
      <c r="AA1246" s="102">
        <v>0.09</v>
      </c>
      <c r="AB1246" s="77"/>
      <c r="AC1246" s="78"/>
    </row>
    <row r="1247" spans="1:29" x14ac:dyDescent="0.2">
      <c r="A1247" s="117" t="s">
        <v>4205</v>
      </c>
      <c r="B1247" s="118" t="e">
        <f t="shared" si="140"/>
        <v>#VALUE!</v>
      </c>
      <c r="C1247" s="118" t="s">
        <v>612</v>
      </c>
      <c r="D1247" s="113">
        <v>40619</v>
      </c>
      <c r="E1247" s="84">
        <v>40664</v>
      </c>
      <c r="F1247" s="84">
        <f t="shared" si="141"/>
        <v>44317</v>
      </c>
      <c r="G1247" s="254">
        <v>915.46</v>
      </c>
      <c r="H1247" s="71" t="s">
        <v>4190</v>
      </c>
      <c r="I1247" s="71" t="s">
        <v>691</v>
      </c>
      <c r="J1247" s="72" t="s">
        <v>2984</v>
      </c>
      <c r="K1247" s="55">
        <f t="shared" si="142"/>
        <v>2021</v>
      </c>
      <c r="L1247" s="81"/>
      <c r="M1247" s="81"/>
      <c r="N1247" s="73" t="s">
        <v>4191</v>
      </c>
      <c r="O1247" s="73" t="s">
        <v>4203</v>
      </c>
      <c r="P1247" s="74" t="s">
        <v>4204</v>
      </c>
      <c r="Q1247" s="75"/>
      <c r="R1247" s="230">
        <v>3351</v>
      </c>
      <c r="S1247" s="230"/>
      <c r="T1247" s="230">
        <v>3351</v>
      </c>
      <c r="U1247" s="231">
        <v>1374</v>
      </c>
      <c r="V1247" s="230"/>
      <c r="W1247" s="230"/>
      <c r="X1247" s="231"/>
      <c r="Y1247" s="71"/>
      <c r="Z1247" s="101">
        <v>0.1</v>
      </c>
      <c r="AA1247" s="102">
        <v>0.09</v>
      </c>
      <c r="AB1247" s="77"/>
      <c r="AC1247" s="78"/>
    </row>
    <row r="1248" spans="1:29" ht="66" customHeight="1" x14ac:dyDescent="0.2">
      <c r="A1248" s="117" t="s">
        <v>4206</v>
      </c>
      <c r="B1248" s="118" t="e">
        <f t="shared" si="140"/>
        <v>#VALUE!</v>
      </c>
      <c r="C1248" s="118" t="s">
        <v>612</v>
      </c>
      <c r="D1248" s="113">
        <v>40619</v>
      </c>
      <c r="E1248" s="84">
        <v>40664</v>
      </c>
      <c r="F1248" s="84">
        <f t="shared" si="141"/>
        <v>44317</v>
      </c>
      <c r="G1248" s="254">
        <v>1280</v>
      </c>
      <c r="H1248" s="71" t="s">
        <v>4190</v>
      </c>
      <c r="I1248" s="71" t="s">
        <v>691</v>
      </c>
      <c r="J1248" s="72" t="s">
        <v>2984</v>
      </c>
      <c r="K1248" s="55">
        <f t="shared" si="142"/>
        <v>2021</v>
      </c>
      <c r="L1248" s="81"/>
      <c r="M1248" s="81"/>
      <c r="N1248" s="73" t="s">
        <v>4191</v>
      </c>
      <c r="O1248" s="73" t="s">
        <v>4207</v>
      </c>
      <c r="P1248" s="74" t="s">
        <v>4193</v>
      </c>
      <c r="Q1248" s="75"/>
      <c r="R1248" s="230">
        <v>4625</v>
      </c>
      <c r="S1248" s="230"/>
      <c r="T1248" s="230">
        <v>4625</v>
      </c>
      <c r="U1248" s="231">
        <v>1920</v>
      </c>
      <c r="V1248" s="230"/>
      <c r="W1248" s="230"/>
      <c r="X1248" s="231"/>
      <c r="Y1248" s="71"/>
      <c r="Z1248" s="101">
        <v>0.1</v>
      </c>
      <c r="AA1248" s="102">
        <v>0.09</v>
      </c>
      <c r="AB1248" s="77"/>
      <c r="AC1248" s="78"/>
    </row>
    <row r="1249" spans="1:29" x14ac:dyDescent="0.2">
      <c r="A1249" s="117" t="s">
        <v>4208</v>
      </c>
      <c r="B1249" s="118" t="e">
        <f t="shared" si="140"/>
        <v>#VALUE!</v>
      </c>
      <c r="C1249" s="118" t="s">
        <v>612</v>
      </c>
      <c r="D1249" s="113">
        <v>40619</v>
      </c>
      <c r="E1249" s="84">
        <v>40664</v>
      </c>
      <c r="F1249" s="84">
        <f t="shared" si="141"/>
        <v>44317</v>
      </c>
      <c r="G1249" s="254">
        <v>1204.8019999999999</v>
      </c>
      <c r="H1249" s="71" t="s">
        <v>4190</v>
      </c>
      <c r="I1249" s="71" t="s">
        <v>691</v>
      </c>
      <c r="J1249" s="72" t="s">
        <v>2984</v>
      </c>
      <c r="K1249" s="55">
        <f t="shared" si="142"/>
        <v>2021</v>
      </c>
      <c r="L1249" s="81"/>
      <c r="M1249" s="81"/>
      <c r="N1249" s="73" t="s">
        <v>4209</v>
      </c>
      <c r="O1249" s="73" t="s">
        <v>4203</v>
      </c>
      <c r="P1249" s="74" t="s">
        <v>4204</v>
      </c>
      <c r="Q1249" s="75"/>
      <c r="R1249" s="230">
        <v>4362.5</v>
      </c>
      <c r="S1249" s="230"/>
      <c r="T1249" s="230">
        <v>4362.5</v>
      </c>
      <c r="U1249" s="231">
        <v>1807.5</v>
      </c>
      <c r="V1249" s="230"/>
      <c r="W1249" s="230"/>
      <c r="X1249" s="231"/>
      <c r="Y1249" s="71"/>
      <c r="Z1249" s="101">
        <v>0.1</v>
      </c>
      <c r="AA1249" s="102">
        <v>0.09</v>
      </c>
      <c r="AB1249" s="77"/>
      <c r="AC1249" s="78"/>
    </row>
    <row r="1250" spans="1:29" ht="66" customHeight="1" x14ac:dyDescent="0.2">
      <c r="A1250" s="117" t="s">
        <v>4210</v>
      </c>
      <c r="B1250" s="118" t="e">
        <f t="shared" si="140"/>
        <v>#VALUE!</v>
      </c>
      <c r="C1250" s="118" t="s">
        <v>612</v>
      </c>
      <c r="D1250" s="113">
        <v>40619</v>
      </c>
      <c r="E1250" s="84">
        <v>40664</v>
      </c>
      <c r="F1250" s="84">
        <f t="shared" si="141"/>
        <v>44317</v>
      </c>
      <c r="G1250" s="254">
        <v>40</v>
      </c>
      <c r="H1250" s="71" t="s">
        <v>4190</v>
      </c>
      <c r="I1250" s="71" t="s">
        <v>691</v>
      </c>
      <c r="J1250" s="72" t="s">
        <v>2984</v>
      </c>
      <c r="K1250" s="55">
        <f t="shared" si="142"/>
        <v>2021</v>
      </c>
      <c r="L1250" s="81"/>
      <c r="M1250" s="81"/>
      <c r="N1250" s="73" t="s">
        <v>4209</v>
      </c>
      <c r="O1250" s="73" t="s">
        <v>4211</v>
      </c>
      <c r="P1250" s="74" t="s">
        <v>4212</v>
      </c>
      <c r="Q1250" s="75"/>
      <c r="R1250" s="230">
        <v>285</v>
      </c>
      <c r="S1250" s="230"/>
      <c r="T1250" s="230">
        <v>285</v>
      </c>
      <c r="U1250" s="231">
        <v>60</v>
      </c>
      <c r="V1250" s="230"/>
      <c r="W1250" s="230"/>
      <c r="X1250" s="231"/>
      <c r="Y1250" s="71"/>
      <c r="Z1250" s="101">
        <v>0.1</v>
      </c>
      <c r="AA1250" s="102">
        <v>0.09</v>
      </c>
      <c r="AB1250" s="77"/>
      <c r="AC1250" s="78"/>
    </row>
    <row r="1251" spans="1:29" x14ac:dyDescent="0.2">
      <c r="A1251" s="117" t="s">
        <v>4213</v>
      </c>
      <c r="B1251" s="118" t="e">
        <f t="shared" si="140"/>
        <v>#VALUE!</v>
      </c>
      <c r="C1251" s="118" t="s">
        <v>612</v>
      </c>
      <c r="D1251" s="113">
        <v>40619</v>
      </c>
      <c r="E1251" s="84">
        <v>40664</v>
      </c>
      <c r="F1251" s="84">
        <f t="shared" si="141"/>
        <v>44317</v>
      </c>
      <c r="G1251" s="254">
        <v>1030</v>
      </c>
      <c r="H1251" s="71" t="s">
        <v>4190</v>
      </c>
      <c r="I1251" s="71" t="s">
        <v>691</v>
      </c>
      <c r="J1251" s="72" t="s">
        <v>2984</v>
      </c>
      <c r="K1251" s="55">
        <f t="shared" si="142"/>
        <v>2021</v>
      </c>
      <c r="L1251" s="81"/>
      <c r="M1251" s="81"/>
      <c r="N1251" s="73" t="s">
        <v>4209</v>
      </c>
      <c r="O1251" s="73" t="s">
        <v>4203</v>
      </c>
      <c r="P1251" s="74" t="s">
        <v>4204</v>
      </c>
      <c r="Q1251" s="75"/>
      <c r="R1251" s="230">
        <v>3750</v>
      </c>
      <c r="S1251" s="230"/>
      <c r="T1251" s="230">
        <v>3750</v>
      </c>
      <c r="U1251" s="231">
        <v>1545</v>
      </c>
      <c r="V1251" s="230"/>
      <c r="W1251" s="230"/>
      <c r="X1251" s="231"/>
      <c r="Y1251" s="71"/>
      <c r="Z1251" s="101">
        <v>0.1</v>
      </c>
      <c r="AA1251" s="102">
        <v>0.09</v>
      </c>
      <c r="AB1251" s="77"/>
      <c r="AC1251" s="78"/>
    </row>
    <row r="1252" spans="1:29" ht="53" customHeight="1" x14ac:dyDescent="0.2">
      <c r="A1252" s="117" t="s">
        <v>4214</v>
      </c>
      <c r="B1252" s="118" t="e">
        <f t="shared" si="140"/>
        <v>#VALUE!</v>
      </c>
      <c r="C1252" s="118" t="s">
        <v>612</v>
      </c>
      <c r="D1252" s="113">
        <v>40619</v>
      </c>
      <c r="E1252" s="84">
        <v>40664</v>
      </c>
      <c r="F1252" s="84">
        <f t="shared" si="141"/>
        <v>44317</v>
      </c>
      <c r="G1252" s="254">
        <v>921.24</v>
      </c>
      <c r="H1252" s="71" t="s">
        <v>4190</v>
      </c>
      <c r="I1252" s="71" t="s">
        <v>691</v>
      </c>
      <c r="J1252" s="72" t="s">
        <v>2984</v>
      </c>
      <c r="K1252" s="55">
        <f t="shared" si="142"/>
        <v>2021</v>
      </c>
      <c r="L1252" s="81"/>
      <c r="M1252" s="81"/>
      <c r="N1252" s="73" t="s">
        <v>4209</v>
      </c>
      <c r="O1252" s="73" t="s">
        <v>4215</v>
      </c>
      <c r="P1252" s="74" t="s">
        <v>4182</v>
      </c>
      <c r="Q1252" s="75"/>
      <c r="R1252" s="230">
        <v>3372</v>
      </c>
      <c r="S1252" s="230"/>
      <c r="T1252" s="230">
        <v>3372</v>
      </c>
      <c r="U1252" s="231">
        <v>1383</v>
      </c>
      <c r="V1252" s="230"/>
      <c r="W1252" s="230"/>
      <c r="X1252" s="231"/>
      <c r="Y1252" s="71"/>
      <c r="Z1252" s="101">
        <v>0.1</v>
      </c>
      <c r="AA1252" s="102">
        <v>0.09</v>
      </c>
      <c r="AB1252" s="77"/>
      <c r="AC1252" s="78"/>
    </row>
    <row r="1253" spans="1:29" x14ac:dyDescent="0.2">
      <c r="A1253" s="117" t="s">
        <v>4216</v>
      </c>
      <c r="B1253" s="118" t="e">
        <f t="shared" si="140"/>
        <v>#VALUE!</v>
      </c>
      <c r="C1253" s="118" t="s">
        <v>612</v>
      </c>
      <c r="D1253" s="113">
        <v>40619</v>
      </c>
      <c r="E1253" s="84">
        <v>40664</v>
      </c>
      <c r="F1253" s="84">
        <f t="shared" si="141"/>
        <v>44317</v>
      </c>
      <c r="G1253" s="254">
        <v>692.28899999999999</v>
      </c>
      <c r="H1253" s="71" t="s">
        <v>4190</v>
      </c>
      <c r="I1253" s="71" t="s">
        <v>691</v>
      </c>
      <c r="J1253" s="72" t="s">
        <v>2984</v>
      </c>
      <c r="K1253" s="55">
        <f t="shared" si="142"/>
        <v>2021</v>
      </c>
      <c r="L1253" s="81"/>
      <c r="M1253" s="81"/>
      <c r="N1253" s="73" t="s">
        <v>4209</v>
      </c>
      <c r="O1253" s="73" t="s">
        <v>4203</v>
      </c>
      <c r="P1253" s="74" t="s">
        <v>4204</v>
      </c>
      <c r="Q1253" s="75"/>
      <c r="R1253" s="230">
        <v>2570.5</v>
      </c>
      <c r="S1253" s="230"/>
      <c r="T1253" s="230">
        <v>2570.5</v>
      </c>
      <c r="U1253" s="231">
        <v>1039.5</v>
      </c>
      <c r="V1253" s="230"/>
      <c r="W1253" s="230"/>
      <c r="X1253" s="231"/>
      <c r="Y1253" s="71"/>
      <c r="Z1253" s="101">
        <v>0.1</v>
      </c>
      <c r="AA1253" s="102">
        <v>0.09</v>
      </c>
      <c r="AB1253" s="77"/>
      <c r="AC1253" s="78"/>
    </row>
    <row r="1254" spans="1:29" ht="66" customHeight="1" x14ac:dyDescent="0.2">
      <c r="A1254" s="117" t="s">
        <v>4217</v>
      </c>
      <c r="B1254" s="118" t="e">
        <f t="shared" si="140"/>
        <v>#VALUE!</v>
      </c>
      <c r="C1254" s="118" t="s">
        <v>612</v>
      </c>
      <c r="D1254" s="113">
        <v>40619</v>
      </c>
      <c r="E1254" s="84">
        <v>40664</v>
      </c>
      <c r="F1254" s="84">
        <f t="shared" si="141"/>
        <v>44317</v>
      </c>
      <c r="G1254" s="254">
        <v>64.281000000000006</v>
      </c>
      <c r="H1254" s="71" t="s">
        <v>4190</v>
      </c>
      <c r="I1254" s="71" t="s">
        <v>691</v>
      </c>
      <c r="J1254" s="72" t="s">
        <v>2984</v>
      </c>
      <c r="K1254" s="55">
        <f t="shared" si="142"/>
        <v>2021</v>
      </c>
      <c r="L1254" s="81"/>
      <c r="M1254" s="81"/>
      <c r="N1254" s="73" t="s">
        <v>4209</v>
      </c>
      <c r="O1254" s="73" t="s">
        <v>4218</v>
      </c>
      <c r="P1254" s="74" t="s">
        <v>4212</v>
      </c>
      <c r="Q1254" s="75"/>
      <c r="R1254" s="230">
        <v>372.5</v>
      </c>
      <c r="S1254" s="230"/>
      <c r="T1254" s="230">
        <v>372.5</v>
      </c>
      <c r="U1254" s="231">
        <v>97.5</v>
      </c>
      <c r="V1254" s="230"/>
      <c r="W1254" s="230"/>
      <c r="X1254" s="231"/>
      <c r="Y1254" s="71"/>
      <c r="Z1254" s="101">
        <v>0.1</v>
      </c>
      <c r="AA1254" s="102">
        <v>0.09</v>
      </c>
      <c r="AB1254" s="77"/>
      <c r="AC1254" s="78"/>
    </row>
    <row r="1255" spans="1:29" x14ac:dyDescent="0.2">
      <c r="A1255" s="117" t="s">
        <v>4219</v>
      </c>
      <c r="B1255" s="118" t="e">
        <f t="shared" si="140"/>
        <v>#VALUE!</v>
      </c>
      <c r="C1255" s="118" t="s">
        <v>612</v>
      </c>
      <c r="D1255" s="113">
        <v>40619</v>
      </c>
      <c r="E1255" s="84">
        <v>40664</v>
      </c>
      <c r="F1255" s="84">
        <f t="shared" si="141"/>
        <v>44317</v>
      </c>
      <c r="G1255" s="254">
        <v>914.11</v>
      </c>
      <c r="H1255" s="71" t="s">
        <v>4190</v>
      </c>
      <c r="I1255" s="71" t="s">
        <v>691</v>
      </c>
      <c r="J1255" s="72" t="s">
        <v>2984</v>
      </c>
      <c r="K1255" s="55">
        <f t="shared" si="142"/>
        <v>2021</v>
      </c>
      <c r="L1255" s="81"/>
      <c r="M1255" s="81"/>
      <c r="N1255" s="73" t="s">
        <v>4209</v>
      </c>
      <c r="O1255" s="73" t="s">
        <v>4203</v>
      </c>
      <c r="P1255" s="74" t="s">
        <v>4204</v>
      </c>
      <c r="Q1255" s="75"/>
      <c r="R1255" s="230">
        <v>3347.5</v>
      </c>
      <c r="S1255" s="230"/>
      <c r="T1255" s="230">
        <v>3347.5</v>
      </c>
      <c r="U1255" s="231">
        <v>1372.5</v>
      </c>
      <c r="V1255" s="230"/>
      <c r="W1255" s="230"/>
      <c r="X1255" s="231"/>
      <c r="Y1255" s="71"/>
      <c r="Z1255" s="101">
        <v>0.1</v>
      </c>
      <c r="AA1255" s="102">
        <v>0.09</v>
      </c>
      <c r="AB1255" s="77"/>
      <c r="AC1255" s="78"/>
    </row>
    <row r="1256" spans="1:29" ht="53" customHeight="1" x14ac:dyDescent="0.2">
      <c r="A1256" s="117" t="s">
        <v>4220</v>
      </c>
      <c r="B1256" s="118" t="e">
        <f t="shared" si="140"/>
        <v>#VALUE!</v>
      </c>
      <c r="C1256" s="118" t="s">
        <v>612</v>
      </c>
      <c r="D1256" s="113">
        <v>40619</v>
      </c>
      <c r="E1256" s="84">
        <v>40664</v>
      </c>
      <c r="F1256" s="84">
        <f t="shared" si="141"/>
        <v>44317</v>
      </c>
      <c r="G1256" s="254">
        <v>40</v>
      </c>
      <c r="H1256" s="71" t="s">
        <v>4190</v>
      </c>
      <c r="I1256" s="71" t="s">
        <v>691</v>
      </c>
      <c r="J1256" s="72" t="s">
        <v>2984</v>
      </c>
      <c r="K1256" s="55">
        <f t="shared" si="142"/>
        <v>2021</v>
      </c>
      <c r="L1256" s="81"/>
      <c r="M1256" s="81"/>
      <c r="N1256" s="73" t="s">
        <v>4209</v>
      </c>
      <c r="O1256" s="73" t="s">
        <v>4221</v>
      </c>
      <c r="P1256" s="74" t="s">
        <v>4182</v>
      </c>
      <c r="Q1256" s="75"/>
      <c r="R1256" s="230">
        <v>285</v>
      </c>
      <c r="S1256" s="230">
        <v>160</v>
      </c>
      <c r="T1256" s="230">
        <v>445</v>
      </c>
      <c r="U1256" s="231">
        <v>60</v>
      </c>
      <c r="V1256" s="230"/>
      <c r="W1256" s="230"/>
      <c r="X1256" s="231"/>
      <c r="Y1256" s="71"/>
      <c r="Z1256" s="101">
        <v>0.1</v>
      </c>
      <c r="AA1256" s="102">
        <v>0.09</v>
      </c>
      <c r="AB1256" s="77"/>
      <c r="AC1256" s="78"/>
    </row>
    <row r="1257" spans="1:29" x14ac:dyDescent="0.2">
      <c r="A1257" s="117" t="s">
        <v>4222</v>
      </c>
      <c r="B1257" s="118" t="e">
        <f t="shared" si="140"/>
        <v>#VALUE!</v>
      </c>
      <c r="C1257" s="118" t="s">
        <v>612</v>
      </c>
      <c r="D1257" s="113">
        <v>40619</v>
      </c>
      <c r="E1257" s="84">
        <v>40664</v>
      </c>
      <c r="F1257" s="84">
        <f t="shared" si="141"/>
        <v>44317</v>
      </c>
      <c r="G1257" s="254">
        <v>760.76</v>
      </c>
      <c r="H1257" s="71" t="s">
        <v>4223</v>
      </c>
      <c r="I1257" s="71" t="s">
        <v>691</v>
      </c>
      <c r="J1257" s="72" t="s">
        <v>1414</v>
      </c>
      <c r="K1257" s="55">
        <f t="shared" si="142"/>
        <v>2021</v>
      </c>
      <c r="L1257" s="81"/>
      <c r="M1257" s="81"/>
      <c r="N1257" s="73" t="s">
        <v>4224</v>
      </c>
      <c r="O1257" s="73" t="s">
        <v>4203</v>
      </c>
      <c r="P1257" s="74" t="s">
        <v>4204</v>
      </c>
      <c r="Q1257" s="75"/>
      <c r="R1257" s="230">
        <v>2808.5</v>
      </c>
      <c r="S1257" s="230">
        <v>4566</v>
      </c>
      <c r="T1257" s="230">
        <v>7374.5</v>
      </c>
      <c r="U1257" s="231">
        <v>1141.5</v>
      </c>
      <c r="V1257" s="230"/>
      <c r="W1257" s="230"/>
      <c r="X1257" s="231"/>
      <c r="Y1257" s="71"/>
      <c r="Z1257" s="101">
        <v>0.1</v>
      </c>
      <c r="AA1257" s="102">
        <v>0.09</v>
      </c>
      <c r="AB1257" s="77"/>
      <c r="AC1257" s="78"/>
    </row>
    <row r="1258" spans="1:29" ht="53" customHeight="1" x14ac:dyDescent="0.2">
      <c r="A1258" s="117" t="s">
        <v>4225</v>
      </c>
      <c r="B1258" s="118" t="e">
        <f t="shared" si="140"/>
        <v>#VALUE!</v>
      </c>
      <c r="C1258" s="118" t="s">
        <v>612</v>
      </c>
      <c r="D1258" s="113">
        <v>40619</v>
      </c>
      <c r="E1258" s="84">
        <v>40664</v>
      </c>
      <c r="F1258" s="84">
        <f t="shared" si="141"/>
        <v>44317</v>
      </c>
      <c r="G1258" s="254">
        <v>840.55</v>
      </c>
      <c r="H1258" s="71" t="s">
        <v>4223</v>
      </c>
      <c r="I1258" s="71" t="s">
        <v>691</v>
      </c>
      <c r="J1258" s="72" t="s">
        <v>1414</v>
      </c>
      <c r="K1258" s="55">
        <f t="shared" si="142"/>
        <v>2021</v>
      </c>
      <c r="L1258" s="81"/>
      <c r="M1258" s="81"/>
      <c r="N1258" s="73" t="s">
        <v>4224</v>
      </c>
      <c r="O1258" s="73" t="s">
        <v>4226</v>
      </c>
      <c r="P1258" s="74" t="s">
        <v>4182</v>
      </c>
      <c r="Q1258" s="75"/>
      <c r="R1258" s="230">
        <v>3088.5</v>
      </c>
      <c r="S1258" s="230">
        <v>3364</v>
      </c>
      <c r="T1258" s="230">
        <v>6452.5</v>
      </c>
      <c r="U1258" s="231">
        <v>1261.5</v>
      </c>
      <c r="V1258" s="230"/>
      <c r="W1258" s="230"/>
      <c r="X1258" s="231"/>
      <c r="Y1258" s="71"/>
      <c r="Z1258" s="101">
        <v>0.1</v>
      </c>
      <c r="AA1258" s="102">
        <v>0.09</v>
      </c>
      <c r="AB1258" s="77"/>
      <c r="AC1258" s="78"/>
    </row>
    <row r="1259" spans="1:29" ht="53" customHeight="1" x14ac:dyDescent="0.2">
      <c r="A1259" s="117" t="s">
        <v>4227</v>
      </c>
      <c r="B1259" s="118" t="e">
        <f t="shared" si="140"/>
        <v>#VALUE!</v>
      </c>
      <c r="C1259" s="118" t="s">
        <v>612</v>
      </c>
      <c r="D1259" s="113">
        <v>40619</v>
      </c>
      <c r="E1259" s="84">
        <v>40664</v>
      </c>
      <c r="F1259" s="84">
        <f t="shared" si="141"/>
        <v>44317</v>
      </c>
      <c r="G1259" s="254">
        <v>40</v>
      </c>
      <c r="H1259" s="71" t="s">
        <v>4223</v>
      </c>
      <c r="I1259" s="71" t="s">
        <v>691</v>
      </c>
      <c r="J1259" s="72" t="s">
        <v>1414</v>
      </c>
      <c r="K1259" s="55">
        <f t="shared" si="142"/>
        <v>2021</v>
      </c>
      <c r="L1259" s="81"/>
      <c r="M1259" s="81"/>
      <c r="N1259" s="73" t="s">
        <v>4224</v>
      </c>
      <c r="O1259" s="73" t="s">
        <v>4228</v>
      </c>
      <c r="P1259" s="74" t="s">
        <v>4229</v>
      </c>
      <c r="Q1259" s="75"/>
      <c r="R1259" s="230">
        <v>285</v>
      </c>
      <c r="S1259" s="230">
        <v>160</v>
      </c>
      <c r="T1259" s="230">
        <v>445</v>
      </c>
      <c r="U1259" s="231">
        <v>60</v>
      </c>
      <c r="V1259" s="230"/>
      <c r="W1259" s="230"/>
      <c r="X1259" s="231"/>
      <c r="Y1259" s="71"/>
      <c r="Z1259" s="101">
        <v>0.1</v>
      </c>
      <c r="AA1259" s="102">
        <v>0.09</v>
      </c>
      <c r="AB1259" s="77"/>
      <c r="AC1259" s="78"/>
    </row>
    <row r="1260" spans="1:29" ht="53" customHeight="1" x14ac:dyDescent="0.2">
      <c r="A1260" s="117" t="s">
        <v>4230</v>
      </c>
      <c r="B1260" s="118" t="e">
        <f t="shared" si="140"/>
        <v>#VALUE!</v>
      </c>
      <c r="C1260" s="118" t="s">
        <v>612</v>
      </c>
      <c r="D1260" s="113">
        <v>40619</v>
      </c>
      <c r="E1260" s="84">
        <v>40664</v>
      </c>
      <c r="F1260" s="84">
        <f t="shared" si="141"/>
        <v>44317</v>
      </c>
      <c r="G1260" s="254">
        <v>800.84</v>
      </c>
      <c r="H1260" s="71" t="s">
        <v>4223</v>
      </c>
      <c r="I1260" s="71" t="s">
        <v>691</v>
      </c>
      <c r="J1260" s="72" t="s">
        <v>1414</v>
      </c>
      <c r="K1260" s="55">
        <f t="shared" si="142"/>
        <v>2021</v>
      </c>
      <c r="L1260" s="81"/>
      <c r="M1260" s="81"/>
      <c r="N1260" s="73" t="s">
        <v>4224</v>
      </c>
      <c r="O1260" s="73" t="s">
        <v>4231</v>
      </c>
      <c r="P1260" s="74" t="s">
        <v>4229</v>
      </c>
      <c r="Q1260" s="75"/>
      <c r="R1260" s="230">
        <v>2948.5</v>
      </c>
      <c r="S1260" s="230">
        <v>3204</v>
      </c>
      <c r="T1260" s="230">
        <v>6152.5</v>
      </c>
      <c r="U1260" s="231">
        <v>1201.5</v>
      </c>
      <c r="V1260" s="230"/>
      <c r="W1260" s="230"/>
      <c r="X1260" s="231"/>
      <c r="Y1260" s="71"/>
      <c r="Z1260" s="101">
        <v>0.1</v>
      </c>
      <c r="AA1260" s="102">
        <v>0.09</v>
      </c>
      <c r="AB1260" s="77"/>
      <c r="AC1260" s="78"/>
    </row>
    <row r="1261" spans="1:29" ht="53" customHeight="1" x14ac:dyDescent="0.2">
      <c r="A1261" s="117" t="s">
        <v>4232</v>
      </c>
      <c r="B1261" s="118" t="e">
        <f t="shared" si="140"/>
        <v>#VALUE!</v>
      </c>
      <c r="C1261" s="118" t="s">
        <v>612</v>
      </c>
      <c r="D1261" s="113">
        <v>40619</v>
      </c>
      <c r="E1261" s="84">
        <v>40664</v>
      </c>
      <c r="F1261" s="84">
        <f t="shared" si="141"/>
        <v>44317</v>
      </c>
      <c r="G1261" s="254">
        <v>281.58999999999997</v>
      </c>
      <c r="H1261" s="71" t="s">
        <v>4233</v>
      </c>
      <c r="I1261" s="71" t="s">
        <v>691</v>
      </c>
      <c r="J1261" s="72" t="s">
        <v>1414</v>
      </c>
      <c r="K1261" s="55">
        <f t="shared" si="142"/>
        <v>2021</v>
      </c>
      <c r="L1261" s="81"/>
      <c r="M1261" s="81"/>
      <c r="N1261" s="73" t="s">
        <v>4234</v>
      </c>
      <c r="O1261" s="73" t="s">
        <v>4235</v>
      </c>
      <c r="P1261" s="74" t="s">
        <v>4229</v>
      </c>
      <c r="Q1261" s="75"/>
      <c r="R1261" s="230">
        <v>1132</v>
      </c>
      <c r="S1261" s="230"/>
      <c r="T1261" s="230">
        <v>1132</v>
      </c>
      <c r="U1261" s="231">
        <v>423</v>
      </c>
      <c r="V1261" s="230"/>
      <c r="W1261" s="230"/>
      <c r="X1261" s="231"/>
      <c r="Y1261" s="71"/>
      <c r="Z1261" s="101">
        <v>0.1</v>
      </c>
      <c r="AA1261" s="102">
        <v>0.09</v>
      </c>
      <c r="AB1261" s="77"/>
      <c r="AC1261" s="78"/>
    </row>
    <row r="1262" spans="1:29" ht="53" customHeight="1" x14ac:dyDescent="0.2">
      <c r="A1262" s="117" t="s">
        <v>4236</v>
      </c>
      <c r="B1262" s="118" t="e">
        <f t="shared" si="140"/>
        <v>#VALUE!</v>
      </c>
      <c r="C1262" s="118" t="s">
        <v>612</v>
      </c>
      <c r="D1262" s="113">
        <v>40619</v>
      </c>
      <c r="E1262" s="84">
        <v>40664</v>
      </c>
      <c r="F1262" s="84">
        <f t="shared" si="141"/>
        <v>44317</v>
      </c>
      <c r="G1262" s="254">
        <v>320.14</v>
      </c>
      <c r="H1262" s="71" t="s">
        <v>4233</v>
      </c>
      <c r="I1262" s="71" t="s">
        <v>691</v>
      </c>
      <c r="J1262" s="72" t="s">
        <v>1414</v>
      </c>
      <c r="K1262" s="55">
        <f t="shared" si="142"/>
        <v>2021</v>
      </c>
      <c r="L1262" s="81"/>
      <c r="M1262" s="81"/>
      <c r="N1262" s="73" t="s">
        <v>4234</v>
      </c>
      <c r="O1262" s="73" t="s">
        <v>4237</v>
      </c>
      <c r="P1262" s="74" t="s">
        <v>4229</v>
      </c>
      <c r="Q1262" s="75"/>
      <c r="R1262" s="230">
        <v>1268.5</v>
      </c>
      <c r="S1262" s="230"/>
      <c r="T1262" s="230">
        <v>1268.5</v>
      </c>
      <c r="U1262" s="231">
        <v>481.5</v>
      </c>
      <c r="V1262" s="230"/>
      <c r="W1262" s="230"/>
      <c r="X1262" s="231"/>
      <c r="Y1262" s="71"/>
      <c r="Z1262" s="101">
        <v>0.1</v>
      </c>
      <c r="AA1262" s="102">
        <v>0.09</v>
      </c>
      <c r="AB1262" s="77"/>
      <c r="AC1262" s="78"/>
    </row>
    <row r="1263" spans="1:29" ht="53" customHeight="1" x14ac:dyDescent="0.2">
      <c r="A1263" s="117" t="s">
        <v>4238</v>
      </c>
      <c r="B1263" s="118" t="e">
        <f t="shared" si="140"/>
        <v>#VALUE!</v>
      </c>
      <c r="C1263" s="118" t="s">
        <v>612</v>
      </c>
      <c r="D1263" s="113">
        <v>40619</v>
      </c>
      <c r="E1263" s="84">
        <v>40664</v>
      </c>
      <c r="F1263" s="84">
        <f t="shared" si="141"/>
        <v>44317</v>
      </c>
      <c r="G1263" s="254">
        <v>1311.72</v>
      </c>
      <c r="H1263" s="71" t="s">
        <v>4239</v>
      </c>
      <c r="I1263" s="71" t="s">
        <v>691</v>
      </c>
      <c r="J1263" s="79"/>
      <c r="K1263" s="55">
        <f t="shared" si="142"/>
        <v>2021</v>
      </c>
      <c r="L1263" s="80"/>
      <c r="M1263" s="80"/>
      <c r="N1263" s="73" t="s">
        <v>4240</v>
      </c>
      <c r="O1263" s="73" t="s">
        <v>4241</v>
      </c>
      <c r="P1263" s="74" t="s">
        <v>4229</v>
      </c>
      <c r="Q1263" s="75"/>
      <c r="R1263" s="230">
        <v>4737</v>
      </c>
      <c r="S1263" s="230"/>
      <c r="T1263" s="230">
        <v>4737</v>
      </c>
      <c r="U1263" s="231">
        <v>1968</v>
      </c>
      <c r="V1263" s="230"/>
      <c r="W1263" s="230"/>
      <c r="X1263" s="231"/>
      <c r="Y1263" s="71"/>
      <c r="Z1263" s="101">
        <v>0.1</v>
      </c>
      <c r="AA1263" s="102">
        <v>0.09</v>
      </c>
      <c r="AB1263" s="77"/>
      <c r="AC1263" s="78"/>
    </row>
    <row r="1264" spans="1:29" ht="53" customHeight="1" x14ac:dyDescent="0.2">
      <c r="A1264" s="117" t="s">
        <v>4242</v>
      </c>
      <c r="B1264" s="118" t="e">
        <f t="shared" si="140"/>
        <v>#VALUE!</v>
      </c>
      <c r="C1264" s="118" t="s">
        <v>612</v>
      </c>
      <c r="D1264" s="113">
        <v>40619</v>
      </c>
      <c r="E1264" s="84">
        <v>40664</v>
      </c>
      <c r="F1264" s="84">
        <f t="shared" si="141"/>
        <v>44317</v>
      </c>
      <c r="G1264" s="254">
        <v>1206.1099999999999</v>
      </c>
      <c r="H1264" s="71" t="s">
        <v>4239</v>
      </c>
      <c r="I1264" s="71" t="s">
        <v>691</v>
      </c>
      <c r="J1264" s="79"/>
      <c r="K1264" s="55">
        <f t="shared" si="142"/>
        <v>2021</v>
      </c>
      <c r="L1264" s="80"/>
      <c r="M1264" s="80"/>
      <c r="N1264" s="73" t="s">
        <v>4240</v>
      </c>
      <c r="O1264" s="73" t="s">
        <v>4243</v>
      </c>
      <c r="P1264" s="74" t="s">
        <v>4229</v>
      </c>
      <c r="Q1264" s="75"/>
      <c r="R1264" s="230">
        <v>4369.5</v>
      </c>
      <c r="S1264" s="230"/>
      <c r="T1264" s="230">
        <v>4369.5</v>
      </c>
      <c r="U1264" s="231">
        <v>1810.5</v>
      </c>
      <c r="V1264" s="230"/>
      <c r="W1264" s="230"/>
      <c r="X1264" s="231"/>
      <c r="Y1264" s="71"/>
      <c r="Z1264" s="101">
        <v>0.1</v>
      </c>
      <c r="AA1264" s="102">
        <v>0.09</v>
      </c>
      <c r="AB1264" s="77"/>
      <c r="AC1264" s="78"/>
    </row>
    <row r="1265" spans="1:29" ht="53" customHeight="1" x14ac:dyDescent="0.2">
      <c r="A1265" s="117" t="s">
        <v>4244</v>
      </c>
      <c r="B1265" s="118" t="e">
        <f t="shared" si="140"/>
        <v>#VALUE!</v>
      </c>
      <c r="C1265" s="118" t="s">
        <v>612</v>
      </c>
      <c r="D1265" s="113">
        <v>40619</v>
      </c>
      <c r="E1265" s="84">
        <v>40664</v>
      </c>
      <c r="F1265" s="84">
        <f t="shared" si="141"/>
        <v>44317</v>
      </c>
      <c r="G1265" s="254">
        <v>880.55</v>
      </c>
      <c r="H1265" s="71" t="s">
        <v>4239</v>
      </c>
      <c r="I1265" s="71" t="s">
        <v>691</v>
      </c>
      <c r="J1265" s="79"/>
      <c r="K1265" s="55">
        <f t="shared" si="142"/>
        <v>2021</v>
      </c>
      <c r="L1265" s="80"/>
      <c r="M1265" s="80"/>
      <c r="N1265" s="73" t="s">
        <v>4240</v>
      </c>
      <c r="O1265" s="73" t="s">
        <v>4245</v>
      </c>
      <c r="P1265" s="74" t="s">
        <v>4229</v>
      </c>
      <c r="Q1265" s="75"/>
      <c r="R1265" s="230">
        <v>3228.5</v>
      </c>
      <c r="S1265" s="230"/>
      <c r="T1265" s="230">
        <v>3228.5</v>
      </c>
      <c r="U1265" s="231">
        <v>1321.5</v>
      </c>
      <c r="V1265" s="230"/>
      <c r="W1265" s="230"/>
      <c r="X1265" s="231"/>
      <c r="Y1265" s="71"/>
      <c r="Z1265" s="101">
        <v>0.1</v>
      </c>
      <c r="AA1265" s="102">
        <v>0.09</v>
      </c>
      <c r="AB1265" s="77"/>
      <c r="AC1265" s="78"/>
    </row>
    <row r="1266" spans="1:29" ht="53" customHeight="1" x14ac:dyDescent="0.2">
      <c r="A1266" s="117" t="s">
        <v>4246</v>
      </c>
      <c r="B1266" s="118" t="e">
        <f t="shared" si="140"/>
        <v>#VALUE!</v>
      </c>
      <c r="C1266" s="118" t="s">
        <v>612</v>
      </c>
      <c r="D1266" s="113">
        <v>40619</v>
      </c>
      <c r="E1266" s="84">
        <v>40664</v>
      </c>
      <c r="F1266" s="84">
        <f t="shared" si="141"/>
        <v>44317</v>
      </c>
      <c r="G1266" s="254">
        <v>999.45</v>
      </c>
      <c r="H1266" s="71" t="s">
        <v>4239</v>
      </c>
      <c r="I1266" s="71" t="s">
        <v>691</v>
      </c>
      <c r="J1266" s="72" t="s">
        <v>4247</v>
      </c>
      <c r="K1266" s="55">
        <f t="shared" si="142"/>
        <v>2021</v>
      </c>
      <c r="L1266" s="81"/>
      <c r="M1266" s="81"/>
      <c r="N1266" s="73" t="s">
        <v>4240</v>
      </c>
      <c r="O1266" s="73" t="s">
        <v>4248</v>
      </c>
      <c r="P1266" s="74" t="s">
        <v>4229</v>
      </c>
      <c r="Q1266" s="75"/>
      <c r="R1266" s="230">
        <v>3645</v>
      </c>
      <c r="S1266" s="230">
        <v>168000</v>
      </c>
      <c r="T1266" s="230">
        <v>171645</v>
      </c>
      <c r="U1266" s="231">
        <v>1500</v>
      </c>
      <c r="V1266" s="230"/>
      <c r="W1266" s="230"/>
      <c r="X1266" s="231"/>
      <c r="Y1266" s="71"/>
      <c r="Z1266" s="101">
        <v>0.1</v>
      </c>
      <c r="AA1266" s="102">
        <v>0.09</v>
      </c>
      <c r="AB1266" s="77"/>
      <c r="AC1266" s="78"/>
    </row>
    <row r="1267" spans="1:29" ht="53" customHeight="1" x14ac:dyDescent="0.2">
      <c r="A1267" s="117" t="s">
        <v>4249</v>
      </c>
      <c r="B1267" s="118" t="e">
        <f t="shared" si="140"/>
        <v>#VALUE!</v>
      </c>
      <c r="C1267" s="118" t="s">
        <v>612</v>
      </c>
      <c r="D1267" s="113">
        <v>40619</v>
      </c>
      <c r="E1267" s="84">
        <v>40664</v>
      </c>
      <c r="F1267" s="84">
        <f t="shared" si="141"/>
        <v>44317</v>
      </c>
      <c r="G1267" s="254">
        <v>944.25</v>
      </c>
      <c r="H1267" s="71" t="s">
        <v>4239</v>
      </c>
      <c r="I1267" s="71" t="s">
        <v>691</v>
      </c>
      <c r="J1267" s="79"/>
      <c r="K1267" s="55">
        <f t="shared" si="142"/>
        <v>2021</v>
      </c>
      <c r="L1267" s="80"/>
      <c r="M1267" s="80"/>
      <c r="N1267" s="73" t="s">
        <v>4240</v>
      </c>
      <c r="O1267" s="73" t="s">
        <v>4250</v>
      </c>
      <c r="P1267" s="74" t="s">
        <v>4229</v>
      </c>
      <c r="Q1267" s="75"/>
      <c r="R1267" s="230">
        <v>3452.5</v>
      </c>
      <c r="S1267" s="230"/>
      <c r="T1267" s="230">
        <v>3452.5</v>
      </c>
      <c r="U1267" s="231">
        <v>1417.5</v>
      </c>
      <c r="V1267" s="230"/>
      <c r="W1267" s="230"/>
      <c r="X1267" s="231"/>
      <c r="Y1267" s="71"/>
      <c r="Z1267" s="101">
        <v>0.1</v>
      </c>
      <c r="AA1267" s="102">
        <v>0.09</v>
      </c>
      <c r="AB1267" s="77"/>
      <c r="AC1267" s="78"/>
    </row>
    <row r="1268" spans="1:29" ht="53" customHeight="1" x14ac:dyDescent="0.2">
      <c r="A1268" s="117" t="s">
        <v>4251</v>
      </c>
      <c r="B1268" s="118" t="e">
        <f t="shared" si="140"/>
        <v>#VALUE!</v>
      </c>
      <c r="C1268" s="118" t="s">
        <v>612</v>
      </c>
      <c r="D1268" s="113">
        <v>40619</v>
      </c>
      <c r="E1268" s="84">
        <v>40664</v>
      </c>
      <c r="F1268" s="84">
        <f t="shared" si="141"/>
        <v>44317</v>
      </c>
      <c r="G1268" s="254">
        <v>1000</v>
      </c>
      <c r="H1268" s="71" t="s">
        <v>4239</v>
      </c>
      <c r="I1268" s="71" t="s">
        <v>691</v>
      </c>
      <c r="J1268" s="79"/>
      <c r="K1268" s="55">
        <f t="shared" si="142"/>
        <v>2021</v>
      </c>
      <c r="L1268" s="80"/>
      <c r="M1268" s="80"/>
      <c r="N1268" s="73" t="s">
        <v>4240</v>
      </c>
      <c r="O1268" s="73" t="s">
        <v>4252</v>
      </c>
      <c r="P1268" s="74" t="s">
        <v>4229</v>
      </c>
      <c r="Q1268" s="75"/>
      <c r="R1268" s="230">
        <v>3645</v>
      </c>
      <c r="S1268" s="230"/>
      <c r="T1268" s="230">
        <v>3645</v>
      </c>
      <c r="U1268" s="231">
        <v>1500</v>
      </c>
      <c r="V1268" s="230"/>
      <c r="W1268" s="230"/>
      <c r="X1268" s="231"/>
      <c r="Y1268" s="71"/>
      <c r="Z1268" s="101">
        <v>0.1</v>
      </c>
      <c r="AA1268" s="102">
        <v>0.09</v>
      </c>
      <c r="AB1268" s="77"/>
      <c r="AC1268" s="78"/>
    </row>
    <row r="1269" spans="1:29" ht="53" customHeight="1" x14ac:dyDescent="0.2">
      <c r="A1269" s="117" t="s">
        <v>4253</v>
      </c>
      <c r="B1269" s="118" t="e">
        <f t="shared" si="140"/>
        <v>#VALUE!</v>
      </c>
      <c r="C1269" s="118" t="s">
        <v>612</v>
      </c>
      <c r="D1269" s="113">
        <v>40619</v>
      </c>
      <c r="E1269" s="84">
        <v>40664</v>
      </c>
      <c r="F1269" s="84">
        <f t="shared" si="141"/>
        <v>44317</v>
      </c>
      <c r="G1269" s="254">
        <v>1217.5999999999999</v>
      </c>
      <c r="H1269" s="71" t="s">
        <v>4239</v>
      </c>
      <c r="I1269" s="71" t="s">
        <v>691</v>
      </c>
      <c r="J1269" s="79"/>
      <c r="K1269" s="55">
        <f t="shared" si="142"/>
        <v>2021</v>
      </c>
      <c r="L1269" s="80"/>
      <c r="M1269" s="80"/>
      <c r="N1269" s="73" t="s">
        <v>4240</v>
      </c>
      <c r="O1269" s="73" t="s">
        <v>4254</v>
      </c>
      <c r="P1269" s="74" t="s">
        <v>4229</v>
      </c>
      <c r="Q1269" s="75"/>
      <c r="R1269" s="230">
        <v>4408</v>
      </c>
      <c r="S1269" s="230"/>
      <c r="T1269" s="230">
        <v>4408</v>
      </c>
      <c r="U1269" s="231">
        <v>1827</v>
      </c>
      <c r="V1269" s="230"/>
      <c r="W1269" s="230"/>
      <c r="X1269" s="231"/>
      <c r="Y1269" s="71"/>
      <c r="Z1269" s="101">
        <v>0.1</v>
      </c>
      <c r="AA1269" s="102">
        <v>0.09</v>
      </c>
      <c r="AB1269" s="77"/>
      <c r="AC1269" s="78"/>
    </row>
    <row r="1270" spans="1:29" x14ac:dyDescent="0.2">
      <c r="A1270" s="117" t="s">
        <v>4255</v>
      </c>
      <c r="B1270" s="118" t="e">
        <f t="shared" si="140"/>
        <v>#VALUE!</v>
      </c>
      <c r="C1270" s="118" t="s">
        <v>612</v>
      </c>
      <c r="D1270" s="113">
        <v>40619</v>
      </c>
      <c r="E1270" s="84">
        <v>40664</v>
      </c>
      <c r="F1270" s="84">
        <f t="shared" si="141"/>
        <v>44317</v>
      </c>
      <c r="G1270" s="254">
        <v>1232.4100000000001</v>
      </c>
      <c r="H1270" s="71" t="s">
        <v>4239</v>
      </c>
      <c r="I1270" s="71" t="s">
        <v>691</v>
      </c>
      <c r="J1270" s="79"/>
      <c r="K1270" s="55">
        <f t="shared" si="142"/>
        <v>2021</v>
      </c>
      <c r="L1270" s="80"/>
      <c r="M1270" s="80"/>
      <c r="N1270" s="73" t="s">
        <v>4240</v>
      </c>
      <c r="O1270" s="73" t="s">
        <v>4203</v>
      </c>
      <c r="P1270" s="74" t="s">
        <v>4204</v>
      </c>
      <c r="Q1270" s="75"/>
      <c r="R1270" s="257">
        <v>4460.5</v>
      </c>
      <c r="S1270" s="257">
        <v>4932</v>
      </c>
      <c r="T1270" s="257">
        <v>9392.5</v>
      </c>
      <c r="U1270" s="231">
        <v>1849.5</v>
      </c>
      <c r="V1270" s="230"/>
      <c r="W1270" s="230"/>
      <c r="X1270" s="231"/>
      <c r="Y1270" s="71"/>
      <c r="Z1270" s="101">
        <v>0.1</v>
      </c>
      <c r="AA1270" s="102">
        <v>0.09</v>
      </c>
      <c r="AB1270" s="77"/>
      <c r="AC1270" s="78"/>
    </row>
    <row r="1271" spans="1:29" ht="15" hidden="1" customHeight="1" thickBot="1" x14ac:dyDescent="0.25">
      <c r="A1271" s="117"/>
      <c r="D1271" s="71"/>
      <c r="E1271" s="78"/>
      <c r="F1271" s="84"/>
      <c r="G1271" s="71"/>
      <c r="H1271" s="71"/>
      <c r="I1271" s="71"/>
      <c r="J1271" s="79"/>
      <c r="K1271" s="79"/>
      <c r="L1271" s="80"/>
      <c r="M1271" s="80"/>
      <c r="N1271" s="73"/>
      <c r="O1271" s="73"/>
      <c r="P1271" s="74"/>
      <c r="Q1271" s="75"/>
      <c r="R1271" s="241">
        <v>221123</v>
      </c>
      <c r="S1271" s="241">
        <v>859929</v>
      </c>
      <c r="T1271" s="241">
        <v>1081052</v>
      </c>
      <c r="U1271" s="231"/>
      <c r="V1271" s="230"/>
      <c r="W1271" s="230"/>
      <c r="X1271" s="231"/>
      <c r="Y1271" s="71"/>
      <c r="Z1271" s="71"/>
      <c r="AA1271" s="96"/>
      <c r="AB1271" s="77"/>
      <c r="AC1271" s="78"/>
    </row>
    <row r="1272" spans="1:29" hidden="1" x14ac:dyDescent="0.2">
      <c r="A1272" s="117"/>
      <c r="D1272" s="71"/>
      <c r="E1272" s="78"/>
      <c r="F1272" s="84"/>
      <c r="G1272" s="71"/>
      <c r="H1272" s="71"/>
      <c r="I1272" s="71"/>
      <c r="J1272" s="79"/>
      <c r="K1272" s="79"/>
      <c r="L1272" s="80"/>
      <c r="M1272" s="80"/>
      <c r="N1272" s="73"/>
      <c r="O1272" s="73"/>
      <c r="P1272" s="74"/>
      <c r="Q1272" s="75" t="s">
        <v>4256</v>
      </c>
      <c r="R1272" s="230">
        <v>221123</v>
      </c>
      <c r="S1272" s="230"/>
      <c r="T1272" s="230">
        <v>221123</v>
      </c>
      <c r="U1272" s="231"/>
      <c r="V1272" s="230"/>
      <c r="W1272" s="230"/>
      <c r="X1272" s="231"/>
      <c r="Y1272" s="71"/>
      <c r="Z1272" s="71"/>
      <c r="AA1272" s="96"/>
      <c r="AB1272" s="77"/>
      <c r="AC1272" s="78"/>
    </row>
    <row r="1273" spans="1:29" hidden="1" x14ac:dyDescent="0.2">
      <c r="A1273" s="117"/>
      <c r="D1273" s="71"/>
      <c r="E1273" s="78"/>
      <c r="F1273" s="84"/>
      <c r="G1273" s="71"/>
      <c r="H1273" s="71"/>
      <c r="I1273" s="71"/>
      <c r="J1273" s="79"/>
      <c r="K1273" s="79"/>
      <c r="L1273" s="80"/>
      <c r="M1273" s="80"/>
      <c r="N1273" s="73"/>
      <c r="O1273" s="73"/>
      <c r="P1273" s="74"/>
      <c r="Q1273" s="75" t="s">
        <v>3217</v>
      </c>
      <c r="R1273" s="230"/>
      <c r="S1273" s="230">
        <v>99000</v>
      </c>
      <c r="T1273" s="230">
        <v>99000</v>
      </c>
      <c r="U1273" s="231"/>
      <c r="V1273" s="230"/>
      <c r="W1273" s="230"/>
      <c r="X1273" s="231"/>
      <c r="Y1273" s="71"/>
      <c r="Z1273" s="71"/>
      <c r="AA1273" s="96"/>
      <c r="AB1273" s="77"/>
      <c r="AC1273" s="78"/>
    </row>
    <row r="1274" spans="1:29" hidden="1" x14ac:dyDescent="0.2">
      <c r="A1274" s="117"/>
      <c r="D1274" s="71"/>
      <c r="E1274" s="78"/>
      <c r="F1274" s="84"/>
      <c r="G1274" s="71"/>
      <c r="H1274" s="71"/>
      <c r="I1274" s="71"/>
      <c r="J1274" s="79"/>
      <c r="K1274" s="79"/>
      <c r="L1274" s="80"/>
      <c r="M1274" s="80"/>
      <c r="N1274" s="73"/>
      <c r="O1274" s="73"/>
      <c r="P1274" s="74"/>
      <c r="Q1274" s="75" t="s">
        <v>4257</v>
      </c>
      <c r="R1274" s="230"/>
      <c r="S1274" s="230">
        <v>760929</v>
      </c>
      <c r="T1274" s="230">
        <v>760929</v>
      </c>
      <c r="U1274" s="231"/>
      <c r="V1274" s="230"/>
      <c r="W1274" s="230"/>
      <c r="X1274" s="231"/>
      <c r="Y1274" s="71"/>
      <c r="Z1274" s="71"/>
      <c r="AA1274" s="96"/>
      <c r="AB1274" s="77"/>
      <c r="AC1274" s="78"/>
    </row>
    <row r="1275" spans="1:29" ht="15" hidden="1" customHeight="1" thickBot="1" x14ac:dyDescent="0.25">
      <c r="A1275" s="117"/>
      <c r="D1275" s="71"/>
      <c r="E1275" s="78"/>
      <c r="F1275" s="84"/>
      <c r="G1275" s="71"/>
      <c r="H1275" s="71"/>
      <c r="I1275" s="71"/>
      <c r="J1275" s="79"/>
      <c r="K1275" s="79"/>
      <c r="L1275" s="80"/>
      <c r="M1275" s="80"/>
      <c r="N1275" s="73"/>
      <c r="O1275" s="73"/>
      <c r="P1275" s="74"/>
      <c r="Q1275" s="75"/>
      <c r="R1275" s="241">
        <v>221123</v>
      </c>
      <c r="S1275" s="241">
        <v>859929</v>
      </c>
      <c r="T1275" s="241">
        <v>1081052</v>
      </c>
      <c r="U1275" s="231"/>
      <c r="V1275" s="230"/>
      <c r="W1275" s="230"/>
      <c r="X1275" s="231"/>
      <c r="Y1275" s="71"/>
      <c r="Z1275" s="71"/>
      <c r="AA1275" s="96"/>
      <c r="AB1275" s="77"/>
      <c r="AC1275" s="78"/>
    </row>
    <row r="1276" spans="1:29" hidden="1" x14ac:dyDescent="0.2">
      <c r="A1276" s="117"/>
      <c r="D1276" s="71"/>
      <c r="E1276" s="78"/>
      <c r="F1276" s="84"/>
      <c r="G1276" s="229"/>
      <c r="H1276" s="71"/>
      <c r="I1276" s="71"/>
      <c r="J1276" s="79"/>
      <c r="K1276" s="79"/>
      <c r="L1276" s="80"/>
      <c r="M1276" s="80"/>
      <c r="N1276" s="73"/>
      <c r="O1276" s="73"/>
      <c r="P1276" s="74"/>
      <c r="Q1276" s="75"/>
      <c r="R1276" s="230"/>
      <c r="S1276" s="230"/>
      <c r="T1276" s="230"/>
      <c r="U1276" s="231"/>
      <c r="V1276" s="230"/>
      <c r="W1276" s="230"/>
      <c r="X1276" s="231"/>
      <c r="Y1276" s="85"/>
      <c r="Z1276" s="85"/>
      <c r="AA1276" s="76"/>
      <c r="AB1276" s="77"/>
      <c r="AC1276" s="78"/>
    </row>
    <row r="1277" spans="1:29" hidden="1" x14ac:dyDescent="0.2">
      <c r="A1277" s="117"/>
      <c r="D1277" s="71"/>
      <c r="E1277" s="78"/>
      <c r="F1277" s="84"/>
      <c r="G1277" s="71"/>
      <c r="H1277" s="71"/>
      <c r="I1277" s="71"/>
      <c r="J1277" s="79"/>
      <c r="K1277" s="79"/>
      <c r="L1277" s="80"/>
      <c r="M1277" s="80"/>
      <c r="N1277" s="73"/>
      <c r="O1277" s="73"/>
      <c r="P1277" s="74"/>
      <c r="Q1277" s="75"/>
      <c r="R1277" s="230"/>
      <c r="S1277" s="230"/>
      <c r="T1277" s="230"/>
      <c r="U1277" s="231"/>
      <c r="V1277" s="230"/>
      <c r="W1277" s="230"/>
      <c r="X1277" s="231"/>
      <c r="Y1277" s="85"/>
      <c r="Z1277" s="85"/>
      <c r="AA1277" s="76"/>
      <c r="AB1277" s="77"/>
      <c r="AC1277" s="78"/>
    </row>
    <row r="1278" spans="1:29" ht="66" customHeight="1" x14ac:dyDescent="0.2">
      <c r="A1278" s="117" t="s">
        <v>4258</v>
      </c>
      <c r="B1278" s="118" t="e">
        <f t="shared" ref="B1278:B1309" si="143">IF(COUNTIF(GIS,A1278),"YES","NO")</f>
        <v>#VALUE!</v>
      </c>
      <c r="C1278" s="118" t="s">
        <v>612</v>
      </c>
      <c r="D1278" s="113">
        <v>40710</v>
      </c>
      <c r="E1278" s="103">
        <v>40878</v>
      </c>
      <c r="F1278" s="84">
        <f t="shared" ref="F1278:F1309" si="144">DATE(YEAR(E1278)+10,MONTH(E1278),DAY(E1278))</f>
        <v>44531</v>
      </c>
      <c r="G1278" s="229">
        <v>488</v>
      </c>
      <c r="H1278" s="237" t="s">
        <v>1693</v>
      </c>
      <c r="I1278" s="71" t="s">
        <v>676</v>
      </c>
      <c r="J1278" s="79"/>
      <c r="K1278" s="55">
        <f t="shared" ref="K1278:K1309" si="145">YEAR(F1278)</f>
        <v>2021</v>
      </c>
      <c r="L1278" s="80"/>
      <c r="M1278" s="80"/>
      <c r="N1278" s="73" t="s">
        <v>4259</v>
      </c>
      <c r="O1278" s="73" t="s">
        <v>4260</v>
      </c>
      <c r="P1278" s="74"/>
      <c r="Q1278" s="75" t="s">
        <v>4261</v>
      </c>
      <c r="R1278" s="230">
        <v>1853</v>
      </c>
      <c r="S1278" s="230">
        <v>976</v>
      </c>
      <c r="T1278" s="230">
        <v>2829</v>
      </c>
      <c r="U1278" s="261">
        <v>732</v>
      </c>
      <c r="V1278" s="262"/>
      <c r="W1278" s="262"/>
      <c r="X1278" s="261"/>
      <c r="Y1278" s="85"/>
      <c r="Z1278" s="101">
        <v>0.1</v>
      </c>
      <c r="AA1278" s="102">
        <v>0.09</v>
      </c>
      <c r="AB1278" s="77"/>
      <c r="AC1278" s="78"/>
    </row>
    <row r="1279" spans="1:29" ht="29" x14ac:dyDescent="0.2">
      <c r="A1279" s="117" t="s">
        <v>4262</v>
      </c>
      <c r="B1279" s="118" t="e">
        <f t="shared" si="143"/>
        <v>#VALUE!</v>
      </c>
      <c r="C1279" s="118" t="s">
        <v>612</v>
      </c>
      <c r="D1279" s="113">
        <v>40710</v>
      </c>
      <c r="E1279" s="103">
        <v>40878</v>
      </c>
      <c r="F1279" s="84">
        <f t="shared" si="144"/>
        <v>44531</v>
      </c>
      <c r="G1279" s="229">
        <v>240</v>
      </c>
      <c r="H1279" s="237" t="s">
        <v>1693</v>
      </c>
      <c r="I1279" s="71" t="s">
        <v>676</v>
      </c>
      <c r="J1279" s="79"/>
      <c r="K1279" s="55">
        <f t="shared" si="145"/>
        <v>2021</v>
      </c>
      <c r="L1279" s="80"/>
      <c r="M1279" s="80"/>
      <c r="N1279" s="73" t="s">
        <v>4259</v>
      </c>
      <c r="O1279" s="73" t="s">
        <v>4263</v>
      </c>
      <c r="P1279" s="74"/>
      <c r="Q1279" s="75" t="s">
        <v>4264</v>
      </c>
      <c r="R1279" s="230">
        <v>985</v>
      </c>
      <c r="S1279" s="230">
        <v>480</v>
      </c>
      <c r="T1279" s="230">
        <v>1465</v>
      </c>
      <c r="U1279" s="261">
        <v>360</v>
      </c>
      <c r="V1279" s="262"/>
      <c r="W1279" s="262"/>
      <c r="X1279" s="261"/>
      <c r="Y1279" s="85"/>
      <c r="Z1279" s="101">
        <v>0.1</v>
      </c>
      <c r="AA1279" s="102">
        <v>0.09</v>
      </c>
      <c r="AB1279" s="77"/>
      <c r="AC1279" s="78"/>
    </row>
    <row r="1280" spans="1:29" x14ac:dyDescent="0.2">
      <c r="A1280" s="117" t="s">
        <v>4265</v>
      </c>
      <c r="B1280" s="118" t="e">
        <f t="shared" si="143"/>
        <v>#VALUE!</v>
      </c>
      <c r="C1280" s="118" t="s">
        <v>612</v>
      </c>
      <c r="D1280" s="113">
        <v>40710</v>
      </c>
      <c r="E1280" s="84">
        <v>40756</v>
      </c>
      <c r="F1280" s="84">
        <f t="shared" si="144"/>
        <v>44409</v>
      </c>
      <c r="G1280" s="229">
        <v>39.549999999999997</v>
      </c>
      <c r="H1280" s="237" t="s">
        <v>3532</v>
      </c>
      <c r="I1280" s="71" t="s">
        <v>684</v>
      </c>
      <c r="J1280" s="79"/>
      <c r="K1280" s="55">
        <f t="shared" si="145"/>
        <v>2021</v>
      </c>
      <c r="L1280" s="80"/>
      <c r="M1280" s="80"/>
      <c r="N1280" s="73" t="s">
        <v>4266</v>
      </c>
      <c r="O1280" s="73" t="s">
        <v>4267</v>
      </c>
      <c r="P1280" s="74"/>
      <c r="Q1280" s="75" t="s">
        <v>4268</v>
      </c>
      <c r="R1280" s="230">
        <v>285</v>
      </c>
      <c r="S1280" s="230">
        <v>120</v>
      </c>
      <c r="T1280" s="230">
        <v>405</v>
      </c>
      <c r="U1280" s="261">
        <v>60</v>
      </c>
      <c r="V1280" s="262"/>
      <c r="W1280" s="262"/>
      <c r="X1280" s="261"/>
      <c r="Y1280" s="85"/>
      <c r="Z1280" s="101">
        <v>0.1</v>
      </c>
      <c r="AA1280" s="102">
        <v>0.09</v>
      </c>
      <c r="AB1280" s="77"/>
      <c r="AC1280" s="78"/>
    </row>
    <row r="1281" spans="1:29" ht="27" customHeight="1" x14ac:dyDescent="0.2">
      <c r="A1281" s="117" t="s">
        <v>4269</v>
      </c>
      <c r="B1281" s="118" t="e">
        <f t="shared" si="143"/>
        <v>#VALUE!</v>
      </c>
      <c r="C1281" s="118" t="s">
        <v>612</v>
      </c>
      <c r="D1281" s="113">
        <v>40710</v>
      </c>
      <c r="E1281" s="84">
        <v>40756</v>
      </c>
      <c r="F1281" s="84">
        <f t="shared" si="144"/>
        <v>44409</v>
      </c>
      <c r="G1281" s="229">
        <v>377.03</v>
      </c>
      <c r="H1281" s="237" t="s">
        <v>3532</v>
      </c>
      <c r="I1281" s="71" t="s">
        <v>684</v>
      </c>
      <c r="J1281" s="79"/>
      <c r="K1281" s="55">
        <f t="shared" si="145"/>
        <v>2021</v>
      </c>
      <c r="L1281" s="80"/>
      <c r="M1281" s="80"/>
      <c r="N1281" s="73" t="s">
        <v>4266</v>
      </c>
      <c r="O1281" s="73" t="s">
        <v>4270</v>
      </c>
      <c r="P1281" s="74"/>
      <c r="Q1281" s="75" t="s">
        <v>4268</v>
      </c>
      <c r="R1281" s="230">
        <v>1468</v>
      </c>
      <c r="S1281" s="230">
        <v>756</v>
      </c>
      <c r="T1281" s="230">
        <v>2224</v>
      </c>
      <c r="U1281" s="261">
        <v>567</v>
      </c>
      <c r="V1281" s="262"/>
      <c r="W1281" s="262"/>
      <c r="X1281" s="261"/>
      <c r="Y1281" s="85"/>
      <c r="Z1281" s="101">
        <v>0.1</v>
      </c>
      <c r="AA1281" s="102">
        <v>0.09</v>
      </c>
      <c r="AB1281" s="77"/>
      <c r="AC1281" s="78"/>
    </row>
    <row r="1282" spans="1:29" ht="27" customHeight="1" x14ac:dyDescent="0.2">
      <c r="A1282" s="117" t="s">
        <v>4271</v>
      </c>
      <c r="B1282" s="118" t="e">
        <f t="shared" si="143"/>
        <v>#VALUE!</v>
      </c>
      <c r="C1282" s="118" t="s">
        <v>612</v>
      </c>
      <c r="D1282" s="113">
        <v>40710</v>
      </c>
      <c r="E1282" s="84">
        <v>40756</v>
      </c>
      <c r="F1282" s="84">
        <f t="shared" si="144"/>
        <v>44409</v>
      </c>
      <c r="G1282" s="229">
        <v>757.41</v>
      </c>
      <c r="H1282" s="237" t="s">
        <v>3532</v>
      </c>
      <c r="I1282" s="71" t="s">
        <v>684</v>
      </c>
      <c r="J1282" s="79"/>
      <c r="K1282" s="55">
        <f t="shared" si="145"/>
        <v>2021</v>
      </c>
      <c r="L1282" s="80"/>
      <c r="M1282" s="80"/>
      <c r="N1282" s="73" t="s">
        <v>4266</v>
      </c>
      <c r="O1282" s="73" t="s">
        <v>4272</v>
      </c>
      <c r="P1282" s="74"/>
      <c r="Q1282" s="75" t="s">
        <v>4273</v>
      </c>
      <c r="R1282" s="230">
        <v>2798</v>
      </c>
      <c r="S1282" s="230">
        <v>2274</v>
      </c>
      <c r="T1282" s="230">
        <v>5072</v>
      </c>
      <c r="U1282" s="261">
        <v>1137</v>
      </c>
      <c r="V1282" s="262"/>
      <c r="W1282" s="262"/>
      <c r="X1282" s="261"/>
      <c r="Y1282" s="85"/>
      <c r="Z1282" s="101">
        <v>0.1</v>
      </c>
      <c r="AA1282" s="102">
        <v>0.09</v>
      </c>
      <c r="AB1282" s="77"/>
      <c r="AC1282" s="78"/>
    </row>
    <row r="1283" spans="1:29" ht="27" customHeight="1" x14ac:dyDescent="0.2">
      <c r="A1283" s="117" t="s">
        <v>4274</v>
      </c>
      <c r="B1283" s="118" t="e">
        <f t="shared" si="143"/>
        <v>#VALUE!</v>
      </c>
      <c r="C1283" s="118" t="s">
        <v>612</v>
      </c>
      <c r="D1283" s="113">
        <v>40710</v>
      </c>
      <c r="E1283" s="84">
        <v>40756</v>
      </c>
      <c r="F1283" s="84">
        <f t="shared" si="144"/>
        <v>44409</v>
      </c>
      <c r="G1283" s="229">
        <v>715.99</v>
      </c>
      <c r="H1283" s="237" t="s">
        <v>3532</v>
      </c>
      <c r="I1283" s="71" t="s">
        <v>684</v>
      </c>
      <c r="J1283" s="79"/>
      <c r="K1283" s="55">
        <f t="shared" si="145"/>
        <v>2021</v>
      </c>
      <c r="L1283" s="80"/>
      <c r="M1283" s="80"/>
      <c r="N1283" s="73" t="s">
        <v>4266</v>
      </c>
      <c r="O1283" s="73" t="s">
        <v>4275</v>
      </c>
      <c r="P1283" s="74"/>
      <c r="Q1283" s="75" t="s">
        <v>4276</v>
      </c>
      <c r="R1283" s="230">
        <v>2651</v>
      </c>
      <c r="S1283" s="230">
        <v>1432</v>
      </c>
      <c r="T1283" s="230">
        <v>4083</v>
      </c>
      <c r="U1283" s="261">
        <v>1074</v>
      </c>
      <c r="V1283" s="262"/>
      <c r="W1283" s="262"/>
      <c r="X1283" s="261"/>
      <c r="Y1283" s="85"/>
      <c r="Z1283" s="101">
        <v>0.1</v>
      </c>
      <c r="AA1283" s="102">
        <v>0.09</v>
      </c>
      <c r="AB1283" s="77"/>
      <c r="AC1283" s="78"/>
    </row>
    <row r="1284" spans="1:29" ht="40" customHeight="1" x14ac:dyDescent="0.2">
      <c r="A1284" s="117" t="s">
        <v>4277</v>
      </c>
      <c r="B1284" s="118" t="e">
        <f t="shared" si="143"/>
        <v>#VALUE!</v>
      </c>
      <c r="C1284" s="118" t="s">
        <v>612</v>
      </c>
      <c r="D1284" s="113">
        <v>40710</v>
      </c>
      <c r="E1284" s="84">
        <v>40756</v>
      </c>
      <c r="F1284" s="84">
        <f t="shared" si="144"/>
        <v>44409</v>
      </c>
      <c r="G1284" s="229">
        <v>1613.27</v>
      </c>
      <c r="H1284" s="237" t="s">
        <v>3532</v>
      </c>
      <c r="I1284" s="71" t="s">
        <v>684</v>
      </c>
      <c r="J1284" s="79"/>
      <c r="K1284" s="55">
        <f t="shared" si="145"/>
        <v>2021</v>
      </c>
      <c r="L1284" s="80"/>
      <c r="M1284" s="80"/>
      <c r="N1284" s="73" t="s">
        <v>4266</v>
      </c>
      <c r="O1284" s="73" t="s">
        <v>4278</v>
      </c>
      <c r="P1284" s="74"/>
      <c r="Q1284" s="75" t="s">
        <v>4279</v>
      </c>
      <c r="R1284" s="230">
        <v>5794</v>
      </c>
      <c r="S1284" s="230">
        <v>3228</v>
      </c>
      <c r="T1284" s="230">
        <v>9022</v>
      </c>
      <c r="U1284" s="261">
        <v>2421</v>
      </c>
      <c r="V1284" s="262"/>
      <c r="W1284" s="262"/>
      <c r="X1284" s="261"/>
      <c r="Y1284" s="85"/>
      <c r="Z1284" s="101">
        <v>0.1</v>
      </c>
      <c r="AA1284" s="102">
        <v>0.09</v>
      </c>
      <c r="AB1284" s="77"/>
      <c r="AC1284" s="78"/>
    </row>
    <row r="1285" spans="1:29" ht="27" customHeight="1" x14ac:dyDescent="0.2">
      <c r="A1285" s="117" t="s">
        <v>4280</v>
      </c>
      <c r="B1285" s="118" t="e">
        <f t="shared" si="143"/>
        <v>#VALUE!</v>
      </c>
      <c r="C1285" s="118" t="s">
        <v>612</v>
      </c>
      <c r="D1285" s="113">
        <v>40710</v>
      </c>
      <c r="E1285" s="84">
        <v>40756</v>
      </c>
      <c r="F1285" s="84">
        <f t="shared" si="144"/>
        <v>44409</v>
      </c>
      <c r="G1285" s="229">
        <v>242.37</v>
      </c>
      <c r="H1285" s="237" t="s">
        <v>3532</v>
      </c>
      <c r="I1285" s="71" t="s">
        <v>684</v>
      </c>
      <c r="J1285" s="79"/>
      <c r="K1285" s="55">
        <f t="shared" si="145"/>
        <v>2021</v>
      </c>
      <c r="L1285" s="80"/>
      <c r="M1285" s="80"/>
      <c r="N1285" s="73" t="s">
        <v>4266</v>
      </c>
      <c r="O1285" s="73" t="s">
        <v>4281</v>
      </c>
      <c r="P1285" s="74"/>
      <c r="Q1285" s="75" t="s">
        <v>4282</v>
      </c>
      <c r="R1285" s="230">
        <v>995.5</v>
      </c>
      <c r="S1285" s="230">
        <v>729</v>
      </c>
      <c r="T1285" s="230">
        <v>1724.5</v>
      </c>
      <c r="U1285" s="261">
        <v>364.5</v>
      </c>
      <c r="V1285" s="262"/>
      <c r="W1285" s="262"/>
      <c r="X1285" s="261"/>
      <c r="Y1285" s="85"/>
      <c r="Z1285" s="101">
        <v>0.1</v>
      </c>
      <c r="AA1285" s="102">
        <v>0.09</v>
      </c>
      <c r="AB1285" s="77"/>
      <c r="AC1285" s="78"/>
    </row>
    <row r="1286" spans="1:29" x14ac:dyDescent="0.2">
      <c r="A1286" s="117" t="s">
        <v>4283</v>
      </c>
      <c r="B1286" s="118" t="e">
        <f t="shared" si="143"/>
        <v>#VALUE!</v>
      </c>
      <c r="C1286" s="118" t="s">
        <v>612</v>
      </c>
      <c r="D1286" s="113">
        <v>40710</v>
      </c>
      <c r="E1286" s="84">
        <v>40756</v>
      </c>
      <c r="F1286" s="84">
        <f t="shared" si="144"/>
        <v>44409</v>
      </c>
      <c r="G1286" s="229">
        <v>79.64</v>
      </c>
      <c r="H1286" s="237" t="s">
        <v>3532</v>
      </c>
      <c r="I1286" s="71" t="s">
        <v>684</v>
      </c>
      <c r="J1286" s="79"/>
      <c r="K1286" s="55">
        <f t="shared" si="145"/>
        <v>2021</v>
      </c>
      <c r="L1286" s="80"/>
      <c r="M1286" s="80"/>
      <c r="N1286" s="73" t="s">
        <v>4284</v>
      </c>
      <c r="O1286" s="73" t="s">
        <v>4285</v>
      </c>
      <c r="P1286" s="74"/>
      <c r="Q1286" s="75" t="s">
        <v>4286</v>
      </c>
      <c r="R1286" s="230">
        <v>425</v>
      </c>
      <c r="S1286" s="230">
        <v>320</v>
      </c>
      <c r="T1286" s="230">
        <v>745</v>
      </c>
      <c r="U1286" s="261">
        <v>120</v>
      </c>
      <c r="V1286" s="262"/>
      <c r="W1286" s="262"/>
      <c r="X1286" s="261"/>
      <c r="Y1286" s="85"/>
      <c r="Z1286" s="101">
        <v>0.1</v>
      </c>
      <c r="AA1286" s="102">
        <v>0.09</v>
      </c>
      <c r="AB1286" s="77"/>
      <c r="AC1286" s="78"/>
    </row>
    <row r="1287" spans="1:29" x14ac:dyDescent="0.2">
      <c r="A1287" s="117" t="s">
        <v>4287</v>
      </c>
      <c r="B1287" s="118" t="e">
        <f t="shared" si="143"/>
        <v>#VALUE!</v>
      </c>
      <c r="C1287" s="118" t="s">
        <v>612</v>
      </c>
      <c r="D1287" s="113">
        <v>40710</v>
      </c>
      <c r="E1287" s="84">
        <v>40756</v>
      </c>
      <c r="F1287" s="84">
        <f t="shared" si="144"/>
        <v>44409</v>
      </c>
      <c r="G1287" s="229">
        <v>79.66</v>
      </c>
      <c r="H1287" s="237" t="s">
        <v>3532</v>
      </c>
      <c r="I1287" s="71" t="s">
        <v>684</v>
      </c>
      <c r="J1287" s="79"/>
      <c r="K1287" s="55">
        <f t="shared" si="145"/>
        <v>2021</v>
      </c>
      <c r="L1287" s="80"/>
      <c r="M1287" s="80"/>
      <c r="N1287" s="73" t="s">
        <v>4284</v>
      </c>
      <c r="O1287" s="73" t="s">
        <v>4288</v>
      </c>
      <c r="P1287" s="74"/>
      <c r="Q1287" s="75" t="s">
        <v>4289</v>
      </c>
      <c r="R1287" s="230">
        <v>425</v>
      </c>
      <c r="S1287" s="230">
        <v>240</v>
      </c>
      <c r="T1287" s="230">
        <v>665</v>
      </c>
      <c r="U1287" s="261">
        <v>120</v>
      </c>
      <c r="V1287" s="262"/>
      <c r="W1287" s="262"/>
      <c r="X1287" s="261"/>
      <c r="Y1287" s="85"/>
      <c r="Z1287" s="101">
        <v>0.1</v>
      </c>
      <c r="AA1287" s="102">
        <v>0.09</v>
      </c>
      <c r="AB1287" s="77"/>
      <c r="AC1287" s="78"/>
    </row>
    <row r="1288" spans="1:29" x14ac:dyDescent="0.2">
      <c r="A1288" s="117" t="s">
        <v>4290</v>
      </c>
      <c r="B1288" s="118" t="e">
        <f t="shared" si="143"/>
        <v>#VALUE!</v>
      </c>
      <c r="C1288" s="118" t="s">
        <v>612</v>
      </c>
      <c r="D1288" s="113">
        <v>40710</v>
      </c>
      <c r="E1288" s="84">
        <v>40756</v>
      </c>
      <c r="F1288" s="84">
        <f t="shared" si="144"/>
        <v>44409</v>
      </c>
      <c r="G1288" s="229">
        <v>279.77999999999997</v>
      </c>
      <c r="H1288" s="237" t="s">
        <v>3532</v>
      </c>
      <c r="I1288" s="71" t="s">
        <v>684</v>
      </c>
      <c r="J1288" s="79"/>
      <c r="K1288" s="55">
        <f t="shared" si="145"/>
        <v>2021</v>
      </c>
      <c r="L1288" s="80"/>
      <c r="M1288" s="80"/>
      <c r="N1288" s="73" t="s">
        <v>4284</v>
      </c>
      <c r="O1288" s="73" t="s">
        <v>4291</v>
      </c>
      <c r="P1288" s="74"/>
      <c r="Q1288" s="75" t="s">
        <v>4292</v>
      </c>
      <c r="R1288" s="230">
        <v>1125</v>
      </c>
      <c r="S1288" s="230">
        <v>1300</v>
      </c>
      <c r="T1288" s="230">
        <v>2425</v>
      </c>
      <c r="U1288" s="261">
        <v>420</v>
      </c>
      <c r="V1288" s="262"/>
      <c r="W1288" s="262"/>
      <c r="X1288" s="261"/>
      <c r="Y1288" s="85"/>
      <c r="Z1288" s="101">
        <v>0.1</v>
      </c>
      <c r="AA1288" s="102">
        <v>0.09</v>
      </c>
      <c r="AB1288" s="77"/>
      <c r="AC1288" s="78"/>
    </row>
    <row r="1289" spans="1:29" x14ac:dyDescent="0.2">
      <c r="A1289" s="117" t="s">
        <v>4293</v>
      </c>
      <c r="B1289" s="118" t="e">
        <f t="shared" si="143"/>
        <v>#VALUE!</v>
      </c>
      <c r="C1289" s="118" t="s">
        <v>612</v>
      </c>
      <c r="D1289" s="113">
        <v>40710</v>
      </c>
      <c r="E1289" s="84">
        <v>40756</v>
      </c>
      <c r="F1289" s="84">
        <f t="shared" si="144"/>
        <v>44409</v>
      </c>
      <c r="G1289" s="229">
        <v>79.69</v>
      </c>
      <c r="H1289" s="237" t="s">
        <v>3532</v>
      </c>
      <c r="I1289" s="71" t="s">
        <v>684</v>
      </c>
      <c r="J1289" s="79"/>
      <c r="K1289" s="55">
        <f t="shared" si="145"/>
        <v>2021</v>
      </c>
      <c r="L1289" s="80"/>
      <c r="M1289" s="80"/>
      <c r="N1289" s="73" t="s">
        <v>4284</v>
      </c>
      <c r="O1289" s="73" t="s">
        <v>4294</v>
      </c>
      <c r="P1289" s="74"/>
      <c r="Q1289" s="75" t="s">
        <v>4295</v>
      </c>
      <c r="R1289" s="230">
        <v>425</v>
      </c>
      <c r="S1289" s="230">
        <v>640</v>
      </c>
      <c r="T1289" s="230">
        <v>1065</v>
      </c>
      <c r="U1289" s="261">
        <v>120</v>
      </c>
      <c r="V1289" s="262"/>
      <c r="W1289" s="262"/>
      <c r="X1289" s="261"/>
      <c r="Y1289" s="85"/>
      <c r="Z1289" s="101">
        <v>0.1</v>
      </c>
      <c r="AA1289" s="102">
        <v>0.09</v>
      </c>
      <c r="AB1289" s="77"/>
      <c r="AC1289" s="78"/>
    </row>
    <row r="1290" spans="1:29" x14ac:dyDescent="0.2">
      <c r="A1290" s="117" t="s">
        <v>4296</v>
      </c>
      <c r="B1290" s="118" t="e">
        <f t="shared" si="143"/>
        <v>#VALUE!</v>
      </c>
      <c r="C1290" s="118" t="s">
        <v>612</v>
      </c>
      <c r="D1290" s="113">
        <v>40710</v>
      </c>
      <c r="E1290" s="84">
        <v>40756</v>
      </c>
      <c r="F1290" s="84">
        <f t="shared" si="144"/>
        <v>44409</v>
      </c>
      <c r="G1290" s="229">
        <v>399.6</v>
      </c>
      <c r="H1290" s="237" t="s">
        <v>3532</v>
      </c>
      <c r="I1290" s="71" t="s">
        <v>684</v>
      </c>
      <c r="J1290" s="79"/>
      <c r="K1290" s="55">
        <f t="shared" si="145"/>
        <v>2021</v>
      </c>
      <c r="L1290" s="80"/>
      <c r="M1290" s="80"/>
      <c r="N1290" s="73" t="s">
        <v>4284</v>
      </c>
      <c r="O1290" s="73" t="s">
        <v>4297</v>
      </c>
      <c r="P1290" s="74"/>
      <c r="Q1290" s="75" t="s">
        <v>4298</v>
      </c>
      <c r="R1290" s="230">
        <v>1545</v>
      </c>
      <c r="S1290" s="230">
        <v>800</v>
      </c>
      <c r="T1290" s="230">
        <v>2345</v>
      </c>
      <c r="U1290" s="261">
        <v>600</v>
      </c>
      <c r="V1290" s="262"/>
      <c r="W1290" s="262"/>
      <c r="X1290" s="261"/>
      <c r="Y1290" s="85"/>
      <c r="Z1290" s="101">
        <v>0.1</v>
      </c>
      <c r="AA1290" s="102">
        <v>0.09</v>
      </c>
      <c r="AB1290" s="77"/>
      <c r="AC1290" s="78"/>
    </row>
    <row r="1291" spans="1:29" x14ac:dyDescent="0.2">
      <c r="A1291" s="117" t="s">
        <v>4299</v>
      </c>
      <c r="B1291" s="118" t="e">
        <f t="shared" si="143"/>
        <v>#VALUE!</v>
      </c>
      <c r="C1291" s="118" t="s">
        <v>612</v>
      </c>
      <c r="D1291" s="113">
        <v>40710</v>
      </c>
      <c r="E1291" s="103">
        <v>40787</v>
      </c>
      <c r="F1291" s="84">
        <f t="shared" si="144"/>
        <v>44440</v>
      </c>
      <c r="G1291" s="229">
        <v>40.200000000000003</v>
      </c>
      <c r="H1291" s="237" t="s">
        <v>4300</v>
      </c>
      <c r="I1291" s="71" t="s">
        <v>691</v>
      </c>
      <c r="J1291" s="79"/>
      <c r="K1291" s="55">
        <f t="shared" si="145"/>
        <v>2021</v>
      </c>
      <c r="L1291" s="80"/>
      <c r="M1291" s="80"/>
      <c r="N1291" s="73" t="s">
        <v>4301</v>
      </c>
      <c r="O1291" s="73" t="s">
        <v>4302</v>
      </c>
      <c r="P1291" s="74"/>
      <c r="Q1291" s="75" t="s">
        <v>4303</v>
      </c>
      <c r="R1291" s="230">
        <v>288.5</v>
      </c>
      <c r="S1291" s="230">
        <v>0</v>
      </c>
      <c r="T1291" s="230">
        <v>288.5</v>
      </c>
      <c r="U1291" s="261">
        <v>61.5</v>
      </c>
      <c r="V1291" s="262"/>
      <c r="W1291" s="262"/>
      <c r="X1291" s="261"/>
      <c r="Y1291" s="85"/>
      <c r="Z1291" s="101">
        <v>0.1</v>
      </c>
      <c r="AA1291" s="102">
        <v>0.09</v>
      </c>
      <c r="AB1291" s="77"/>
      <c r="AC1291" s="78"/>
    </row>
    <row r="1292" spans="1:29" ht="53" customHeight="1" x14ac:dyDescent="0.2">
      <c r="A1292" s="117" t="s">
        <v>4304</v>
      </c>
      <c r="B1292" s="118" t="e">
        <f t="shared" si="143"/>
        <v>#VALUE!</v>
      </c>
      <c r="C1292" s="118" t="s">
        <v>612</v>
      </c>
      <c r="D1292" s="113">
        <v>40710</v>
      </c>
      <c r="E1292" s="84">
        <v>40756</v>
      </c>
      <c r="F1292" s="84">
        <f t="shared" si="144"/>
        <v>44409</v>
      </c>
      <c r="G1292" s="229">
        <v>35.19</v>
      </c>
      <c r="H1292" s="237" t="s">
        <v>906</v>
      </c>
      <c r="I1292" s="71" t="s">
        <v>691</v>
      </c>
      <c r="J1292" s="79"/>
      <c r="K1292" s="55">
        <f t="shared" si="145"/>
        <v>2021</v>
      </c>
      <c r="L1292" s="80"/>
      <c r="M1292" s="80"/>
      <c r="N1292" s="73" t="s">
        <v>4305</v>
      </c>
      <c r="O1292" s="73" t="s">
        <v>4306</v>
      </c>
      <c r="P1292" s="74"/>
      <c r="Q1292" s="75" t="s">
        <v>4307</v>
      </c>
      <c r="R1292" s="230">
        <v>271</v>
      </c>
      <c r="S1292" s="230">
        <v>0</v>
      </c>
      <c r="T1292" s="230">
        <v>271</v>
      </c>
      <c r="U1292" s="261">
        <v>54</v>
      </c>
      <c r="V1292" s="262"/>
      <c r="W1292" s="262"/>
      <c r="X1292" s="261"/>
      <c r="Y1292" s="85"/>
      <c r="Z1292" s="101">
        <v>0.1</v>
      </c>
      <c r="AA1292" s="102">
        <v>0.09</v>
      </c>
      <c r="AB1292" s="77"/>
      <c r="AC1292" s="78"/>
    </row>
    <row r="1293" spans="1:29" x14ac:dyDescent="0.2">
      <c r="A1293" s="117" t="s">
        <v>4308</v>
      </c>
      <c r="B1293" s="118" t="e">
        <f t="shared" si="143"/>
        <v>#VALUE!</v>
      </c>
      <c r="C1293" s="118" t="s">
        <v>612</v>
      </c>
      <c r="D1293" s="113">
        <v>40710</v>
      </c>
      <c r="E1293" s="84">
        <v>40756</v>
      </c>
      <c r="F1293" s="84">
        <f t="shared" si="144"/>
        <v>44409</v>
      </c>
      <c r="G1293" s="229">
        <v>638.96</v>
      </c>
      <c r="H1293" s="237" t="s">
        <v>906</v>
      </c>
      <c r="I1293" s="71" t="s">
        <v>691</v>
      </c>
      <c r="J1293" s="79"/>
      <c r="K1293" s="55">
        <f t="shared" si="145"/>
        <v>2021</v>
      </c>
      <c r="L1293" s="80"/>
      <c r="M1293" s="80"/>
      <c r="N1293" s="73" t="s">
        <v>4305</v>
      </c>
      <c r="O1293" s="73" t="s">
        <v>4309</v>
      </c>
      <c r="P1293" s="74"/>
      <c r="Q1293" s="75" t="s">
        <v>4310</v>
      </c>
      <c r="R1293" s="230">
        <v>2381.5</v>
      </c>
      <c r="S1293" s="230">
        <v>0</v>
      </c>
      <c r="T1293" s="230">
        <v>2381.5</v>
      </c>
      <c r="U1293" s="261">
        <v>958.5</v>
      </c>
      <c r="V1293" s="262"/>
      <c r="W1293" s="262"/>
      <c r="X1293" s="261"/>
      <c r="Y1293" s="85"/>
      <c r="Z1293" s="101">
        <v>0.1</v>
      </c>
      <c r="AA1293" s="102">
        <v>0.09</v>
      </c>
      <c r="AB1293" s="77"/>
      <c r="AC1293" s="78"/>
    </row>
    <row r="1294" spans="1:29" x14ac:dyDescent="0.2">
      <c r="A1294" s="117" t="s">
        <v>4311</v>
      </c>
      <c r="B1294" s="118" t="e">
        <f t="shared" si="143"/>
        <v>#VALUE!</v>
      </c>
      <c r="C1294" s="118" t="s">
        <v>612</v>
      </c>
      <c r="D1294" s="113">
        <v>40710</v>
      </c>
      <c r="E1294" s="84">
        <v>40756</v>
      </c>
      <c r="F1294" s="84">
        <f t="shared" si="144"/>
        <v>44409</v>
      </c>
      <c r="G1294" s="229">
        <v>159.19</v>
      </c>
      <c r="H1294" s="237" t="s">
        <v>906</v>
      </c>
      <c r="I1294" s="71" t="s">
        <v>691</v>
      </c>
      <c r="J1294" s="79"/>
      <c r="K1294" s="55">
        <f t="shared" si="145"/>
        <v>2021</v>
      </c>
      <c r="L1294" s="80"/>
      <c r="M1294" s="80"/>
      <c r="N1294" s="73" t="s">
        <v>4305</v>
      </c>
      <c r="O1294" s="73" t="s">
        <v>4312</v>
      </c>
      <c r="P1294" s="74"/>
      <c r="Q1294" s="75" t="s">
        <v>4313</v>
      </c>
      <c r="R1294" s="230">
        <v>705</v>
      </c>
      <c r="S1294" s="230">
        <v>0</v>
      </c>
      <c r="T1294" s="230">
        <v>705</v>
      </c>
      <c r="U1294" s="261">
        <v>240</v>
      </c>
      <c r="V1294" s="262"/>
      <c r="W1294" s="262"/>
      <c r="X1294" s="261"/>
      <c r="Y1294" s="85"/>
      <c r="Z1294" s="101">
        <v>0.1</v>
      </c>
      <c r="AA1294" s="102">
        <v>0.09</v>
      </c>
      <c r="AB1294" s="77"/>
      <c r="AC1294" s="78"/>
    </row>
    <row r="1295" spans="1:29" x14ac:dyDescent="0.2">
      <c r="A1295" s="117" t="s">
        <v>4314</v>
      </c>
      <c r="B1295" s="118" t="e">
        <f t="shared" si="143"/>
        <v>#VALUE!</v>
      </c>
      <c r="C1295" s="118" t="s">
        <v>612</v>
      </c>
      <c r="D1295" s="113">
        <v>40710</v>
      </c>
      <c r="E1295" s="84">
        <v>40756</v>
      </c>
      <c r="F1295" s="84">
        <f t="shared" si="144"/>
        <v>44409</v>
      </c>
      <c r="G1295" s="229">
        <v>199.61</v>
      </c>
      <c r="H1295" s="237" t="s">
        <v>906</v>
      </c>
      <c r="I1295" s="71" t="s">
        <v>691</v>
      </c>
      <c r="J1295" s="79"/>
      <c r="K1295" s="55">
        <f t="shared" si="145"/>
        <v>2021</v>
      </c>
      <c r="L1295" s="80"/>
      <c r="M1295" s="80"/>
      <c r="N1295" s="73" t="s">
        <v>4305</v>
      </c>
      <c r="O1295" s="73" t="s">
        <v>4315</v>
      </c>
      <c r="P1295" s="74"/>
      <c r="Q1295" s="75" t="s">
        <v>4316</v>
      </c>
      <c r="R1295" s="230">
        <v>845</v>
      </c>
      <c r="S1295" s="230">
        <v>0</v>
      </c>
      <c r="T1295" s="230">
        <v>845</v>
      </c>
      <c r="U1295" s="261">
        <v>300</v>
      </c>
      <c r="V1295" s="262"/>
      <c r="W1295" s="262"/>
      <c r="X1295" s="261"/>
      <c r="Y1295" s="85"/>
      <c r="Z1295" s="101">
        <v>0.1</v>
      </c>
      <c r="AA1295" s="102">
        <v>0.09</v>
      </c>
      <c r="AB1295" s="77"/>
      <c r="AC1295" s="78"/>
    </row>
    <row r="1296" spans="1:29" x14ac:dyDescent="0.2">
      <c r="A1296" s="117" t="s">
        <v>4317</v>
      </c>
      <c r="B1296" s="118" t="e">
        <f t="shared" si="143"/>
        <v>#VALUE!</v>
      </c>
      <c r="C1296" s="118" t="s">
        <v>612</v>
      </c>
      <c r="D1296" s="113">
        <v>40710</v>
      </c>
      <c r="E1296" s="84">
        <v>40756</v>
      </c>
      <c r="F1296" s="84">
        <f t="shared" si="144"/>
        <v>44409</v>
      </c>
      <c r="G1296" s="229">
        <v>60.04</v>
      </c>
      <c r="H1296" s="237" t="s">
        <v>906</v>
      </c>
      <c r="I1296" s="71" t="s">
        <v>691</v>
      </c>
      <c r="J1296" s="79"/>
      <c r="K1296" s="55">
        <f t="shared" si="145"/>
        <v>2021</v>
      </c>
      <c r="L1296" s="80"/>
      <c r="M1296" s="80"/>
      <c r="N1296" s="73" t="s">
        <v>4305</v>
      </c>
      <c r="O1296" s="73" t="s">
        <v>4318</v>
      </c>
      <c r="P1296" s="74"/>
      <c r="Q1296" s="75" t="s">
        <v>4319</v>
      </c>
      <c r="R1296" s="230">
        <v>358.5</v>
      </c>
      <c r="S1296" s="230">
        <v>0</v>
      </c>
      <c r="T1296" s="230">
        <v>358.5</v>
      </c>
      <c r="U1296" s="261">
        <v>91.5</v>
      </c>
      <c r="V1296" s="262"/>
      <c r="W1296" s="262"/>
      <c r="X1296" s="261"/>
      <c r="Y1296" s="85"/>
      <c r="Z1296" s="101">
        <v>0.1</v>
      </c>
      <c r="AA1296" s="102">
        <v>0.09</v>
      </c>
      <c r="AB1296" s="77"/>
      <c r="AC1296" s="78"/>
    </row>
    <row r="1297" spans="1:29" ht="27" customHeight="1" x14ac:dyDescent="0.2">
      <c r="A1297" s="117" t="s">
        <v>4320</v>
      </c>
      <c r="B1297" s="118" t="e">
        <f t="shared" si="143"/>
        <v>#VALUE!</v>
      </c>
      <c r="C1297" s="118" t="s">
        <v>612</v>
      </c>
      <c r="D1297" s="113">
        <v>40710</v>
      </c>
      <c r="E1297" s="84">
        <v>40756</v>
      </c>
      <c r="F1297" s="84">
        <f t="shared" si="144"/>
        <v>44409</v>
      </c>
      <c r="G1297" s="229">
        <v>543.22</v>
      </c>
      <c r="H1297" s="237" t="s">
        <v>906</v>
      </c>
      <c r="I1297" s="71" t="s">
        <v>691</v>
      </c>
      <c r="J1297" s="79"/>
      <c r="K1297" s="55">
        <f t="shared" si="145"/>
        <v>2021</v>
      </c>
      <c r="L1297" s="80"/>
      <c r="M1297" s="80"/>
      <c r="N1297" s="73" t="s">
        <v>4305</v>
      </c>
      <c r="O1297" s="73" t="s">
        <v>4321</v>
      </c>
      <c r="P1297" s="74"/>
      <c r="Q1297" s="75" t="s">
        <v>4322</v>
      </c>
      <c r="R1297" s="230">
        <v>2049</v>
      </c>
      <c r="S1297" s="230">
        <v>0</v>
      </c>
      <c r="T1297" s="230">
        <v>2049</v>
      </c>
      <c r="U1297" s="261">
        <v>816</v>
      </c>
      <c r="V1297" s="262"/>
      <c r="W1297" s="262"/>
      <c r="X1297" s="261"/>
      <c r="Y1297" s="85"/>
      <c r="Z1297" s="101">
        <v>0.1</v>
      </c>
      <c r="AA1297" s="102">
        <v>0.09</v>
      </c>
      <c r="AB1297" s="77"/>
      <c r="AC1297" s="78"/>
    </row>
    <row r="1298" spans="1:29" x14ac:dyDescent="0.2">
      <c r="A1298" s="117" t="s">
        <v>4323</v>
      </c>
      <c r="B1298" s="118" t="e">
        <f t="shared" si="143"/>
        <v>#VALUE!</v>
      </c>
      <c r="C1298" s="118" t="s">
        <v>612</v>
      </c>
      <c r="D1298" s="113">
        <v>40710</v>
      </c>
      <c r="E1298" s="84">
        <v>40756</v>
      </c>
      <c r="F1298" s="84">
        <f t="shared" si="144"/>
        <v>44409</v>
      </c>
      <c r="G1298" s="229">
        <v>99.54</v>
      </c>
      <c r="H1298" s="237" t="s">
        <v>906</v>
      </c>
      <c r="I1298" s="71" t="s">
        <v>691</v>
      </c>
      <c r="J1298" s="79"/>
      <c r="K1298" s="55">
        <f t="shared" si="145"/>
        <v>2021</v>
      </c>
      <c r="L1298" s="80"/>
      <c r="M1298" s="80"/>
      <c r="N1298" s="73" t="s">
        <v>4305</v>
      </c>
      <c r="O1298" s="73" t="s">
        <v>4312</v>
      </c>
      <c r="P1298" s="74"/>
      <c r="Q1298" s="75" t="s">
        <v>4324</v>
      </c>
      <c r="R1298" s="230">
        <v>495</v>
      </c>
      <c r="S1298" s="230">
        <v>0</v>
      </c>
      <c r="T1298" s="230">
        <v>495</v>
      </c>
      <c r="U1298" s="261">
        <v>150</v>
      </c>
      <c r="V1298" s="262"/>
      <c r="W1298" s="262"/>
      <c r="X1298" s="261"/>
      <c r="Y1298" s="85"/>
      <c r="Z1298" s="101">
        <v>0.1</v>
      </c>
      <c r="AA1298" s="102">
        <v>0.09</v>
      </c>
      <c r="AB1298" s="77"/>
      <c r="AC1298" s="78"/>
    </row>
    <row r="1299" spans="1:29" x14ac:dyDescent="0.2">
      <c r="A1299" s="117" t="s">
        <v>4325</v>
      </c>
      <c r="B1299" s="118" t="e">
        <f t="shared" si="143"/>
        <v>#VALUE!</v>
      </c>
      <c r="C1299" s="118" t="s">
        <v>612</v>
      </c>
      <c r="D1299" s="113">
        <v>40710</v>
      </c>
      <c r="E1299" s="84">
        <v>40756</v>
      </c>
      <c r="F1299" s="84">
        <f t="shared" si="144"/>
        <v>44409</v>
      </c>
      <c r="G1299" s="229">
        <v>159.38</v>
      </c>
      <c r="H1299" s="237" t="s">
        <v>906</v>
      </c>
      <c r="I1299" s="71" t="s">
        <v>691</v>
      </c>
      <c r="J1299" s="79"/>
      <c r="K1299" s="55">
        <f t="shared" si="145"/>
        <v>2021</v>
      </c>
      <c r="L1299" s="80"/>
      <c r="M1299" s="80"/>
      <c r="N1299" s="73" t="s">
        <v>4305</v>
      </c>
      <c r="O1299" s="73" t="s">
        <v>4326</v>
      </c>
      <c r="P1299" s="74"/>
      <c r="Q1299" s="75" t="s">
        <v>4327</v>
      </c>
      <c r="R1299" s="230">
        <v>705</v>
      </c>
      <c r="S1299" s="230">
        <v>0</v>
      </c>
      <c r="T1299" s="230">
        <v>705</v>
      </c>
      <c r="U1299" s="261">
        <v>240</v>
      </c>
      <c r="V1299" s="262"/>
      <c r="W1299" s="262"/>
      <c r="X1299" s="261"/>
      <c r="Y1299" s="85"/>
      <c r="Z1299" s="101">
        <v>0.1</v>
      </c>
      <c r="AA1299" s="102">
        <v>0.09</v>
      </c>
      <c r="AB1299" s="77"/>
      <c r="AC1299" s="78"/>
    </row>
    <row r="1300" spans="1:29" ht="27" customHeight="1" x14ac:dyDescent="0.2">
      <c r="A1300" s="117" t="s">
        <v>4328</v>
      </c>
      <c r="B1300" s="118" t="e">
        <f t="shared" si="143"/>
        <v>#VALUE!</v>
      </c>
      <c r="C1300" s="118" t="s">
        <v>612</v>
      </c>
      <c r="D1300" s="113">
        <v>40710</v>
      </c>
      <c r="E1300" s="84">
        <v>40756</v>
      </c>
      <c r="F1300" s="84">
        <f t="shared" si="144"/>
        <v>44409</v>
      </c>
      <c r="G1300" s="229">
        <v>488.92</v>
      </c>
      <c r="H1300" s="237" t="s">
        <v>906</v>
      </c>
      <c r="I1300" s="71" t="s">
        <v>691</v>
      </c>
      <c r="J1300" s="79"/>
      <c r="K1300" s="55">
        <f t="shared" si="145"/>
        <v>2021</v>
      </c>
      <c r="L1300" s="80"/>
      <c r="M1300" s="80"/>
      <c r="N1300" s="73" t="s">
        <v>4305</v>
      </c>
      <c r="O1300" s="73" t="s">
        <v>4329</v>
      </c>
      <c r="P1300" s="74"/>
      <c r="Q1300" s="75" t="s">
        <v>4330</v>
      </c>
      <c r="R1300" s="230">
        <v>1856.5</v>
      </c>
      <c r="S1300" s="230">
        <v>0</v>
      </c>
      <c r="T1300" s="230">
        <v>1856.5</v>
      </c>
      <c r="U1300" s="261">
        <v>733.5</v>
      </c>
      <c r="V1300" s="262"/>
      <c r="W1300" s="262"/>
      <c r="X1300" s="261"/>
      <c r="Y1300" s="85"/>
      <c r="Z1300" s="101">
        <v>0.1</v>
      </c>
      <c r="AA1300" s="102">
        <v>0.09</v>
      </c>
      <c r="AB1300" s="77"/>
      <c r="AC1300" s="78"/>
    </row>
    <row r="1301" spans="1:29" ht="27" customHeight="1" x14ac:dyDescent="0.2">
      <c r="A1301" s="117" t="s">
        <v>4331</v>
      </c>
      <c r="B1301" s="118" t="e">
        <f t="shared" si="143"/>
        <v>#VALUE!</v>
      </c>
      <c r="C1301" s="118" t="s">
        <v>612</v>
      </c>
      <c r="D1301" s="113">
        <v>40710</v>
      </c>
      <c r="E1301" s="103">
        <v>40787</v>
      </c>
      <c r="F1301" s="84">
        <f t="shared" si="144"/>
        <v>44440</v>
      </c>
      <c r="G1301" s="229">
        <v>640.6</v>
      </c>
      <c r="H1301" s="237" t="s">
        <v>816</v>
      </c>
      <c r="I1301" s="71" t="s">
        <v>691</v>
      </c>
      <c r="J1301" s="72" t="s">
        <v>4332</v>
      </c>
      <c r="K1301" s="55">
        <f t="shared" si="145"/>
        <v>2021</v>
      </c>
      <c r="L1301" s="81"/>
      <c r="M1301" s="81"/>
      <c r="N1301" s="73" t="s">
        <v>4333</v>
      </c>
      <c r="O1301" s="73" t="s">
        <v>4334</v>
      </c>
      <c r="P1301" s="74"/>
      <c r="Q1301" s="75" t="s">
        <v>4335</v>
      </c>
      <c r="R1301" s="230">
        <v>2388.5</v>
      </c>
      <c r="S1301" s="230">
        <v>1923</v>
      </c>
      <c r="T1301" s="230">
        <v>4311.5</v>
      </c>
      <c r="U1301" s="261">
        <v>961.5</v>
      </c>
      <c r="V1301" s="262"/>
      <c r="W1301" s="262"/>
      <c r="X1301" s="261"/>
      <c r="Y1301" s="85"/>
      <c r="Z1301" s="101">
        <v>0.1</v>
      </c>
      <c r="AA1301" s="102">
        <v>0.09</v>
      </c>
      <c r="AB1301" s="77"/>
      <c r="AC1301" s="78"/>
    </row>
    <row r="1302" spans="1:29" x14ac:dyDescent="0.2">
      <c r="A1302" s="117" t="s">
        <v>4336</v>
      </c>
      <c r="B1302" s="118" t="e">
        <f t="shared" si="143"/>
        <v>#VALUE!</v>
      </c>
      <c r="C1302" s="118" t="s">
        <v>612</v>
      </c>
      <c r="D1302" s="113">
        <v>40710</v>
      </c>
      <c r="E1302" s="84">
        <v>40756</v>
      </c>
      <c r="F1302" s="84">
        <f t="shared" si="144"/>
        <v>44409</v>
      </c>
      <c r="G1302" s="229">
        <v>640</v>
      </c>
      <c r="H1302" s="237" t="s">
        <v>816</v>
      </c>
      <c r="I1302" s="71" t="s">
        <v>691</v>
      </c>
      <c r="J1302" s="72" t="s">
        <v>2984</v>
      </c>
      <c r="K1302" s="55">
        <f t="shared" si="145"/>
        <v>2021</v>
      </c>
      <c r="L1302" s="81"/>
      <c r="M1302" s="81"/>
      <c r="N1302" s="73" t="s">
        <v>4333</v>
      </c>
      <c r="O1302" s="73" t="s">
        <v>4337</v>
      </c>
      <c r="P1302" s="74"/>
      <c r="Q1302" s="75" t="s">
        <v>4338</v>
      </c>
      <c r="R1302" s="230">
        <v>2385</v>
      </c>
      <c r="S1302" s="230">
        <v>640</v>
      </c>
      <c r="T1302" s="230">
        <v>3025</v>
      </c>
      <c r="U1302" s="261">
        <v>960</v>
      </c>
      <c r="V1302" s="262"/>
      <c r="W1302" s="262"/>
      <c r="X1302" s="261"/>
      <c r="Y1302" s="85"/>
      <c r="Z1302" s="101">
        <v>0.1</v>
      </c>
      <c r="AA1302" s="102">
        <v>0.09</v>
      </c>
      <c r="AB1302" s="77"/>
      <c r="AC1302" s="78"/>
    </row>
    <row r="1303" spans="1:29" x14ac:dyDescent="0.2">
      <c r="A1303" s="117" t="s">
        <v>4339</v>
      </c>
      <c r="B1303" s="118" t="e">
        <f t="shared" si="143"/>
        <v>#VALUE!</v>
      </c>
      <c r="C1303" s="118" t="s">
        <v>612</v>
      </c>
      <c r="D1303" s="113">
        <v>40710</v>
      </c>
      <c r="E1303" s="84">
        <v>40756</v>
      </c>
      <c r="F1303" s="84">
        <f t="shared" si="144"/>
        <v>44409</v>
      </c>
      <c r="G1303" s="229">
        <v>537.44000000000005</v>
      </c>
      <c r="H1303" s="237" t="s">
        <v>816</v>
      </c>
      <c r="I1303" s="71" t="s">
        <v>691</v>
      </c>
      <c r="J1303" s="72" t="s">
        <v>2984</v>
      </c>
      <c r="K1303" s="55">
        <f t="shared" si="145"/>
        <v>2021</v>
      </c>
      <c r="L1303" s="81"/>
      <c r="M1303" s="81"/>
      <c r="N1303" s="73" t="s">
        <v>4333</v>
      </c>
      <c r="O1303" s="73" t="s">
        <v>4340</v>
      </c>
      <c r="P1303" s="74"/>
      <c r="Q1303" s="75" t="s">
        <v>4341</v>
      </c>
      <c r="R1303" s="230">
        <v>2028</v>
      </c>
      <c r="S1303" s="263">
        <v>0</v>
      </c>
      <c r="T1303" s="230">
        <v>2028</v>
      </c>
      <c r="U1303" s="261">
        <v>807</v>
      </c>
      <c r="V1303" s="262"/>
      <c r="W1303" s="262"/>
      <c r="X1303" s="261"/>
      <c r="Y1303" s="85"/>
      <c r="Z1303" s="101">
        <v>0.1</v>
      </c>
      <c r="AA1303" s="102">
        <v>0.09</v>
      </c>
      <c r="AB1303" s="77"/>
      <c r="AC1303" s="78"/>
    </row>
    <row r="1304" spans="1:29" x14ac:dyDescent="0.2">
      <c r="A1304" s="117" t="s">
        <v>4342</v>
      </c>
      <c r="B1304" s="118" t="e">
        <f t="shared" si="143"/>
        <v>#VALUE!</v>
      </c>
      <c r="C1304" s="118" t="s">
        <v>612</v>
      </c>
      <c r="D1304" s="113">
        <v>40710</v>
      </c>
      <c r="E1304" s="84">
        <v>40756</v>
      </c>
      <c r="F1304" s="84">
        <f t="shared" si="144"/>
        <v>44409</v>
      </c>
      <c r="G1304" s="229">
        <v>359.33</v>
      </c>
      <c r="H1304" s="237" t="s">
        <v>1464</v>
      </c>
      <c r="I1304" s="71" t="s">
        <v>691</v>
      </c>
      <c r="J1304" s="72" t="s">
        <v>2984</v>
      </c>
      <c r="K1304" s="55">
        <f t="shared" si="145"/>
        <v>2021</v>
      </c>
      <c r="L1304" s="81"/>
      <c r="M1304" s="81"/>
      <c r="N1304" s="73" t="s">
        <v>4333</v>
      </c>
      <c r="O1304" s="73" t="s">
        <v>4343</v>
      </c>
      <c r="P1304" s="74"/>
      <c r="Q1304" s="75" t="s">
        <v>4344</v>
      </c>
      <c r="R1304" s="230">
        <v>1405</v>
      </c>
      <c r="S1304" s="263">
        <v>0</v>
      </c>
      <c r="T1304" s="230">
        <v>1405</v>
      </c>
      <c r="U1304" s="261">
        <v>540</v>
      </c>
      <c r="V1304" s="262"/>
      <c r="W1304" s="262"/>
      <c r="X1304" s="261"/>
      <c r="Y1304" s="85"/>
      <c r="Z1304" s="101">
        <v>0.1</v>
      </c>
      <c r="AA1304" s="102">
        <v>0.09</v>
      </c>
      <c r="AB1304" s="77"/>
      <c r="AC1304" s="78"/>
    </row>
    <row r="1305" spans="1:29" x14ac:dyDescent="0.2">
      <c r="A1305" s="117" t="s">
        <v>4345</v>
      </c>
      <c r="B1305" s="118" t="e">
        <f t="shared" si="143"/>
        <v>#VALUE!</v>
      </c>
      <c r="C1305" s="118" t="s">
        <v>612</v>
      </c>
      <c r="D1305" s="113">
        <v>40710</v>
      </c>
      <c r="E1305" s="84">
        <v>40756</v>
      </c>
      <c r="F1305" s="84">
        <f t="shared" si="144"/>
        <v>44409</v>
      </c>
      <c r="G1305" s="229">
        <v>399.53</v>
      </c>
      <c r="H1305" s="237" t="s">
        <v>1464</v>
      </c>
      <c r="I1305" s="71" t="s">
        <v>691</v>
      </c>
      <c r="J1305" s="72" t="s">
        <v>2984</v>
      </c>
      <c r="K1305" s="55">
        <f t="shared" si="145"/>
        <v>2021</v>
      </c>
      <c r="L1305" s="81"/>
      <c r="M1305" s="81"/>
      <c r="N1305" s="73" t="s">
        <v>4333</v>
      </c>
      <c r="O1305" s="73" t="s">
        <v>4346</v>
      </c>
      <c r="P1305" s="74"/>
      <c r="Q1305" s="75" t="s">
        <v>4347</v>
      </c>
      <c r="R1305" s="230">
        <v>1545</v>
      </c>
      <c r="S1305" s="263">
        <v>0</v>
      </c>
      <c r="T1305" s="230">
        <v>1545</v>
      </c>
      <c r="U1305" s="261">
        <v>600</v>
      </c>
      <c r="V1305" s="262"/>
      <c r="W1305" s="262"/>
      <c r="X1305" s="261"/>
      <c r="Y1305" s="85"/>
      <c r="Z1305" s="101">
        <v>0.1</v>
      </c>
      <c r="AA1305" s="102">
        <v>0.09</v>
      </c>
      <c r="AB1305" s="77"/>
      <c r="AC1305" s="78"/>
    </row>
    <row r="1306" spans="1:29" x14ac:dyDescent="0.2">
      <c r="A1306" s="117" t="s">
        <v>4348</v>
      </c>
      <c r="B1306" s="118" t="e">
        <f t="shared" si="143"/>
        <v>#VALUE!</v>
      </c>
      <c r="C1306" s="118" t="s">
        <v>612</v>
      </c>
      <c r="D1306" s="113">
        <v>40710</v>
      </c>
      <c r="E1306" s="84">
        <v>40756</v>
      </c>
      <c r="F1306" s="84">
        <f t="shared" si="144"/>
        <v>44409</v>
      </c>
      <c r="G1306" s="229">
        <v>1236.33</v>
      </c>
      <c r="H1306" s="237" t="s">
        <v>1464</v>
      </c>
      <c r="I1306" s="71" t="s">
        <v>691</v>
      </c>
      <c r="J1306" s="72" t="s">
        <v>2984</v>
      </c>
      <c r="K1306" s="55">
        <f t="shared" si="145"/>
        <v>2021</v>
      </c>
      <c r="L1306" s="81"/>
      <c r="M1306" s="81"/>
      <c r="N1306" s="73" t="s">
        <v>4333</v>
      </c>
      <c r="O1306" s="73" t="s">
        <v>4349</v>
      </c>
      <c r="P1306" s="74"/>
      <c r="Q1306" s="75" t="s">
        <v>4350</v>
      </c>
      <c r="R1306" s="230">
        <v>4474.5</v>
      </c>
      <c r="S1306" s="263">
        <v>0</v>
      </c>
      <c r="T1306" s="230">
        <v>4474.5</v>
      </c>
      <c r="U1306" s="261">
        <v>1855.5</v>
      </c>
      <c r="V1306" s="262"/>
      <c r="W1306" s="262"/>
      <c r="X1306" s="261"/>
      <c r="Y1306" s="85"/>
      <c r="Z1306" s="101">
        <v>0.1</v>
      </c>
      <c r="AA1306" s="102">
        <v>0.09</v>
      </c>
      <c r="AB1306" s="77"/>
      <c r="AC1306" s="78"/>
    </row>
    <row r="1307" spans="1:29" ht="27" customHeight="1" x14ac:dyDescent="0.2">
      <c r="A1307" s="117" t="s">
        <v>4351</v>
      </c>
      <c r="B1307" s="118" t="e">
        <f t="shared" si="143"/>
        <v>#VALUE!</v>
      </c>
      <c r="C1307" s="118" t="s">
        <v>612</v>
      </c>
      <c r="D1307" s="113">
        <v>40710</v>
      </c>
      <c r="E1307" s="84">
        <v>40756</v>
      </c>
      <c r="F1307" s="84">
        <f t="shared" si="144"/>
        <v>44409</v>
      </c>
      <c r="G1307" s="229">
        <v>1154.53</v>
      </c>
      <c r="H1307" s="237" t="s">
        <v>816</v>
      </c>
      <c r="I1307" s="71" t="s">
        <v>691</v>
      </c>
      <c r="J1307" s="72" t="s">
        <v>2984</v>
      </c>
      <c r="K1307" s="55">
        <f t="shared" si="145"/>
        <v>2021</v>
      </c>
      <c r="L1307" s="81"/>
      <c r="M1307" s="81"/>
      <c r="N1307" s="73" t="s">
        <v>4333</v>
      </c>
      <c r="O1307" s="73" t="s">
        <v>4352</v>
      </c>
      <c r="P1307" s="74"/>
      <c r="Q1307" s="75" t="s">
        <v>4353</v>
      </c>
      <c r="R1307" s="230">
        <v>4187.5</v>
      </c>
      <c r="S1307" s="263">
        <v>0</v>
      </c>
      <c r="T1307" s="230">
        <v>4187.5</v>
      </c>
      <c r="U1307" s="261">
        <v>1732.5</v>
      </c>
      <c r="V1307" s="262"/>
      <c r="W1307" s="262"/>
      <c r="X1307" s="261"/>
      <c r="Y1307" s="85"/>
      <c r="Z1307" s="101">
        <v>0.1</v>
      </c>
      <c r="AA1307" s="102">
        <v>0.09</v>
      </c>
      <c r="AB1307" s="77"/>
      <c r="AC1307" s="78"/>
    </row>
    <row r="1308" spans="1:29" x14ac:dyDescent="0.2">
      <c r="A1308" s="117" t="s">
        <v>4354</v>
      </c>
      <c r="B1308" s="118" t="e">
        <f t="shared" si="143"/>
        <v>#VALUE!</v>
      </c>
      <c r="C1308" s="118" t="s">
        <v>612</v>
      </c>
      <c r="D1308" s="113">
        <v>40710</v>
      </c>
      <c r="E1308" s="84">
        <v>40756</v>
      </c>
      <c r="F1308" s="84">
        <f t="shared" si="144"/>
        <v>44409</v>
      </c>
      <c r="G1308" s="229">
        <v>804.76</v>
      </c>
      <c r="H1308" s="237" t="s">
        <v>816</v>
      </c>
      <c r="I1308" s="71" t="s">
        <v>691</v>
      </c>
      <c r="J1308" s="72" t="s">
        <v>2984</v>
      </c>
      <c r="K1308" s="55">
        <f t="shared" si="145"/>
        <v>2021</v>
      </c>
      <c r="L1308" s="81"/>
      <c r="M1308" s="81"/>
      <c r="N1308" s="73" t="s">
        <v>4333</v>
      </c>
      <c r="O1308" s="73" t="s">
        <v>4355</v>
      </c>
      <c r="P1308" s="74"/>
      <c r="Q1308" s="75" t="s">
        <v>4356</v>
      </c>
      <c r="R1308" s="230">
        <v>2962.5</v>
      </c>
      <c r="S1308" s="263">
        <v>0</v>
      </c>
      <c r="T1308" s="230">
        <v>2962.5</v>
      </c>
      <c r="U1308" s="261">
        <v>1207.5</v>
      </c>
      <c r="V1308" s="262"/>
      <c r="W1308" s="262"/>
      <c r="X1308" s="261"/>
      <c r="Y1308" s="85"/>
      <c r="Z1308" s="101">
        <v>0.1</v>
      </c>
      <c r="AA1308" s="102">
        <v>0.09</v>
      </c>
      <c r="AB1308" s="77"/>
      <c r="AC1308" s="78"/>
    </row>
    <row r="1309" spans="1:29" x14ac:dyDescent="0.2">
      <c r="A1309" s="117" t="s">
        <v>4357</v>
      </c>
      <c r="B1309" s="118" t="e">
        <f t="shared" si="143"/>
        <v>#VALUE!</v>
      </c>
      <c r="C1309" s="118" t="s">
        <v>612</v>
      </c>
      <c r="D1309" s="113">
        <v>40710</v>
      </c>
      <c r="E1309" s="84">
        <v>40756</v>
      </c>
      <c r="F1309" s="84">
        <f t="shared" si="144"/>
        <v>44409</v>
      </c>
      <c r="G1309" s="229">
        <v>957.28</v>
      </c>
      <c r="H1309" s="237" t="s">
        <v>816</v>
      </c>
      <c r="I1309" s="71" t="s">
        <v>691</v>
      </c>
      <c r="J1309" s="72" t="s">
        <v>2984</v>
      </c>
      <c r="K1309" s="55">
        <f t="shared" si="145"/>
        <v>2021</v>
      </c>
      <c r="L1309" s="81"/>
      <c r="M1309" s="81"/>
      <c r="N1309" s="73" t="s">
        <v>4333</v>
      </c>
      <c r="O1309" s="73" t="s">
        <v>4358</v>
      </c>
      <c r="P1309" s="74"/>
      <c r="Q1309" s="75" t="s">
        <v>4359</v>
      </c>
      <c r="R1309" s="230">
        <v>3498</v>
      </c>
      <c r="S1309" s="263">
        <v>0</v>
      </c>
      <c r="T1309" s="230">
        <v>3498</v>
      </c>
      <c r="U1309" s="261">
        <v>1437</v>
      </c>
      <c r="V1309" s="262"/>
      <c r="W1309" s="262"/>
      <c r="X1309" s="261"/>
      <c r="Y1309" s="85"/>
      <c r="Z1309" s="101">
        <v>0.1</v>
      </c>
      <c r="AA1309" s="102">
        <v>0.09</v>
      </c>
      <c r="AB1309" s="77"/>
      <c r="AC1309" s="78"/>
    </row>
    <row r="1310" spans="1:29" x14ac:dyDescent="0.2">
      <c r="A1310" s="117" t="s">
        <v>4360</v>
      </c>
      <c r="B1310" s="118" t="e">
        <f t="shared" ref="B1310:B1341" si="146">IF(COUNTIF(GIS,A1310),"YES","NO")</f>
        <v>#VALUE!</v>
      </c>
      <c r="C1310" s="118" t="s">
        <v>612</v>
      </c>
      <c r="D1310" s="113">
        <v>40710</v>
      </c>
      <c r="E1310" s="84">
        <v>40756</v>
      </c>
      <c r="F1310" s="84">
        <f t="shared" ref="F1310:F1341" si="147">DATE(YEAR(E1310)+10,MONTH(E1310),DAY(E1310))</f>
        <v>44409</v>
      </c>
      <c r="G1310" s="229">
        <v>1278</v>
      </c>
      <c r="H1310" s="237" t="s">
        <v>1464</v>
      </c>
      <c r="I1310" s="71" t="s">
        <v>691</v>
      </c>
      <c r="J1310" s="72" t="s">
        <v>2984</v>
      </c>
      <c r="K1310" s="55">
        <f t="shared" ref="K1310:K1341" si="148">YEAR(F1310)</f>
        <v>2021</v>
      </c>
      <c r="L1310" s="81"/>
      <c r="M1310" s="81"/>
      <c r="N1310" s="73" t="s">
        <v>4333</v>
      </c>
      <c r="O1310" s="73" t="s">
        <v>4361</v>
      </c>
      <c r="P1310" s="74"/>
      <c r="Q1310" s="75" t="s">
        <v>4362</v>
      </c>
      <c r="R1310" s="230">
        <v>4618</v>
      </c>
      <c r="S1310" s="263">
        <v>0</v>
      </c>
      <c r="T1310" s="230">
        <v>4618</v>
      </c>
      <c r="U1310" s="261">
        <v>1917</v>
      </c>
      <c r="V1310" s="262"/>
      <c r="W1310" s="262"/>
      <c r="X1310" s="261"/>
      <c r="Y1310" s="85"/>
      <c r="Z1310" s="101">
        <v>0.1</v>
      </c>
      <c r="AA1310" s="102">
        <v>0.09</v>
      </c>
      <c r="AB1310" s="77"/>
      <c r="AC1310" s="78"/>
    </row>
    <row r="1311" spans="1:29" x14ac:dyDescent="0.2">
      <c r="A1311" s="117" t="s">
        <v>4363</v>
      </c>
      <c r="B1311" s="118" t="e">
        <f t="shared" si="146"/>
        <v>#VALUE!</v>
      </c>
      <c r="C1311" s="118" t="s">
        <v>612</v>
      </c>
      <c r="D1311" s="113">
        <v>40710</v>
      </c>
      <c r="E1311" s="84">
        <v>40756</v>
      </c>
      <c r="F1311" s="84">
        <f t="shared" si="147"/>
        <v>44409</v>
      </c>
      <c r="G1311" s="229">
        <v>1277.4000000000001</v>
      </c>
      <c r="H1311" s="237" t="s">
        <v>1464</v>
      </c>
      <c r="I1311" s="71" t="s">
        <v>691</v>
      </c>
      <c r="J1311" s="72" t="s">
        <v>2984</v>
      </c>
      <c r="K1311" s="55">
        <f t="shared" si="148"/>
        <v>2021</v>
      </c>
      <c r="L1311" s="81"/>
      <c r="M1311" s="81"/>
      <c r="N1311" s="73" t="s">
        <v>4333</v>
      </c>
      <c r="O1311" s="73" t="s">
        <v>4364</v>
      </c>
      <c r="P1311" s="74"/>
      <c r="Q1311" s="75" t="s">
        <v>4365</v>
      </c>
      <c r="R1311" s="230">
        <v>4618</v>
      </c>
      <c r="S1311" s="263">
        <v>0</v>
      </c>
      <c r="T1311" s="230">
        <v>4618</v>
      </c>
      <c r="U1311" s="261">
        <v>1917</v>
      </c>
      <c r="V1311" s="262"/>
      <c r="W1311" s="262"/>
      <c r="X1311" s="261"/>
      <c r="Y1311" s="85"/>
      <c r="Z1311" s="101">
        <v>0.1</v>
      </c>
      <c r="AA1311" s="102">
        <v>0.09</v>
      </c>
      <c r="AB1311" s="77"/>
      <c r="AC1311" s="78"/>
    </row>
    <row r="1312" spans="1:29" x14ac:dyDescent="0.2">
      <c r="A1312" s="117" t="s">
        <v>4366</v>
      </c>
      <c r="B1312" s="118" t="e">
        <f t="shared" si="146"/>
        <v>#VALUE!</v>
      </c>
      <c r="C1312" s="118" t="s">
        <v>612</v>
      </c>
      <c r="D1312" s="113">
        <v>40710</v>
      </c>
      <c r="E1312" s="84">
        <v>40756</v>
      </c>
      <c r="F1312" s="84">
        <f t="shared" si="147"/>
        <v>44409</v>
      </c>
      <c r="G1312" s="229">
        <v>1324.52</v>
      </c>
      <c r="H1312" s="237" t="s">
        <v>4367</v>
      </c>
      <c r="I1312" s="71" t="s">
        <v>691</v>
      </c>
      <c r="J1312" s="72" t="s">
        <v>2984</v>
      </c>
      <c r="K1312" s="55">
        <f t="shared" si="148"/>
        <v>2021</v>
      </c>
      <c r="L1312" s="81"/>
      <c r="M1312" s="81"/>
      <c r="N1312" s="73" t="s">
        <v>4333</v>
      </c>
      <c r="O1312" s="73" t="s">
        <v>4368</v>
      </c>
      <c r="P1312" s="74"/>
      <c r="Q1312" s="75" t="s">
        <v>4369</v>
      </c>
      <c r="R1312" s="230">
        <v>4782.5</v>
      </c>
      <c r="S1312" s="263">
        <v>0</v>
      </c>
      <c r="T1312" s="230">
        <v>4782.5</v>
      </c>
      <c r="U1312" s="261">
        <v>1987.5</v>
      </c>
      <c r="V1312" s="262"/>
      <c r="W1312" s="262"/>
      <c r="X1312" s="261"/>
      <c r="Y1312" s="85"/>
      <c r="Z1312" s="101">
        <v>0.1</v>
      </c>
      <c r="AA1312" s="102">
        <v>0.09</v>
      </c>
      <c r="AB1312" s="77"/>
      <c r="AC1312" s="78"/>
    </row>
    <row r="1313" spans="1:29" ht="27" customHeight="1" x14ac:dyDescent="0.2">
      <c r="A1313" s="117" t="s">
        <v>4370</v>
      </c>
      <c r="B1313" s="118" t="e">
        <f t="shared" si="146"/>
        <v>#VALUE!</v>
      </c>
      <c r="C1313" s="118" t="s">
        <v>612</v>
      </c>
      <c r="D1313" s="113">
        <v>40710</v>
      </c>
      <c r="E1313" s="84">
        <v>40756</v>
      </c>
      <c r="F1313" s="84">
        <f t="shared" si="147"/>
        <v>44409</v>
      </c>
      <c r="G1313" s="229">
        <v>1002.97</v>
      </c>
      <c r="H1313" s="237" t="s">
        <v>816</v>
      </c>
      <c r="I1313" s="71" t="s">
        <v>691</v>
      </c>
      <c r="J1313" s="72" t="s">
        <v>2984</v>
      </c>
      <c r="K1313" s="55">
        <f t="shared" si="148"/>
        <v>2021</v>
      </c>
      <c r="L1313" s="81"/>
      <c r="M1313" s="81"/>
      <c r="N1313" s="73" t="s">
        <v>4333</v>
      </c>
      <c r="O1313" s="73" t="s">
        <v>4371</v>
      </c>
      <c r="P1313" s="74"/>
      <c r="Q1313" s="75" t="s">
        <v>4372</v>
      </c>
      <c r="R1313" s="230">
        <v>3655.5</v>
      </c>
      <c r="S1313" s="263">
        <v>0</v>
      </c>
      <c r="T1313" s="230">
        <v>3655.5</v>
      </c>
      <c r="U1313" s="261">
        <v>1504.5</v>
      </c>
      <c r="V1313" s="262"/>
      <c r="W1313" s="262"/>
      <c r="X1313" s="261"/>
      <c r="Y1313" s="85"/>
      <c r="Z1313" s="101">
        <v>0.1</v>
      </c>
      <c r="AA1313" s="102">
        <v>0.09</v>
      </c>
      <c r="AB1313" s="77"/>
      <c r="AC1313" s="78"/>
    </row>
    <row r="1314" spans="1:29" ht="27" customHeight="1" x14ac:dyDescent="0.2">
      <c r="A1314" s="117" t="s">
        <v>4373</v>
      </c>
      <c r="B1314" s="118" t="e">
        <f t="shared" si="146"/>
        <v>#VALUE!</v>
      </c>
      <c r="C1314" s="118" t="s">
        <v>612</v>
      </c>
      <c r="D1314" s="113">
        <v>40710</v>
      </c>
      <c r="E1314" s="84">
        <v>40756</v>
      </c>
      <c r="F1314" s="84">
        <f t="shared" si="147"/>
        <v>44409</v>
      </c>
      <c r="G1314" s="229">
        <v>834.25</v>
      </c>
      <c r="H1314" s="237" t="s">
        <v>4367</v>
      </c>
      <c r="I1314" s="71" t="s">
        <v>691</v>
      </c>
      <c r="J1314" s="72" t="s">
        <v>2984</v>
      </c>
      <c r="K1314" s="55">
        <f t="shared" si="148"/>
        <v>2021</v>
      </c>
      <c r="L1314" s="81"/>
      <c r="M1314" s="81"/>
      <c r="N1314" s="73" t="s">
        <v>4333</v>
      </c>
      <c r="O1314" s="73" t="s">
        <v>4374</v>
      </c>
      <c r="P1314" s="74"/>
      <c r="Q1314" s="75" t="s">
        <v>4375</v>
      </c>
      <c r="R1314" s="230">
        <v>3067.5</v>
      </c>
      <c r="S1314" s="263">
        <v>0</v>
      </c>
      <c r="T1314" s="230">
        <v>3067.5</v>
      </c>
      <c r="U1314" s="261">
        <v>1252.5</v>
      </c>
      <c r="V1314" s="262"/>
      <c r="W1314" s="262"/>
      <c r="X1314" s="261"/>
      <c r="Y1314" s="85"/>
      <c r="Z1314" s="101">
        <v>0.1</v>
      </c>
      <c r="AA1314" s="102">
        <v>0.09</v>
      </c>
      <c r="AB1314" s="77"/>
      <c r="AC1314" s="78"/>
    </row>
    <row r="1315" spans="1:29" ht="27" customHeight="1" x14ac:dyDescent="0.2">
      <c r="A1315" s="117" t="s">
        <v>4376</v>
      </c>
      <c r="B1315" s="118" t="e">
        <f t="shared" si="146"/>
        <v>#VALUE!</v>
      </c>
      <c r="C1315" s="118" t="s">
        <v>612</v>
      </c>
      <c r="D1315" s="113">
        <v>40710</v>
      </c>
      <c r="E1315" s="84">
        <v>40756</v>
      </c>
      <c r="F1315" s="84">
        <f t="shared" si="147"/>
        <v>44409</v>
      </c>
      <c r="G1315" s="229">
        <v>1101.6500000000001</v>
      </c>
      <c r="H1315" s="237" t="s">
        <v>1464</v>
      </c>
      <c r="I1315" s="71" t="s">
        <v>691</v>
      </c>
      <c r="J1315" s="72" t="s">
        <v>2984</v>
      </c>
      <c r="K1315" s="55">
        <f t="shared" si="148"/>
        <v>2021</v>
      </c>
      <c r="L1315" s="81"/>
      <c r="M1315" s="81"/>
      <c r="N1315" s="73" t="s">
        <v>4333</v>
      </c>
      <c r="O1315" s="73" t="s">
        <v>4377</v>
      </c>
      <c r="P1315" s="74"/>
      <c r="Q1315" s="75" t="s">
        <v>4378</v>
      </c>
      <c r="R1315" s="230">
        <v>4002</v>
      </c>
      <c r="S1315" s="263">
        <v>0</v>
      </c>
      <c r="T1315" s="230">
        <v>4002</v>
      </c>
      <c r="U1315" s="261">
        <v>1653</v>
      </c>
      <c r="V1315" s="262"/>
      <c r="W1315" s="262"/>
      <c r="X1315" s="261"/>
      <c r="Y1315" s="85"/>
      <c r="Z1315" s="101">
        <v>0.1</v>
      </c>
      <c r="AA1315" s="102">
        <v>0.09</v>
      </c>
      <c r="AB1315" s="77"/>
      <c r="AC1315" s="78"/>
    </row>
    <row r="1316" spans="1:29" x14ac:dyDescent="0.2">
      <c r="A1316" s="117" t="s">
        <v>4379</v>
      </c>
      <c r="B1316" s="118" t="e">
        <f t="shared" si="146"/>
        <v>#VALUE!</v>
      </c>
      <c r="C1316" s="118" t="s">
        <v>612</v>
      </c>
      <c r="D1316" s="113">
        <v>40710</v>
      </c>
      <c r="E1316" s="84">
        <v>40756</v>
      </c>
      <c r="F1316" s="84">
        <f t="shared" si="147"/>
        <v>44409</v>
      </c>
      <c r="G1316" s="229">
        <v>635.04999999999995</v>
      </c>
      <c r="H1316" s="237" t="s">
        <v>1464</v>
      </c>
      <c r="I1316" s="71" t="s">
        <v>691</v>
      </c>
      <c r="J1316" s="72" t="s">
        <v>2984</v>
      </c>
      <c r="K1316" s="55">
        <f t="shared" si="148"/>
        <v>2021</v>
      </c>
      <c r="L1316" s="81"/>
      <c r="M1316" s="81"/>
      <c r="N1316" s="73" t="s">
        <v>4333</v>
      </c>
      <c r="O1316" s="73" t="s">
        <v>4380</v>
      </c>
      <c r="P1316" s="74"/>
      <c r="Q1316" s="75" t="s">
        <v>4381</v>
      </c>
      <c r="R1316" s="230">
        <v>2371</v>
      </c>
      <c r="S1316" s="263">
        <v>0</v>
      </c>
      <c r="T1316" s="230">
        <v>2371</v>
      </c>
      <c r="U1316" s="261">
        <v>954</v>
      </c>
      <c r="V1316" s="262"/>
      <c r="W1316" s="262"/>
      <c r="X1316" s="261"/>
      <c r="Y1316" s="85"/>
      <c r="Z1316" s="101">
        <v>0.1</v>
      </c>
      <c r="AA1316" s="102">
        <v>0.09</v>
      </c>
      <c r="AB1316" s="77"/>
      <c r="AC1316" s="78"/>
    </row>
    <row r="1317" spans="1:29" x14ac:dyDescent="0.2">
      <c r="A1317" s="117" t="s">
        <v>4382</v>
      </c>
      <c r="B1317" s="118" t="e">
        <f t="shared" si="146"/>
        <v>#VALUE!</v>
      </c>
      <c r="C1317" s="118" t="s">
        <v>612</v>
      </c>
      <c r="D1317" s="113">
        <v>40710</v>
      </c>
      <c r="E1317" s="84">
        <v>40756</v>
      </c>
      <c r="F1317" s="84">
        <f t="shared" si="147"/>
        <v>44409</v>
      </c>
      <c r="G1317" s="229">
        <v>993.08</v>
      </c>
      <c r="H1317" s="237" t="s">
        <v>816</v>
      </c>
      <c r="I1317" s="71" t="s">
        <v>691</v>
      </c>
      <c r="J1317" s="72" t="s">
        <v>2984</v>
      </c>
      <c r="K1317" s="55">
        <f t="shared" si="148"/>
        <v>2021</v>
      </c>
      <c r="L1317" s="81"/>
      <c r="M1317" s="81"/>
      <c r="N1317" s="73" t="s">
        <v>4333</v>
      </c>
      <c r="O1317" s="73" t="s">
        <v>4383</v>
      </c>
      <c r="P1317" s="74"/>
      <c r="Q1317" s="75" t="s">
        <v>4384</v>
      </c>
      <c r="R1317" s="230">
        <v>3624</v>
      </c>
      <c r="S1317" s="263">
        <v>0</v>
      </c>
      <c r="T1317" s="230">
        <v>3624</v>
      </c>
      <c r="U1317" s="261">
        <v>1491</v>
      </c>
      <c r="V1317" s="262"/>
      <c r="W1317" s="262"/>
      <c r="X1317" s="261"/>
      <c r="Y1317" s="85"/>
      <c r="Z1317" s="101">
        <v>0.1</v>
      </c>
      <c r="AA1317" s="102">
        <v>0.09</v>
      </c>
      <c r="AB1317" s="77"/>
      <c r="AC1317" s="78"/>
    </row>
    <row r="1318" spans="1:29" ht="27" customHeight="1" x14ac:dyDescent="0.2">
      <c r="A1318" s="117" t="s">
        <v>4385</v>
      </c>
      <c r="B1318" s="118" t="e">
        <f t="shared" si="146"/>
        <v>#VALUE!</v>
      </c>
      <c r="C1318" s="118" t="s">
        <v>612</v>
      </c>
      <c r="D1318" s="113">
        <v>40710</v>
      </c>
      <c r="E1318" s="84">
        <v>40756</v>
      </c>
      <c r="F1318" s="84">
        <f t="shared" si="147"/>
        <v>44409</v>
      </c>
      <c r="G1318" s="229">
        <v>754.27</v>
      </c>
      <c r="H1318" s="237" t="s">
        <v>960</v>
      </c>
      <c r="I1318" s="71" t="s">
        <v>691</v>
      </c>
      <c r="J1318" s="79"/>
      <c r="K1318" s="55">
        <f t="shared" si="148"/>
        <v>2021</v>
      </c>
      <c r="L1318" s="80"/>
      <c r="M1318" s="80"/>
      <c r="N1318" s="73" t="s">
        <v>4386</v>
      </c>
      <c r="O1318" s="73" t="s">
        <v>4387</v>
      </c>
      <c r="P1318" s="74"/>
      <c r="Q1318" s="75" t="s">
        <v>4388</v>
      </c>
      <c r="R1318" s="230">
        <v>2787.5</v>
      </c>
      <c r="S1318" s="230">
        <v>41525</v>
      </c>
      <c r="T1318" s="230">
        <v>44312.5</v>
      </c>
      <c r="U1318" s="261">
        <v>1132.5</v>
      </c>
      <c r="V1318" s="262"/>
      <c r="W1318" s="262"/>
      <c r="X1318" s="261"/>
      <c r="Y1318" s="85"/>
      <c r="Z1318" s="101">
        <v>0.1</v>
      </c>
      <c r="AA1318" s="102">
        <v>0.09</v>
      </c>
      <c r="AB1318" s="77"/>
      <c r="AC1318" s="78"/>
    </row>
    <row r="1319" spans="1:29" x14ac:dyDescent="0.2">
      <c r="A1319" s="117" t="s">
        <v>4389</v>
      </c>
      <c r="B1319" s="118" t="e">
        <f t="shared" si="146"/>
        <v>#VALUE!</v>
      </c>
      <c r="C1319" s="118" t="s">
        <v>612</v>
      </c>
      <c r="D1319" s="113">
        <v>40710</v>
      </c>
      <c r="E1319" s="84">
        <v>40756</v>
      </c>
      <c r="F1319" s="84">
        <f t="shared" si="147"/>
        <v>44409</v>
      </c>
      <c r="G1319" s="229">
        <v>395.33</v>
      </c>
      <c r="H1319" s="237" t="s">
        <v>960</v>
      </c>
      <c r="I1319" s="71" t="s">
        <v>691</v>
      </c>
      <c r="J1319" s="79"/>
      <c r="K1319" s="55">
        <f t="shared" si="148"/>
        <v>2021</v>
      </c>
      <c r="L1319" s="80"/>
      <c r="M1319" s="80"/>
      <c r="N1319" s="73" t="s">
        <v>4390</v>
      </c>
      <c r="O1319" s="73" t="s">
        <v>4312</v>
      </c>
      <c r="P1319" s="74"/>
      <c r="Q1319" s="75" t="s">
        <v>4391</v>
      </c>
      <c r="R1319" s="230">
        <v>1531</v>
      </c>
      <c r="S1319" s="230">
        <v>22176</v>
      </c>
      <c r="T1319" s="230">
        <v>23707</v>
      </c>
      <c r="U1319" s="261">
        <v>594</v>
      </c>
      <c r="V1319" s="262"/>
      <c r="W1319" s="262"/>
      <c r="X1319" s="261"/>
      <c r="Y1319" s="85"/>
      <c r="Z1319" s="101">
        <v>0.1</v>
      </c>
      <c r="AA1319" s="102">
        <v>0.09</v>
      </c>
      <c r="AB1319" s="77"/>
      <c r="AC1319" s="78"/>
    </row>
    <row r="1320" spans="1:29" x14ac:dyDescent="0.2">
      <c r="A1320" s="117" t="s">
        <v>4392</v>
      </c>
      <c r="B1320" s="118" t="e">
        <f t="shared" si="146"/>
        <v>#VALUE!</v>
      </c>
      <c r="C1320" s="118" t="s">
        <v>612</v>
      </c>
      <c r="D1320" s="113">
        <v>40710</v>
      </c>
      <c r="E1320" s="84">
        <v>40756</v>
      </c>
      <c r="F1320" s="84">
        <f t="shared" si="147"/>
        <v>44409</v>
      </c>
      <c r="G1320" s="229">
        <v>76.900000000000006</v>
      </c>
      <c r="H1320" s="237" t="s">
        <v>1086</v>
      </c>
      <c r="I1320" s="71" t="s">
        <v>691</v>
      </c>
      <c r="J1320" s="79"/>
      <c r="K1320" s="55">
        <f t="shared" si="148"/>
        <v>2021</v>
      </c>
      <c r="L1320" s="80"/>
      <c r="M1320" s="80"/>
      <c r="N1320" s="73" t="s">
        <v>4393</v>
      </c>
      <c r="O1320" s="73" t="s">
        <v>4394</v>
      </c>
      <c r="P1320" s="74"/>
      <c r="Q1320" s="75" t="s">
        <v>4395</v>
      </c>
      <c r="R1320" s="230">
        <v>414.5</v>
      </c>
      <c r="S1320" s="263">
        <v>0</v>
      </c>
      <c r="T1320" s="230">
        <v>414.5</v>
      </c>
      <c r="U1320" s="261">
        <v>115.5</v>
      </c>
      <c r="V1320" s="262"/>
      <c r="W1320" s="262"/>
      <c r="X1320" s="261"/>
      <c r="Y1320" s="85"/>
      <c r="Z1320" s="101">
        <v>0.1</v>
      </c>
      <c r="AA1320" s="102">
        <v>0.09</v>
      </c>
      <c r="AB1320" s="77"/>
      <c r="AC1320" s="78"/>
    </row>
    <row r="1321" spans="1:29" x14ac:dyDescent="0.2">
      <c r="A1321" s="117" t="s">
        <v>4396</v>
      </c>
      <c r="B1321" s="118" t="e">
        <f t="shared" si="146"/>
        <v>#VALUE!</v>
      </c>
      <c r="C1321" s="118" t="s">
        <v>612</v>
      </c>
      <c r="D1321" s="113">
        <v>40710</v>
      </c>
      <c r="E1321" s="84">
        <v>40756</v>
      </c>
      <c r="F1321" s="84">
        <f t="shared" si="147"/>
        <v>44409</v>
      </c>
      <c r="G1321" s="229">
        <v>105.85</v>
      </c>
      <c r="H1321" s="237" t="s">
        <v>4397</v>
      </c>
      <c r="I1321" s="71" t="s">
        <v>691</v>
      </c>
      <c r="J1321" s="79"/>
      <c r="K1321" s="55">
        <f t="shared" si="148"/>
        <v>2021</v>
      </c>
      <c r="L1321" s="80"/>
      <c r="M1321" s="80"/>
      <c r="N1321" s="73" t="s">
        <v>4393</v>
      </c>
      <c r="O1321" s="73" t="s">
        <v>4398</v>
      </c>
      <c r="P1321" s="74"/>
      <c r="Q1321" s="75" t="s">
        <v>4399</v>
      </c>
      <c r="R1321" s="230">
        <v>516</v>
      </c>
      <c r="S1321" s="263">
        <v>0</v>
      </c>
      <c r="T1321" s="230">
        <v>516</v>
      </c>
      <c r="U1321" s="261">
        <v>159</v>
      </c>
      <c r="V1321" s="262"/>
      <c r="W1321" s="262"/>
      <c r="X1321" s="261"/>
      <c r="Y1321" s="85"/>
      <c r="Z1321" s="101">
        <v>0.1</v>
      </c>
      <c r="AA1321" s="102">
        <v>0.09</v>
      </c>
      <c r="AB1321" s="77"/>
      <c r="AC1321" s="78"/>
    </row>
    <row r="1322" spans="1:29" x14ac:dyDescent="0.2">
      <c r="A1322" s="117" t="s">
        <v>4400</v>
      </c>
      <c r="B1322" s="118" t="e">
        <f t="shared" si="146"/>
        <v>#VALUE!</v>
      </c>
      <c r="C1322" s="118" t="s">
        <v>612</v>
      </c>
      <c r="D1322" s="113">
        <v>40710</v>
      </c>
      <c r="E1322" s="84">
        <v>40756</v>
      </c>
      <c r="F1322" s="84">
        <f t="shared" si="147"/>
        <v>44409</v>
      </c>
      <c r="G1322" s="229">
        <v>671.46</v>
      </c>
      <c r="H1322" s="237" t="s">
        <v>4397</v>
      </c>
      <c r="I1322" s="71" t="s">
        <v>691</v>
      </c>
      <c r="J1322" s="79"/>
      <c r="K1322" s="55">
        <f t="shared" si="148"/>
        <v>2021</v>
      </c>
      <c r="L1322" s="80"/>
      <c r="M1322" s="80"/>
      <c r="N1322" s="73" t="s">
        <v>4393</v>
      </c>
      <c r="O1322" s="73" t="s">
        <v>4401</v>
      </c>
      <c r="P1322" s="74"/>
      <c r="Q1322" s="75" t="s">
        <v>4402</v>
      </c>
      <c r="R1322" s="230">
        <v>2497</v>
      </c>
      <c r="S1322" s="230">
        <v>8736</v>
      </c>
      <c r="T1322" s="230">
        <v>11233</v>
      </c>
      <c r="U1322" s="261">
        <v>1008</v>
      </c>
      <c r="V1322" s="262"/>
      <c r="W1322" s="262"/>
      <c r="X1322" s="261"/>
      <c r="Y1322" s="85"/>
      <c r="Z1322" s="101">
        <v>0.1</v>
      </c>
      <c r="AA1322" s="102">
        <v>0.09</v>
      </c>
      <c r="AB1322" s="77"/>
      <c r="AC1322" s="78"/>
    </row>
    <row r="1323" spans="1:29" x14ac:dyDescent="0.2">
      <c r="A1323" s="117" t="s">
        <v>4403</v>
      </c>
      <c r="B1323" s="118" t="e">
        <f t="shared" si="146"/>
        <v>#VALUE!</v>
      </c>
      <c r="C1323" s="118" t="s">
        <v>612</v>
      </c>
      <c r="D1323" s="113">
        <v>40710</v>
      </c>
      <c r="E1323" s="84">
        <v>40756</v>
      </c>
      <c r="F1323" s="84">
        <f t="shared" si="147"/>
        <v>44409</v>
      </c>
      <c r="G1323" s="229">
        <v>34.85</v>
      </c>
      <c r="H1323" s="237" t="s">
        <v>4397</v>
      </c>
      <c r="I1323" s="71" t="s">
        <v>691</v>
      </c>
      <c r="J1323" s="79"/>
      <c r="K1323" s="55">
        <f t="shared" si="148"/>
        <v>2021</v>
      </c>
      <c r="L1323" s="80"/>
      <c r="M1323" s="80"/>
      <c r="N1323" s="73" t="s">
        <v>4393</v>
      </c>
      <c r="O1323" s="73" t="s">
        <v>4404</v>
      </c>
      <c r="P1323" s="74"/>
      <c r="Q1323" s="75" t="s">
        <v>4405</v>
      </c>
      <c r="R1323" s="230">
        <v>267.5</v>
      </c>
      <c r="S1323" s="230">
        <v>280</v>
      </c>
      <c r="T1323" s="230">
        <v>547.5</v>
      </c>
      <c r="U1323" s="261">
        <v>52.5</v>
      </c>
      <c r="V1323" s="262"/>
      <c r="W1323" s="262"/>
      <c r="X1323" s="261"/>
      <c r="Y1323" s="85"/>
      <c r="Z1323" s="101">
        <v>0.1</v>
      </c>
      <c r="AA1323" s="102">
        <v>0.09</v>
      </c>
      <c r="AB1323" s="77"/>
      <c r="AC1323" s="78"/>
    </row>
    <row r="1324" spans="1:29" ht="27" customHeight="1" x14ac:dyDescent="0.2">
      <c r="A1324" s="117" t="s">
        <v>4406</v>
      </c>
      <c r="B1324" s="118" t="e">
        <f t="shared" si="146"/>
        <v>#VALUE!</v>
      </c>
      <c r="C1324" s="118" t="s">
        <v>612</v>
      </c>
      <c r="D1324" s="113">
        <v>40710</v>
      </c>
      <c r="E1324" s="84">
        <v>40756</v>
      </c>
      <c r="F1324" s="84">
        <f t="shared" si="147"/>
        <v>44409</v>
      </c>
      <c r="G1324" s="229">
        <v>991.78</v>
      </c>
      <c r="H1324" s="237" t="s">
        <v>960</v>
      </c>
      <c r="I1324" s="71" t="s">
        <v>691</v>
      </c>
      <c r="J1324" s="238" t="s">
        <v>1750</v>
      </c>
      <c r="K1324" s="55">
        <f t="shared" si="148"/>
        <v>2021</v>
      </c>
      <c r="L1324" s="239"/>
      <c r="M1324" s="239"/>
      <c r="N1324" s="73" t="s">
        <v>4407</v>
      </c>
      <c r="O1324" s="73" t="s">
        <v>4312</v>
      </c>
      <c r="P1324" s="74"/>
      <c r="Q1324" s="75" t="s">
        <v>4408</v>
      </c>
      <c r="R1324" s="230">
        <v>3617</v>
      </c>
      <c r="S1324" s="230">
        <v>5952</v>
      </c>
      <c r="T1324" s="230">
        <v>9569</v>
      </c>
      <c r="U1324" s="261">
        <v>1488</v>
      </c>
      <c r="V1324" s="262"/>
      <c r="W1324" s="262"/>
      <c r="X1324" s="261"/>
      <c r="Y1324" s="85"/>
      <c r="Z1324" s="101">
        <v>0.1</v>
      </c>
      <c r="AA1324" s="102">
        <v>0.09</v>
      </c>
      <c r="AB1324" s="77"/>
      <c r="AC1324" s="78"/>
    </row>
    <row r="1325" spans="1:29" ht="27" customHeight="1" x14ac:dyDescent="0.2">
      <c r="A1325" s="117" t="s">
        <v>4409</v>
      </c>
      <c r="B1325" s="118" t="e">
        <f t="shared" si="146"/>
        <v>#VALUE!</v>
      </c>
      <c r="C1325" s="118" t="s">
        <v>612</v>
      </c>
      <c r="D1325" s="113">
        <v>40710</v>
      </c>
      <c r="E1325" s="84">
        <v>40756</v>
      </c>
      <c r="F1325" s="84">
        <f t="shared" si="147"/>
        <v>44409</v>
      </c>
      <c r="G1325" s="229">
        <v>20.73</v>
      </c>
      <c r="H1325" s="237" t="s">
        <v>960</v>
      </c>
      <c r="I1325" s="71" t="s">
        <v>691</v>
      </c>
      <c r="J1325" s="238" t="s">
        <v>1750</v>
      </c>
      <c r="K1325" s="55">
        <f t="shared" si="148"/>
        <v>2021</v>
      </c>
      <c r="L1325" s="239"/>
      <c r="M1325" s="239"/>
      <c r="N1325" s="73" t="s">
        <v>4407</v>
      </c>
      <c r="O1325" s="73" t="s">
        <v>4410</v>
      </c>
      <c r="P1325" s="74"/>
      <c r="Q1325" s="75" t="s">
        <v>4411</v>
      </c>
      <c r="R1325" s="230">
        <v>218.5</v>
      </c>
      <c r="S1325" s="230">
        <v>105</v>
      </c>
      <c r="T1325" s="230">
        <v>323.5</v>
      </c>
      <c r="U1325" s="261">
        <v>31.5</v>
      </c>
      <c r="V1325" s="262"/>
      <c r="W1325" s="262"/>
      <c r="X1325" s="261"/>
      <c r="Y1325" s="85"/>
      <c r="Z1325" s="101">
        <v>0.1</v>
      </c>
      <c r="AA1325" s="102">
        <v>0.09</v>
      </c>
      <c r="AB1325" s="77"/>
      <c r="AC1325" s="78"/>
    </row>
    <row r="1326" spans="1:29" x14ac:dyDescent="0.2">
      <c r="A1326" s="117" t="s">
        <v>4412</v>
      </c>
      <c r="B1326" s="118" t="e">
        <f t="shared" si="146"/>
        <v>#VALUE!</v>
      </c>
      <c r="C1326" s="118" t="s">
        <v>612</v>
      </c>
      <c r="D1326" s="113">
        <v>40710</v>
      </c>
      <c r="E1326" s="84">
        <v>40756</v>
      </c>
      <c r="F1326" s="84">
        <f t="shared" si="147"/>
        <v>44409</v>
      </c>
      <c r="G1326" s="229">
        <v>39.78</v>
      </c>
      <c r="H1326" s="237" t="s">
        <v>960</v>
      </c>
      <c r="I1326" s="71" t="s">
        <v>691</v>
      </c>
      <c r="J1326" s="79"/>
      <c r="K1326" s="55">
        <f t="shared" si="148"/>
        <v>2021</v>
      </c>
      <c r="L1326" s="80"/>
      <c r="M1326" s="80"/>
      <c r="N1326" s="73" t="s">
        <v>4407</v>
      </c>
      <c r="O1326" s="73" t="s">
        <v>4413</v>
      </c>
      <c r="P1326" s="74"/>
      <c r="Q1326" s="75" t="s">
        <v>4414</v>
      </c>
      <c r="R1326" s="230">
        <v>285</v>
      </c>
      <c r="S1326" s="230">
        <v>240</v>
      </c>
      <c r="T1326" s="230">
        <v>525</v>
      </c>
      <c r="U1326" s="261">
        <v>60</v>
      </c>
      <c r="V1326" s="262"/>
      <c r="W1326" s="262"/>
      <c r="X1326" s="261"/>
      <c r="Y1326" s="85"/>
      <c r="Z1326" s="101">
        <v>0.1</v>
      </c>
      <c r="AA1326" s="102">
        <v>0.09</v>
      </c>
      <c r="AB1326" s="77"/>
      <c r="AC1326" s="78"/>
    </row>
    <row r="1327" spans="1:29" ht="27" customHeight="1" x14ac:dyDescent="0.2">
      <c r="A1327" s="117" t="s">
        <v>4415</v>
      </c>
      <c r="B1327" s="118" t="e">
        <f t="shared" si="146"/>
        <v>#VALUE!</v>
      </c>
      <c r="C1327" s="118" t="s">
        <v>612</v>
      </c>
      <c r="D1327" s="113">
        <v>40710</v>
      </c>
      <c r="E1327" s="84">
        <v>40756</v>
      </c>
      <c r="F1327" s="84">
        <f t="shared" si="147"/>
        <v>44409</v>
      </c>
      <c r="G1327" s="229">
        <v>1212.3599999999999</v>
      </c>
      <c r="H1327" s="237" t="s">
        <v>960</v>
      </c>
      <c r="I1327" s="71" t="s">
        <v>691</v>
      </c>
      <c r="J1327" s="238" t="s">
        <v>1750</v>
      </c>
      <c r="K1327" s="55">
        <f t="shared" si="148"/>
        <v>2021</v>
      </c>
      <c r="L1327" s="239"/>
      <c r="M1327" s="239"/>
      <c r="N1327" s="73" t="s">
        <v>4416</v>
      </c>
      <c r="O1327" s="73" t="s">
        <v>4417</v>
      </c>
      <c r="P1327" s="74"/>
      <c r="Q1327" s="75" t="s">
        <v>4418</v>
      </c>
      <c r="R1327" s="230">
        <v>4390.5</v>
      </c>
      <c r="S1327" s="230">
        <v>7278</v>
      </c>
      <c r="T1327" s="230">
        <v>11668.5</v>
      </c>
      <c r="U1327" s="261">
        <v>1819.5</v>
      </c>
      <c r="V1327" s="262"/>
      <c r="W1327" s="262"/>
      <c r="X1327" s="261"/>
      <c r="Y1327" s="85"/>
      <c r="Z1327" s="101">
        <v>0.1</v>
      </c>
      <c r="AA1327" s="102">
        <v>0.09</v>
      </c>
      <c r="AB1327" s="77"/>
      <c r="AC1327" s="78"/>
    </row>
    <row r="1328" spans="1:29" ht="53" customHeight="1" x14ac:dyDescent="0.2">
      <c r="A1328" s="117" t="s">
        <v>4419</v>
      </c>
      <c r="B1328" s="118" t="e">
        <f t="shared" si="146"/>
        <v>#VALUE!</v>
      </c>
      <c r="C1328" s="118" t="s">
        <v>612</v>
      </c>
      <c r="D1328" s="113">
        <v>40710</v>
      </c>
      <c r="E1328" s="84">
        <v>40756</v>
      </c>
      <c r="F1328" s="84">
        <f t="shared" si="147"/>
        <v>44409</v>
      </c>
      <c r="G1328" s="229">
        <v>1157.5899999999999</v>
      </c>
      <c r="H1328" s="237" t="s">
        <v>960</v>
      </c>
      <c r="I1328" s="71" t="s">
        <v>691</v>
      </c>
      <c r="J1328" s="238" t="s">
        <v>1750</v>
      </c>
      <c r="K1328" s="55">
        <f t="shared" si="148"/>
        <v>2021</v>
      </c>
      <c r="L1328" s="239"/>
      <c r="M1328" s="239"/>
      <c r="N1328" s="73" t="s">
        <v>4416</v>
      </c>
      <c r="O1328" s="73" t="s">
        <v>4420</v>
      </c>
      <c r="P1328" s="74"/>
      <c r="Q1328" s="75" t="s">
        <v>4421</v>
      </c>
      <c r="R1328" s="230">
        <v>4198</v>
      </c>
      <c r="S1328" s="230">
        <v>32424</v>
      </c>
      <c r="T1328" s="230">
        <v>36622</v>
      </c>
      <c r="U1328" s="261">
        <v>1737</v>
      </c>
      <c r="V1328" s="262"/>
      <c r="W1328" s="262"/>
      <c r="X1328" s="261"/>
      <c r="Y1328" s="85"/>
      <c r="Z1328" s="101">
        <v>0.1</v>
      </c>
      <c r="AA1328" s="102">
        <v>0.09</v>
      </c>
      <c r="AB1328" s="77"/>
      <c r="AC1328" s="78"/>
    </row>
    <row r="1329" spans="1:29" ht="27" customHeight="1" x14ac:dyDescent="0.2">
      <c r="A1329" s="117" t="s">
        <v>4422</v>
      </c>
      <c r="B1329" s="118" t="e">
        <f t="shared" si="146"/>
        <v>#VALUE!</v>
      </c>
      <c r="C1329" s="118" t="s">
        <v>612</v>
      </c>
      <c r="D1329" s="113">
        <v>40710</v>
      </c>
      <c r="E1329" s="84">
        <v>40756</v>
      </c>
      <c r="F1329" s="84">
        <f t="shared" si="147"/>
        <v>44409</v>
      </c>
      <c r="G1329" s="229">
        <v>1193.71</v>
      </c>
      <c r="H1329" s="237" t="s">
        <v>960</v>
      </c>
      <c r="I1329" s="71" t="s">
        <v>691</v>
      </c>
      <c r="J1329" s="238" t="s">
        <v>1750</v>
      </c>
      <c r="K1329" s="55">
        <f t="shared" si="148"/>
        <v>2021</v>
      </c>
      <c r="L1329" s="239"/>
      <c r="M1329" s="239"/>
      <c r="N1329" s="73" t="s">
        <v>4416</v>
      </c>
      <c r="O1329" s="73" t="s">
        <v>4423</v>
      </c>
      <c r="P1329" s="74"/>
      <c r="Q1329" s="75" t="s">
        <v>4424</v>
      </c>
      <c r="R1329" s="230">
        <v>4324</v>
      </c>
      <c r="S1329" s="230">
        <v>33432</v>
      </c>
      <c r="T1329" s="230">
        <v>37756</v>
      </c>
      <c r="U1329" s="261">
        <v>1791</v>
      </c>
      <c r="V1329" s="262"/>
      <c r="W1329" s="262"/>
      <c r="X1329" s="261"/>
      <c r="Y1329" s="85"/>
      <c r="Z1329" s="101">
        <v>0.1</v>
      </c>
      <c r="AA1329" s="102">
        <v>0.09</v>
      </c>
      <c r="AB1329" s="77"/>
      <c r="AC1329" s="78"/>
    </row>
    <row r="1330" spans="1:29" ht="27" customHeight="1" x14ac:dyDescent="0.2">
      <c r="A1330" s="117" t="s">
        <v>4425</v>
      </c>
      <c r="B1330" s="118" t="e">
        <f t="shared" si="146"/>
        <v>#VALUE!</v>
      </c>
      <c r="C1330" s="118" t="s">
        <v>612</v>
      </c>
      <c r="D1330" s="113">
        <v>40710</v>
      </c>
      <c r="E1330" s="84">
        <v>40756</v>
      </c>
      <c r="F1330" s="84">
        <f t="shared" si="147"/>
        <v>44409</v>
      </c>
      <c r="G1330" s="229">
        <v>1134.07</v>
      </c>
      <c r="H1330" s="237" t="s">
        <v>960</v>
      </c>
      <c r="I1330" s="71" t="s">
        <v>691</v>
      </c>
      <c r="J1330" s="238" t="s">
        <v>1750</v>
      </c>
      <c r="K1330" s="55">
        <f t="shared" si="148"/>
        <v>2021</v>
      </c>
      <c r="L1330" s="239"/>
      <c r="M1330" s="239"/>
      <c r="N1330" s="73" t="s">
        <v>4416</v>
      </c>
      <c r="O1330" s="73" t="s">
        <v>4426</v>
      </c>
      <c r="P1330" s="74"/>
      <c r="Q1330" s="75" t="s">
        <v>4427</v>
      </c>
      <c r="R1330" s="230">
        <v>4117.5</v>
      </c>
      <c r="S1330" s="230">
        <v>7945</v>
      </c>
      <c r="T1330" s="230">
        <v>12062.5</v>
      </c>
      <c r="U1330" s="261">
        <v>1702.5</v>
      </c>
      <c r="V1330" s="262"/>
      <c r="W1330" s="262"/>
      <c r="X1330" s="261"/>
      <c r="Y1330" s="85"/>
      <c r="Z1330" s="101">
        <v>0.1</v>
      </c>
      <c r="AA1330" s="102">
        <v>0.09</v>
      </c>
      <c r="AB1330" s="77"/>
      <c r="AC1330" s="78"/>
    </row>
    <row r="1331" spans="1:29" ht="27" customHeight="1" x14ac:dyDescent="0.2">
      <c r="A1331" s="117" t="s">
        <v>4428</v>
      </c>
      <c r="B1331" s="118" t="e">
        <f t="shared" si="146"/>
        <v>#VALUE!</v>
      </c>
      <c r="C1331" s="118" t="s">
        <v>612</v>
      </c>
      <c r="D1331" s="113">
        <v>40710</v>
      </c>
      <c r="E1331" s="84">
        <v>40756</v>
      </c>
      <c r="F1331" s="84">
        <f t="shared" si="147"/>
        <v>44409</v>
      </c>
      <c r="G1331" s="229">
        <v>1144.33</v>
      </c>
      <c r="H1331" s="237" t="s">
        <v>960</v>
      </c>
      <c r="I1331" s="71" t="s">
        <v>691</v>
      </c>
      <c r="J1331" s="238" t="s">
        <v>1750</v>
      </c>
      <c r="K1331" s="55">
        <f t="shared" si="148"/>
        <v>2021</v>
      </c>
      <c r="L1331" s="239"/>
      <c r="M1331" s="239"/>
      <c r="N1331" s="73" t="s">
        <v>4416</v>
      </c>
      <c r="O1331" s="73" t="s">
        <v>4429</v>
      </c>
      <c r="P1331" s="74"/>
      <c r="Q1331" s="75" t="s">
        <v>4430</v>
      </c>
      <c r="R1331" s="230">
        <v>4152.5</v>
      </c>
      <c r="S1331" s="230">
        <v>6870</v>
      </c>
      <c r="T1331" s="230">
        <v>11022.5</v>
      </c>
      <c r="U1331" s="261">
        <v>1717.5</v>
      </c>
      <c r="V1331" s="262"/>
      <c r="W1331" s="262"/>
      <c r="X1331" s="261"/>
      <c r="Y1331" s="85"/>
      <c r="Z1331" s="101">
        <v>0.1</v>
      </c>
      <c r="AA1331" s="102">
        <v>0.09</v>
      </c>
      <c r="AB1331" s="77"/>
      <c r="AC1331" s="78"/>
    </row>
    <row r="1332" spans="1:29" ht="27" customHeight="1" x14ac:dyDescent="0.2">
      <c r="A1332" s="117" t="s">
        <v>4431</v>
      </c>
      <c r="B1332" s="118" t="e">
        <f t="shared" si="146"/>
        <v>#VALUE!</v>
      </c>
      <c r="C1332" s="118" t="s">
        <v>612</v>
      </c>
      <c r="D1332" s="113">
        <v>40710</v>
      </c>
      <c r="E1332" s="84">
        <v>40756</v>
      </c>
      <c r="F1332" s="84">
        <f t="shared" si="147"/>
        <v>44409</v>
      </c>
      <c r="G1332" s="229">
        <v>1580.28</v>
      </c>
      <c r="H1332" s="237" t="s">
        <v>960</v>
      </c>
      <c r="I1332" s="71" t="s">
        <v>691</v>
      </c>
      <c r="J1332" s="79"/>
      <c r="K1332" s="55">
        <f t="shared" si="148"/>
        <v>2021</v>
      </c>
      <c r="L1332" s="80"/>
      <c r="M1332" s="80"/>
      <c r="N1332" s="73" t="s">
        <v>4432</v>
      </c>
      <c r="O1332" s="73" t="s">
        <v>4433</v>
      </c>
      <c r="P1332" s="74"/>
      <c r="Q1332" s="75" t="s">
        <v>4434</v>
      </c>
      <c r="R1332" s="230">
        <v>5678.5</v>
      </c>
      <c r="S1332" s="230">
        <v>7905</v>
      </c>
      <c r="T1332" s="230">
        <v>13583.5</v>
      </c>
      <c r="U1332" s="261">
        <v>2371.5</v>
      </c>
      <c r="V1332" s="262"/>
      <c r="W1332" s="262"/>
      <c r="X1332" s="261"/>
      <c r="Y1332" s="85"/>
      <c r="Z1332" s="101">
        <v>0.1</v>
      </c>
      <c r="AA1332" s="102">
        <v>0.09</v>
      </c>
      <c r="AB1332" s="77"/>
      <c r="AC1332" s="78"/>
    </row>
    <row r="1333" spans="1:29" ht="66" customHeight="1" x14ac:dyDescent="0.2">
      <c r="A1333" s="117" t="s">
        <v>4435</v>
      </c>
      <c r="B1333" s="118" t="e">
        <f t="shared" si="146"/>
        <v>#VALUE!</v>
      </c>
      <c r="C1333" s="118" t="s">
        <v>612</v>
      </c>
      <c r="D1333" s="113">
        <v>40710</v>
      </c>
      <c r="E1333" s="84">
        <v>40756</v>
      </c>
      <c r="F1333" s="84">
        <f t="shared" si="147"/>
        <v>44409</v>
      </c>
      <c r="G1333" s="229">
        <v>908.42</v>
      </c>
      <c r="H1333" s="237" t="s">
        <v>960</v>
      </c>
      <c r="I1333" s="71" t="s">
        <v>691</v>
      </c>
      <c r="J1333" s="79"/>
      <c r="K1333" s="55">
        <f t="shared" si="148"/>
        <v>2021</v>
      </c>
      <c r="L1333" s="80"/>
      <c r="M1333" s="80"/>
      <c r="N1333" s="73" t="s">
        <v>4432</v>
      </c>
      <c r="O1333" s="73" t="s">
        <v>4436</v>
      </c>
      <c r="P1333" s="74"/>
      <c r="Q1333" s="75" t="s">
        <v>4437</v>
      </c>
      <c r="R1333" s="230">
        <v>3326.5</v>
      </c>
      <c r="S1333" s="230">
        <v>5454</v>
      </c>
      <c r="T1333" s="230">
        <v>8780.5</v>
      </c>
      <c r="U1333" s="261">
        <v>1363.5</v>
      </c>
      <c r="V1333" s="262"/>
      <c r="W1333" s="262"/>
      <c r="X1333" s="261"/>
      <c r="Y1333" s="85"/>
      <c r="Z1333" s="101">
        <v>0.1</v>
      </c>
      <c r="AA1333" s="102">
        <v>0.09</v>
      </c>
      <c r="AB1333" s="77"/>
      <c r="AC1333" s="78"/>
    </row>
    <row r="1334" spans="1:29" x14ac:dyDescent="0.2">
      <c r="A1334" s="117" t="s">
        <v>4438</v>
      </c>
      <c r="B1334" s="118" t="e">
        <f t="shared" si="146"/>
        <v>#VALUE!</v>
      </c>
      <c r="C1334" s="118" t="s">
        <v>612</v>
      </c>
      <c r="D1334" s="113">
        <v>40710</v>
      </c>
      <c r="E1334" s="84">
        <v>40756</v>
      </c>
      <c r="F1334" s="84">
        <f t="shared" si="147"/>
        <v>44409</v>
      </c>
      <c r="G1334" s="229">
        <v>973.07</v>
      </c>
      <c r="H1334" s="237" t="s">
        <v>1086</v>
      </c>
      <c r="I1334" s="71" t="s">
        <v>691</v>
      </c>
      <c r="J1334" s="79"/>
      <c r="K1334" s="55">
        <f t="shared" si="148"/>
        <v>2021</v>
      </c>
      <c r="L1334" s="80"/>
      <c r="M1334" s="80"/>
      <c r="N1334" s="73" t="s">
        <v>4439</v>
      </c>
      <c r="O1334" s="73" t="s">
        <v>4312</v>
      </c>
      <c r="P1334" s="74"/>
      <c r="Q1334" s="75" t="s">
        <v>4440</v>
      </c>
      <c r="R1334" s="230">
        <v>3554</v>
      </c>
      <c r="S1334" s="263">
        <v>0</v>
      </c>
      <c r="T1334" s="230">
        <v>3554</v>
      </c>
      <c r="U1334" s="261">
        <v>1461</v>
      </c>
      <c r="V1334" s="262"/>
      <c r="W1334" s="262"/>
      <c r="X1334" s="261"/>
      <c r="Y1334" s="85"/>
      <c r="Z1334" s="101">
        <v>0.1</v>
      </c>
      <c r="AA1334" s="102">
        <v>0.09</v>
      </c>
      <c r="AB1334" s="77"/>
      <c r="AC1334" s="78"/>
    </row>
    <row r="1335" spans="1:29" x14ac:dyDescent="0.2">
      <c r="A1335" s="117" t="s">
        <v>4441</v>
      </c>
      <c r="B1335" s="118" t="e">
        <f t="shared" si="146"/>
        <v>#VALUE!</v>
      </c>
      <c r="C1335" s="118" t="s">
        <v>612</v>
      </c>
      <c r="D1335" s="113">
        <v>40710</v>
      </c>
      <c r="E1335" s="84">
        <v>40756</v>
      </c>
      <c r="F1335" s="84">
        <f t="shared" si="147"/>
        <v>44409</v>
      </c>
      <c r="G1335" s="229">
        <v>240</v>
      </c>
      <c r="H1335" s="237" t="s">
        <v>1086</v>
      </c>
      <c r="I1335" s="71" t="s">
        <v>691</v>
      </c>
      <c r="J1335" s="79"/>
      <c r="K1335" s="55">
        <f t="shared" si="148"/>
        <v>2021</v>
      </c>
      <c r="L1335" s="80"/>
      <c r="M1335" s="80"/>
      <c r="N1335" s="73" t="s">
        <v>4439</v>
      </c>
      <c r="O1335" s="73" t="s">
        <v>4442</v>
      </c>
      <c r="P1335" s="74"/>
      <c r="Q1335" s="75" t="s">
        <v>4443</v>
      </c>
      <c r="R1335" s="230">
        <v>985</v>
      </c>
      <c r="S1335" s="230">
        <v>5280</v>
      </c>
      <c r="T1335" s="230">
        <v>6265</v>
      </c>
      <c r="U1335" s="261">
        <v>360</v>
      </c>
      <c r="V1335" s="262"/>
      <c r="W1335" s="262"/>
      <c r="X1335" s="261"/>
      <c r="Y1335" s="85"/>
      <c r="Z1335" s="101">
        <v>0.1</v>
      </c>
      <c r="AA1335" s="102">
        <v>0.09</v>
      </c>
      <c r="AB1335" s="77"/>
      <c r="AC1335" s="78"/>
    </row>
    <row r="1336" spans="1:29" ht="27" customHeight="1" x14ac:dyDescent="0.2">
      <c r="A1336" s="117" t="s">
        <v>4444</v>
      </c>
      <c r="B1336" s="118" t="e">
        <f t="shared" si="146"/>
        <v>#VALUE!</v>
      </c>
      <c r="C1336" s="118" t="s">
        <v>612</v>
      </c>
      <c r="D1336" s="113">
        <v>40710</v>
      </c>
      <c r="E1336" s="84">
        <v>40756</v>
      </c>
      <c r="F1336" s="84">
        <f t="shared" si="147"/>
        <v>44409</v>
      </c>
      <c r="G1336" s="229">
        <v>837</v>
      </c>
      <c r="H1336" s="237" t="s">
        <v>1086</v>
      </c>
      <c r="I1336" s="71" t="s">
        <v>691</v>
      </c>
      <c r="J1336" s="79"/>
      <c r="K1336" s="55">
        <f t="shared" si="148"/>
        <v>2021</v>
      </c>
      <c r="L1336" s="80"/>
      <c r="M1336" s="80"/>
      <c r="N1336" s="73" t="s">
        <v>4439</v>
      </c>
      <c r="O1336" s="73" t="s">
        <v>4445</v>
      </c>
      <c r="P1336" s="74"/>
      <c r="Q1336" s="75" t="s">
        <v>4446</v>
      </c>
      <c r="R1336" s="230">
        <v>3074.5</v>
      </c>
      <c r="S1336" s="230">
        <v>0</v>
      </c>
      <c r="T1336" s="230">
        <v>3074.5</v>
      </c>
      <c r="U1336" s="261">
        <v>1255.5</v>
      </c>
      <c r="V1336" s="262"/>
      <c r="W1336" s="262"/>
      <c r="X1336" s="261"/>
      <c r="Y1336" s="85"/>
      <c r="Z1336" s="101">
        <v>0.1</v>
      </c>
      <c r="AA1336" s="102">
        <v>0.09</v>
      </c>
      <c r="AB1336" s="77"/>
      <c r="AC1336" s="78"/>
    </row>
    <row r="1337" spans="1:29" x14ac:dyDescent="0.2">
      <c r="A1337" s="117" t="s">
        <v>4447</v>
      </c>
      <c r="B1337" s="118" t="e">
        <f t="shared" si="146"/>
        <v>#VALUE!</v>
      </c>
      <c r="C1337" s="118" t="s">
        <v>612</v>
      </c>
      <c r="D1337" s="113">
        <v>40710</v>
      </c>
      <c r="E1337" s="84">
        <v>40756</v>
      </c>
      <c r="F1337" s="84">
        <f t="shared" si="147"/>
        <v>44409</v>
      </c>
      <c r="G1337" s="229">
        <v>1705.39</v>
      </c>
      <c r="H1337" s="237" t="s">
        <v>1086</v>
      </c>
      <c r="I1337" s="71" t="s">
        <v>691</v>
      </c>
      <c r="J1337" s="79"/>
      <c r="K1337" s="55">
        <f t="shared" si="148"/>
        <v>2021</v>
      </c>
      <c r="L1337" s="80"/>
      <c r="M1337" s="80"/>
      <c r="N1337" s="73" t="s">
        <v>4439</v>
      </c>
      <c r="O1337" s="73" t="s">
        <v>4448</v>
      </c>
      <c r="P1337" s="74"/>
      <c r="Q1337" s="75" t="s">
        <v>4449</v>
      </c>
      <c r="R1337" s="230">
        <v>6116</v>
      </c>
      <c r="S1337" s="230">
        <v>0</v>
      </c>
      <c r="T1337" s="230">
        <v>6116</v>
      </c>
      <c r="U1337" s="261">
        <v>2559</v>
      </c>
      <c r="V1337" s="262"/>
      <c r="W1337" s="262"/>
      <c r="X1337" s="261"/>
      <c r="Y1337" s="85"/>
      <c r="Z1337" s="101">
        <v>0.1</v>
      </c>
      <c r="AA1337" s="102">
        <v>0.09</v>
      </c>
      <c r="AB1337" s="77"/>
      <c r="AC1337" s="78"/>
    </row>
    <row r="1338" spans="1:29" x14ac:dyDescent="0.2">
      <c r="A1338" s="117" t="s">
        <v>4450</v>
      </c>
      <c r="B1338" s="118" t="e">
        <f t="shared" si="146"/>
        <v>#VALUE!</v>
      </c>
      <c r="C1338" s="118" t="s">
        <v>612</v>
      </c>
      <c r="D1338" s="113">
        <v>40710</v>
      </c>
      <c r="E1338" s="84">
        <v>40756</v>
      </c>
      <c r="F1338" s="84">
        <f t="shared" si="147"/>
        <v>44409</v>
      </c>
      <c r="G1338" s="229">
        <v>282.5</v>
      </c>
      <c r="H1338" s="237" t="s">
        <v>1086</v>
      </c>
      <c r="I1338" s="71" t="s">
        <v>691</v>
      </c>
      <c r="J1338" s="79"/>
      <c r="K1338" s="55">
        <f t="shared" si="148"/>
        <v>2021</v>
      </c>
      <c r="L1338" s="80"/>
      <c r="M1338" s="80"/>
      <c r="N1338" s="73" t="s">
        <v>4439</v>
      </c>
      <c r="O1338" s="73" t="s">
        <v>4451</v>
      </c>
      <c r="P1338" s="74"/>
      <c r="Q1338" s="75" t="s">
        <v>4452</v>
      </c>
      <c r="R1338" s="230">
        <v>1135.5</v>
      </c>
      <c r="S1338" s="230">
        <v>0</v>
      </c>
      <c r="T1338" s="230">
        <v>1135.5</v>
      </c>
      <c r="U1338" s="261">
        <v>424.5</v>
      </c>
      <c r="V1338" s="262"/>
      <c r="W1338" s="262"/>
      <c r="X1338" s="261"/>
      <c r="Y1338" s="85"/>
      <c r="Z1338" s="101">
        <v>0.1</v>
      </c>
      <c r="AA1338" s="102">
        <v>0.09</v>
      </c>
      <c r="AB1338" s="77"/>
      <c r="AC1338" s="78"/>
    </row>
    <row r="1339" spans="1:29" ht="40" customHeight="1" x14ac:dyDescent="0.2">
      <c r="A1339" s="117" t="s">
        <v>4453</v>
      </c>
      <c r="B1339" s="118" t="e">
        <f t="shared" si="146"/>
        <v>#VALUE!</v>
      </c>
      <c r="C1339" s="118" t="s">
        <v>612</v>
      </c>
      <c r="D1339" s="113">
        <v>40710</v>
      </c>
      <c r="E1339" s="84">
        <v>40756</v>
      </c>
      <c r="F1339" s="84">
        <f t="shared" si="147"/>
        <v>44409</v>
      </c>
      <c r="G1339" s="229">
        <v>408.79</v>
      </c>
      <c r="H1339" s="237" t="s">
        <v>1086</v>
      </c>
      <c r="I1339" s="71" t="s">
        <v>691</v>
      </c>
      <c r="J1339" s="79"/>
      <c r="K1339" s="55">
        <f t="shared" si="148"/>
        <v>2021</v>
      </c>
      <c r="L1339" s="80"/>
      <c r="M1339" s="80"/>
      <c r="N1339" s="73" t="s">
        <v>4439</v>
      </c>
      <c r="O1339" s="73" t="s">
        <v>4454</v>
      </c>
      <c r="P1339" s="74"/>
      <c r="Q1339" s="75" t="s">
        <v>4455</v>
      </c>
      <c r="R1339" s="230">
        <v>1576.5</v>
      </c>
      <c r="S1339" s="230">
        <v>9816</v>
      </c>
      <c r="T1339" s="230">
        <v>11392.5</v>
      </c>
      <c r="U1339" s="261">
        <v>613.5</v>
      </c>
      <c r="V1339" s="262"/>
      <c r="W1339" s="262"/>
      <c r="X1339" s="261"/>
      <c r="Y1339" s="85"/>
      <c r="Z1339" s="101">
        <v>0.1</v>
      </c>
      <c r="AA1339" s="102">
        <v>0.09</v>
      </c>
      <c r="AB1339" s="77"/>
      <c r="AC1339" s="78"/>
    </row>
    <row r="1340" spans="1:29" ht="27" customHeight="1" x14ac:dyDescent="0.2">
      <c r="A1340" s="117" t="s">
        <v>4456</v>
      </c>
      <c r="B1340" s="118" t="e">
        <f t="shared" si="146"/>
        <v>#VALUE!</v>
      </c>
      <c r="C1340" s="118" t="s">
        <v>612</v>
      </c>
      <c r="D1340" s="113">
        <v>40710</v>
      </c>
      <c r="E1340" s="84">
        <v>40756</v>
      </c>
      <c r="F1340" s="84">
        <f t="shared" si="147"/>
        <v>44409</v>
      </c>
      <c r="G1340" s="229">
        <v>904.92</v>
      </c>
      <c r="H1340" s="237" t="s">
        <v>1086</v>
      </c>
      <c r="I1340" s="71" t="s">
        <v>691</v>
      </c>
      <c r="J1340" s="79"/>
      <c r="K1340" s="55">
        <f t="shared" si="148"/>
        <v>2021</v>
      </c>
      <c r="L1340" s="80"/>
      <c r="M1340" s="80"/>
      <c r="N1340" s="73" t="s">
        <v>4439</v>
      </c>
      <c r="O1340" s="73" t="s">
        <v>4457</v>
      </c>
      <c r="P1340" s="74"/>
      <c r="Q1340" s="75" t="s">
        <v>4458</v>
      </c>
      <c r="R1340" s="230">
        <v>3312.5</v>
      </c>
      <c r="S1340" s="230">
        <v>23530</v>
      </c>
      <c r="T1340" s="230">
        <v>26842.5</v>
      </c>
      <c r="U1340" s="261">
        <v>1357.5</v>
      </c>
      <c r="V1340" s="262"/>
      <c r="W1340" s="262"/>
      <c r="X1340" s="261"/>
      <c r="Y1340" s="85"/>
      <c r="Z1340" s="101">
        <v>0.1</v>
      </c>
      <c r="AA1340" s="102">
        <v>0.09</v>
      </c>
      <c r="AB1340" s="77"/>
      <c r="AC1340" s="78"/>
    </row>
    <row r="1341" spans="1:29" ht="53" customHeight="1" x14ac:dyDescent="0.2">
      <c r="A1341" s="117" t="s">
        <v>4459</v>
      </c>
      <c r="B1341" s="118" t="e">
        <f t="shared" si="146"/>
        <v>#VALUE!</v>
      </c>
      <c r="C1341" s="118" t="s">
        <v>612</v>
      </c>
      <c r="D1341" s="113">
        <v>40710</v>
      </c>
      <c r="E1341" s="84">
        <v>40756</v>
      </c>
      <c r="F1341" s="84">
        <f t="shared" si="147"/>
        <v>44409</v>
      </c>
      <c r="G1341" s="229">
        <v>488.17</v>
      </c>
      <c r="H1341" s="237" t="s">
        <v>1086</v>
      </c>
      <c r="I1341" s="71" t="s">
        <v>691</v>
      </c>
      <c r="J1341" s="79"/>
      <c r="K1341" s="55">
        <f t="shared" si="148"/>
        <v>2021</v>
      </c>
      <c r="L1341" s="80"/>
      <c r="M1341" s="80"/>
      <c r="N1341" s="73" t="s">
        <v>4439</v>
      </c>
      <c r="O1341" s="73" t="s">
        <v>4460</v>
      </c>
      <c r="P1341" s="74"/>
      <c r="Q1341" s="75" t="s">
        <v>4461</v>
      </c>
      <c r="R1341" s="230">
        <v>1856.5</v>
      </c>
      <c r="S1341" s="230">
        <v>0</v>
      </c>
      <c r="T1341" s="230">
        <v>1856.5</v>
      </c>
      <c r="U1341" s="261">
        <v>733.5</v>
      </c>
      <c r="V1341" s="262"/>
      <c r="W1341" s="262"/>
      <c r="X1341" s="261"/>
      <c r="Y1341" s="85"/>
      <c r="Z1341" s="101">
        <v>0.1</v>
      </c>
      <c r="AA1341" s="102">
        <v>0.09</v>
      </c>
      <c r="AB1341" s="77"/>
      <c r="AC1341" s="78"/>
    </row>
    <row r="1342" spans="1:29" ht="27" customHeight="1" x14ac:dyDescent="0.2">
      <c r="A1342" s="117" t="s">
        <v>4462</v>
      </c>
      <c r="B1342" s="118" t="e">
        <f t="shared" ref="B1342:B1350" si="149">IF(COUNTIF(GIS,A1342),"YES","NO")</f>
        <v>#VALUE!</v>
      </c>
      <c r="C1342" s="118" t="s">
        <v>612</v>
      </c>
      <c r="D1342" s="113">
        <v>40710</v>
      </c>
      <c r="E1342" s="84">
        <v>40756</v>
      </c>
      <c r="F1342" s="84">
        <f t="shared" ref="F1342:F1350" si="150">DATE(YEAR(E1342)+10,MONTH(E1342),DAY(E1342))</f>
        <v>44409</v>
      </c>
      <c r="G1342" s="229">
        <v>160</v>
      </c>
      <c r="H1342" s="237" t="s">
        <v>1086</v>
      </c>
      <c r="I1342" s="71" t="s">
        <v>691</v>
      </c>
      <c r="J1342" s="238" t="s">
        <v>1750</v>
      </c>
      <c r="K1342" s="55">
        <f t="shared" ref="K1342:K1350" si="151">YEAR(F1342)</f>
        <v>2021</v>
      </c>
      <c r="L1342" s="239"/>
      <c r="M1342" s="239"/>
      <c r="N1342" s="73" t="s">
        <v>4463</v>
      </c>
      <c r="O1342" s="73" t="s">
        <v>4464</v>
      </c>
      <c r="P1342" s="74"/>
      <c r="Q1342" s="75" t="s">
        <v>4465</v>
      </c>
      <c r="R1342" s="230">
        <v>705</v>
      </c>
      <c r="S1342" s="230">
        <v>640</v>
      </c>
      <c r="T1342" s="230">
        <v>1345</v>
      </c>
      <c r="U1342" s="261">
        <v>240</v>
      </c>
      <c r="V1342" s="262"/>
      <c r="W1342" s="262"/>
      <c r="X1342" s="261"/>
      <c r="Y1342" s="85"/>
      <c r="Z1342" s="101">
        <v>0.1</v>
      </c>
      <c r="AA1342" s="102">
        <v>0.09</v>
      </c>
      <c r="AB1342" s="77"/>
      <c r="AC1342" s="78"/>
    </row>
    <row r="1343" spans="1:29" x14ac:dyDescent="0.2">
      <c r="A1343" s="117" t="s">
        <v>4466</v>
      </c>
      <c r="B1343" s="118" t="e">
        <f t="shared" si="149"/>
        <v>#VALUE!</v>
      </c>
      <c r="C1343" s="118" t="s">
        <v>612</v>
      </c>
      <c r="D1343" s="113">
        <v>40710</v>
      </c>
      <c r="E1343" s="84">
        <v>40756</v>
      </c>
      <c r="F1343" s="84">
        <f t="shared" si="150"/>
        <v>44409</v>
      </c>
      <c r="G1343" s="229">
        <v>161.55000000000001</v>
      </c>
      <c r="H1343" s="237" t="s">
        <v>1086</v>
      </c>
      <c r="I1343" s="71" t="s">
        <v>691</v>
      </c>
      <c r="J1343" s="79"/>
      <c r="K1343" s="55">
        <f t="shared" si="151"/>
        <v>2021</v>
      </c>
      <c r="L1343" s="80"/>
      <c r="M1343" s="80"/>
      <c r="N1343" s="73" t="s">
        <v>4439</v>
      </c>
      <c r="O1343" s="73" t="s">
        <v>4467</v>
      </c>
      <c r="P1343" s="74"/>
      <c r="Q1343" s="75" t="s">
        <v>4468</v>
      </c>
      <c r="R1343" s="230">
        <v>712</v>
      </c>
      <c r="S1343" s="230">
        <v>648</v>
      </c>
      <c r="T1343" s="230">
        <v>1360</v>
      </c>
      <c r="U1343" s="261">
        <v>243</v>
      </c>
      <c r="V1343" s="262"/>
      <c r="W1343" s="262"/>
      <c r="X1343" s="261"/>
      <c r="Y1343" s="85"/>
      <c r="Z1343" s="101">
        <v>0.1</v>
      </c>
      <c r="AA1343" s="102">
        <v>0.09</v>
      </c>
      <c r="AB1343" s="77"/>
      <c r="AC1343" s="78"/>
    </row>
    <row r="1344" spans="1:29" ht="40" customHeight="1" x14ac:dyDescent="0.2">
      <c r="A1344" s="117" t="s">
        <v>4469</v>
      </c>
      <c r="B1344" s="118" t="e">
        <f t="shared" si="149"/>
        <v>#VALUE!</v>
      </c>
      <c r="C1344" s="118" t="s">
        <v>612</v>
      </c>
      <c r="D1344" s="113">
        <v>40710</v>
      </c>
      <c r="E1344" s="103">
        <v>40817</v>
      </c>
      <c r="F1344" s="84">
        <f t="shared" si="150"/>
        <v>44470</v>
      </c>
      <c r="G1344" s="229">
        <v>817.95</v>
      </c>
      <c r="H1344" s="237" t="s">
        <v>1086</v>
      </c>
      <c r="I1344" s="71" t="s">
        <v>691</v>
      </c>
      <c r="J1344" s="72" t="s">
        <v>4470</v>
      </c>
      <c r="K1344" s="55">
        <f t="shared" si="151"/>
        <v>2021</v>
      </c>
      <c r="L1344" s="81"/>
      <c r="M1344" s="81"/>
      <c r="N1344" s="73" t="s">
        <v>4471</v>
      </c>
      <c r="O1344" s="73" t="s">
        <v>4472</v>
      </c>
      <c r="P1344" s="74"/>
      <c r="Q1344" s="107"/>
      <c r="R1344" s="230">
        <v>3946</v>
      </c>
      <c r="S1344" s="230">
        <v>0</v>
      </c>
      <c r="T1344" s="230">
        <v>3946</v>
      </c>
      <c r="U1344" s="261">
        <v>1227</v>
      </c>
      <c r="V1344" s="262"/>
      <c r="W1344" s="262"/>
      <c r="X1344" s="261"/>
      <c r="Y1344" s="85"/>
      <c r="Z1344" s="101">
        <v>0.1</v>
      </c>
      <c r="AA1344" s="102">
        <v>0.09</v>
      </c>
      <c r="AB1344" s="77"/>
      <c r="AC1344" s="78"/>
    </row>
    <row r="1345" spans="1:29" ht="27" customHeight="1" x14ac:dyDescent="0.2">
      <c r="A1345" s="117" t="s">
        <v>4473</v>
      </c>
      <c r="B1345" s="118" t="e">
        <f t="shared" si="149"/>
        <v>#VALUE!</v>
      </c>
      <c r="C1345" s="118" t="s">
        <v>612</v>
      </c>
      <c r="D1345" s="113">
        <v>40710</v>
      </c>
      <c r="E1345" s="84">
        <v>40756</v>
      </c>
      <c r="F1345" s="84">
        <f t="shared" si="150"/>
        <v>44409</v>
      </c>
      <c r="G1345" s="229">
        <v>333.38</v>
      </c>
      <c r="H1345" s="237" t="s">
        <v>722</v>
      </c>
      <c r="I1345" s="71" t="s">
        <v>691</v>
      </c>
      <c r="J1345" s="79"/>
      <c r="K1345" s="55">
        <f t="shared" si="151"/>
        <v>2021</v>
      </c>
      <c r="L1345" s="80"/>
      <c r="M1345" s="80"/>
      <c r="N1345" s="73" t="s">
        <v>4471</v>
      </c>
      <c r="O1345" s="73" t="s">
        <v>4474</v>
      </c>
      <c r="P1345" s="74"/>
      <c r="Q1345" s="75" t="s">
        <v>4475</v>
      </c>
      <c r="R1345" s="230">
        <v>1314</v>
      </c>
      <c r="S1345" s="230">
        <v>0</v>
      </c>
      <c r="T1345" s="230">
        <v>1314</v>
      </c>
      <c r="U1345" s="261">
        <v>501</v>
      </c>
      <c r="V1345" s="262"/>
      <c r="W1345" s="262"/>
      <c r="X1345" s="261"/>
      <c r="Y1345" s="85"/>
      <c r="Z1345" s="101">
        <v>0.1</v>
      </c>
      <c r="AA1345" s="102">
        <v>0.09</v>
      </c>
      <c r="AB1345" s="77"/>
      <c r="AC1345" s="78"/>
    </row>
    <row r="1346" spans="1:29" x14ac:dyDescent="0.2">
      <c r="A1346" s="117" t="s">
        <v>4476</v>
      </c>
      <c r="B1346" s="118" t="e">
        <f t="shared" si="149"/>
        <v>#VALUE!</v>
      </c>
      <c r="C1346" s="118" t="s">
        <v>612</v>
      </c>
      <c r="D1346" s="113">
        <v>40710</v>
      </c>
      <c r="E1346" s="84">
        <v>40756</v>
      </c>
      <c r="F1346" s="84">
        <f t="shared" si="150"/>
        <v>44409</v>
      </c>
      <c r="G1346" s="229">
        <v>1879.63</v>
      </c>
      <c r="H1346" s="237" t="s">
        <v>722</v>
      </c>
      <c r="I1346" s="71" t="s">
        <v>691</v>
      </c>
      <c r="J1346" s="79"/>
      <c r="K1346" s="55">
        <f t="shared" si="151"/>
        <v>2021</v>
      </c>
      <c r="L1346" s="80"/>
      <c r="M1346" s="80"/>
      <c r="N1346" s="73" t="s">
        <v>4471</v>
      </c>
      <c r="O1346" s="73" t="s">
        <v>4312</v>
      </c>
      <c r="P1346" s="74"/>
      <c r="Q1346" s="75" t="s">
        <v>4477</v>
      </c>
      <c r="R1346" s="230">
        <v>6725</v>
      </c>
      <c r="S1346" s="230">
        <v>48880</v>
      </c>
      <c r="T1346" s="230">
        <v>55605</v>
      </c>
      <c r="U1346" s="261">
        <v>2820</v>
      </c>
      <c r="V1346" s="262"/>
      <c r="W1346" s="262"/>
      <c r="X1346" s="261"/>
      <c r="Y1346" s="85"/>
      <c r="Z1346" s="101">
        <v>0.1</v>
      </c>
      <c r="AA1346" s="102">
        <v>0.09</v>
      </c>
      <c r="AB1346" s="77"/>
      <c r="AC1346" s="78"/>
    </row>
    <row r="1347" spans="1:29" ht="40" customHeight="1" x14ac:dyDescent="0.2">
      <c r="A1347" s="117" t="s">
        <v>4478</v>
      </c>
      <c r="B1347" s="118" t="e">
        <f t="shared" si="149"/>
        <v>#VALUE!</v>
      </c>
      <c r="C1347" s="118" t="s">
        <v>612</v>
      </c>
      <c r="D1347" s="113">
        <v>40710</v>
      </c>
      <c r="E1347" s="103">
        <v>40817</v>
      </c>
      <c r="F1347" s="84">
        <f t="shared" si="150"/>
        <v>44470</v>
      </c>
      <c r="G1347" s="229">
        <v>86.61</v>
      </c>
      <c r="H1347" s="237" t="s">
        <v>722</v>
      </c>
      <c r="I1347" s="71" t="s">
        <v>691</v>
      </c>
      <c r="J1347" s="72" t="s">
        <v>4479</v>
      </c>
      <c r="K1347" s="55">
        <f t="shared" si="151"/>
        <v>2021</v>
      </c>
      <c r="L1347" s="81"/>
      <c r="M1347" s="81"/>
      <c r="N1347" s="73" t="s">
        <v>4471</v>
      </c>
      <c r="O1347" s="73" t="s">
        <v>4480</v>
      </c>
      <c r="P1347" s="74"/>
      <c r="Q1347" s="107"/>
      <c r="R1347" s="230">
        <v>848.5</v>
      </c>
      <c r="S1347" s="230">
        <v>4020</v>
      </c>
      <c r="T1347" s="230">
        <v>4868.5</v>
      </c>
      <c r="U1347" s="261">
        <v>130.5</v>
      </c>
      <c r="V1347" s="262"/>
      <c r="W1347" s="262"/>
      <c r="X1347" s="261"/>
      <c r="Y1347" s="85"/>
      <c r="Z1347" s="101">
        <v>0.1</v>
      </c>
      <c r="AA1347" s="102">
        <v>0.09</v>
      </c>
      <c r="AB1347" s="77"/>
      <c r="AC1347" s="78"/>
    </row>
    <row r="1348" spans="1:29" ht="27" customHeight="1" x14ac:dyDescent="0.2">
      <c r="A1348" s="117" t="s">
        <v>4481</v>
      </c>
      <c r="B1348" s="118" t="e">
        <f t="shared" si="149"/>
        <v>#VALUE!</v>
      </c>
      <c r="C1348" s="118" t="s">
        <v>612</v>
      </c>
      <c r="D1348" s="113">
        <v>40710</v>
      </c>
      <c r="E1348" s="84">
        <v>40756</v>
      </c>
      <c r="F1348" s="84">
        <f t="shared" si="150"/>
        <v>44409</v>
      </c>
      <c r="G1348" s="229">
        <v>581.67999999999995</v>
      </c>
      <c r="H1348" s="237" t="s">
        <v>722</v>
      </c>
      <c r="I1348" s="71" t="s">
        <v>691</v>
      </c>
      <c r="J1348" s="79"/>
      <c r="K1348" s="55">
        <f t="shared" si="151"/>
        <v>2021</v>
      </c>
      <c r="L1348" s="80"/>
      <c r="M1348" s="80"/>
      <c r="N1348" s="73" t="s">
        <v>4471</v>
      </c>
      <c r="O1348" s="73" t="s">
        <v>4482</v>
      </c>
      <c r="P1348" s="74"/>
      <c r="Q1348" s="75" t="s">
        <v>4483</v>
      </c>
      <c r="R1348" s="230">
        <v>2182</v>
      </c>
      <c r="S1348" s="230">
        <v>0</v>
      </c>
      <c r="T1348" s="230">
        <v>2182</v>
      </c>
      <c r="U1348" s="261">
        <v>873</v>
      </c>
      <c r="V1348" s="262"/>
      <c r="W1348" s="262"/>
      <c r="X1348" s="261"/>
      <c r="Y1348" s="85"/>
      <c r="Z1348" s="101">
        <v>0.1</v>
      </c>
      <c r="AA1348" s="102">
        <v>0.09</v>
      </c>
      <c r="AB1348" s="77"/>
      <c r="AC1348" s="78"/>
    </row>
    <row r="1349" spans="1:29" ht="27" customHeight="1" x14ac:dyDescent="0.2">
      <c r="A1349" s="117" t="s">
        <v>4484</v>
      </c>
      <c r="B1349" s="118" t="e">
        <f t="shared" si="149"/>
        <v>#VALUE!</v>
      </c>
      <c r="C1349" s="118" t="s">
        <v>612</v>
      </c>
      <c r="D1349" s="113">
        <v>40710</v>
      </c>
      <c r="E1349" s="84">
        <v>40756</v>
      </c>
      <c r="F1349" s="84">
        <f t="shared" si="150"/>
        <v>44409</v>
      </c>
      <c r="G1349" s="229"/>
      <c r="H1349" s="237" t="s">
        <v>722</v>
      </c>
      <c r="I1349" s="71" t="s">
        <v>691</v>
      </c>
      <c r="J1349" s="72" t="s">
        <v>4485</v>
      </c>
      <c r="K1349" s="55">
        <f t="shared" si="151"/>
        <v>2021</v>
      </c>
      <c r="L1349" s="81"/>
      <c r="M1349" s="81"/>
      <c r="N1349" s="73" t="s">
        <v>4471</v>
      </c>
      <c r="O1349" s="73" t="s">
        <v>4486</v>
      </c>
      <c r="P1349" s="74"/>
      <c r="Q1349" s="107"/>
      <c r="R1349" s="244"/>
      <c r="S1349" s="244"/>
      <c r="T1349" s="244"/>
      <c r="U1349" s="261"/>
      <c r="V1349" s="262"/>
      <c r="W1349" s="262"/>
      <c r="X1349" s="261"/>
      <c r="Y1349" s="85"/>
      <c r="Z1349" s="101">
        <v>0.1</v>
      </c>
      <c r="AA1349" s="102">
        <v>0.09</v>
      </c>
      <c r="AB1349" s="77"/>
      <c r="AC1349" s="78"/>
    </row>
    <row r="1350" spans="1:29" x14ac:dyDescent="0.2">
      <c r="A1350" s="117" t="s">
        <v>4487</v>
      </c>
      <c r="B1350" s="118" t="e">
        <f t="shared" si="149"/>
        <v>#VALUE!</v>
      </c>
      <c r="C1350" s="118" t="s">
        <v>612</v>
      </c>
      <c r="D1350" s="113">
        <v>40710</v>
      </c>
      <c r="E1350" s="84">
        <v>40756</v>
      </c>
      <c r="F1350" s="84">
        <f t="shared" si="150"/>
        <v>44409</v>
      </c>
      <c r="G1350" s="229">
        <v>534.1</v>
      </c>
      <c r="H1350" s="237" t="s">
        <v>960</v>
      </c>
      <c r="I1350" s="71" t="s">
        <v>691</v>
      </c>
      <c r="J1350" s="79"/>
      <c r="K1350" s="55">
        <f t="shared" si="151"/>
        <v>2021</v>
      </c>
      <c r="L1350" s="80"/>
      <c r="M1350" s="80"/>
      <c r="N1350" s="73" t="s">
        <v>4407</v>
      </c>
      <c r="O1350" s="73" t="s">
        <v>4488</v>
      </c>
      <c r="P1350" s="74"/>
      <c r="Q1350" s="75" t="s">
        <v>4489</v>
      </c>
      <c r="R1350" s="230">
        <v>2017.5</v>
      </c>
      <c r="S1350" s="230">
        <v>4280</v>
      </c>
      <c r="T1350" s="230">
        <v>6297.5</v>
      </c>
      <c r="U1350" s="261">
        <v>802.5</v>
      </c>
      <c r="V1350" s="262"/>
      <c r="W1350" s="262"/>
      <c r="X1350" s="261"/>
      <c r="Y1350" s="85"/>
      <c r="Z1350" s="101">
        <v>0.1</v>
      </c>
      <c r="AA1350" s="102">
        <v>0.09</v>
      </c>
      <c r="AB1350" s="77"/>
      <c r="AC1350" s="78"/>
    </row>
    <row r="1351" spans="1:29" ht="15" hidden="1" customHeight="1" thickBot="1" x14ac:dyDescent="0.25">
      <c r="A1351" s="117"/>
      <c r="D1351" s="71"/>
      <c r="E1351" s="78"/>
      <c r="F1351" s="84"/>
      <c r="G1351" s="229"/>
      <c r="H1351" s="71"/>
      <c r="I1351" s="71"/>
      <c r="J1351" s="79"/>
      <c r="K1351" s="79"/>
      <c r="L1351" s="80"/>
      <c r="M1351" s="80"/>
      <c r="N1351" s="73"/>
      <c r="O1351" s="73"/>
      <c r="P1351" s="74"/>
      <c r="Q1351" s="75"/>
      <c r="R1351" s="241">
        <v>168724</v>
      </c>
      <c r="S1351" s="241">
        <v>293274</v>
      </c>
      <c r="T1351" s="241">
        <v>461998</v>
      </c>
      <c r="U1351" s="231"/>
      <c r="V1351" s="230"/>
      <c r="W1351" s="230"/>
      <c r="X1351" s="231"/>
      <c r="Y1351" s="85"/>
      <c r="Z1351" s="85"/>
      <c r="AA1351" s="76"/>
      <c r="AB1351" s="77"/>
      <c r="AC1351" s="78"/>
    </row>
    <row r="1352" spans="1:29" hidden="1" x14ac:dyDescent="0.2">
      <c r="A1352" s="117"/>
      <c r="D1352" s="71"/>
      <c r="E1352" s="78"/>
      <c r="F1352" s="84"/>
      <c r="G1352" s="229"/>
      <c r="H1352" s="71"/>
      <c r="I1352" s="71"/>
      <c r="J1352" s="79"/>
      <c r="K1352" s="79"/>
      <c r="L1352" s="80"/>
      <c r="M1352" s="80"/>
      <c r="N1352" s="73"/>
      <c r="O1352" s="73"/>
      <c r="P1352" s="74"/>
      <c r="Q1352" s="75" t="s">
        <v>4490</v>
      </c>
      <c r="R1352" s="230"/>
      <c r="S1352" s="230"/>
      <c r="T1352" s="251">
        <v>-5484</v>
      </c>
      <c r="U1352" s="231"/>
      <c r="V1352" s="230"/>
      <c r="W1352" s="230"/>
      <c r="X1352" s="231"/>
      <c r="Y1352" s="85"/>
      <c r="Z1352" s="85"/>
      <c r="AA1352" s="76"/>
      <c r="AB1352" s="77"/>
      <c r="AC1352" s="78"/>
    </row>
    <row r="1353" spans="1:29" ht="15" hidden="1" customHeight="1" thickBot="1" x14ac:dyDescent="0.25">
      <c r="A1353" s="117"/>
      <c r="D1353" s="71"/>
      <c r="E1353" s="78"/>
      <c r="F1353" s="84"/>
      <c r="G1353" s="229"/>
      <c r="H1353" s="71"/>
      <c r="I1353" s="71"/>
      <c r="J1353" s="79"/>
      <c r="K1353" s="79"/>
      <c r="L1353" s="80"/>
      <c r="M1353" s="80"/>
      <c r="N1353" s="73"/>
      <c r="O1353" s="73"/>
      <c r="P1353" s="74"/>
      <c r="Q1353" s="75"/>
      <c r="R1353" s="230"/>
      <c r="S1353" s="230"/>
      <c r="T1353" s="264">
        <v>467482</v>
      </c>
      <c r="U1353" s="231"/>
      <c r="V1353" s="230"/>
      <c r="W1353" s="230"/>
      <c r="X1353" s="231"/>
      <c r="Y1353" s="85"/>
      <c r="Z1353" s="263"/>
      <c r="AA1353" s="265"/>
      <c r="AB1353" s="77"/>
      <c r="AC1353" s="78"/>
    </row>
    <row r="1354" spans="1:29" hidden="1" x14ac:dyDescent="0.2">
      <c r="A1354" s="117"/>
      <c r="D1354" s="71"/>
      <c r="E1354" s="78"/>
      <c r="F1354" s="84"/>
      <c r="G1354" s="229"/>
      <c r="H1354" s="71"/>
      <c r="I1354" s="71"/>
      <c r="J1354" s="79"/>
      <c r="K1354" s="79"/>
      <c r="L1354" s="80"/>
      <c r="M1354" s="80"/>
      <c r="N1354" s="73"/>
      <c r="O1354" s="73"/>
      <c r="P1354" s="74"/>
      <c r="Q1354" s="75"/>
      <c r="R1354" s="230"/>
      <c r="S1354" s="230"/>
      <c r="T1354" s="230"/>
      <c r="U1354" s="231"/>
      <c r="V1354" s="230"/>
      <c r="W1354" s="230"/>
      <c r="X1354" s="231"/>
      <c r="Y1354" s="85"/>
      <c r="Z1354" s="85"/>
      <c r="AA1354" s="76"/>
      <c r="AB1354" s="77"/>
      <c r="AC1354" s="78"/>
    </row>
    <row r="1355" spans="1:29" x14ac:dyDescent="0.2">
      <c r="A1355" s="117" t="s">
        <v>4491</v>
      </c>
      <c r="B1355" s="118" t="e">
        <f t="shared" ref="B1355:B1360" si="152">IF(COUNTIF(GIS,A1355),"YES","NO")</f>
        <v>#VALUE!</v>
      </c>
      <c r="C1355" s="118" t="s">
        <v>612</v>
      </c>
      <c r="D1355" s="113">
        <v>40744</v>
      </c>
      <c r="E1355" s="84">
        <v>40787</v>
      </c>
      <c r="F1355" s="84">
        <f>DATE(YEAR(E1355)+10,MONTH(E1355),DAY(E1355))</f>
        <v>44440</v>
      </c>
      <c r="G1355" s="229">
        <v>1600</v>
      </c>
      <c r="H1355" s="71" t="s">
        <v>1534</v>
      </c>
      <c r="I1355" s="71" t="s">
        <v>1147</v>
      </c>
      <c r="J1355" s="79"/>
      <c r="K1355" s="55">
        <f>YEAR(F1355)</f>
        <v>2021</v>
      </c>
      <c r="L1355" s="80"/>
      <c r="M1355" s="80"/>
      <c r="N1355" s="73" t="s">
        <v>4492</v>
      </c>
      <c r="O1355" s="73" t="s">
        <v>4493</v>
      </c>
      <c r="P1355" s="74"/>
      <c r="Q1355" s="75" t="s">
        <v>4494</v>
      </c>
      <c r="R1355" s="230">
        <v>5745</v>
      </c>
      <c r="S1355" s="230">
        <v>186255</v>
      </c>
      <c r="T1355" s="230">
        <v>192000</v>
      </c>
      <c r="U1355" s="231">
        <v>2400</v>
      </c>
      <c r="V1355" s="230"/>
      <c r="W1355" s="230"/>
      <c r="X1355" s="231"/>
      <c r="Y1355" s="85"/>
      <c r="Z1355" s="101">
        <v>0.1</v>
      </c>
      <c r="AA1355" s="102">
        <v>0.09</v>
      </c>
      <c r="AB1355" s="77"/>
      <c r="AC1355" s="78"/>
    </row>
    <row r="1356" spans="1:29" x14ac:dyDescent="0.2">
      <c r="A1356" s="117" t="s">
        <v>4495</v>
      </c>
      <c r="B1356" s="118" t="e">
        <f t="shared" si="152"/>
        <v>#VALUE!</v>
      </c>
      <c r="C1356" s="118" t="s">
        <v>612</v>
      </c>
      <c r="D1356" s="113">
        <v>40744</v>
      </c>
      <c r="E1356" s="84">
        <v>40787</v>
      </c>
      <c r="F1356" s="84">
        <f>DATE(YEAR(E1356)+10,MONTH(E1356),DAY(E1356))</f>
        <v>44440</v>
      </c>
      <c r="G1356" s="229">
        <v>120</v>
      </c>
      <c r="H1356" s="71" t="s">
        <v>1540</v>
      </c>
      <c r="I1356" s="71" t="s">
        <v>1147</v>
      </c>
      <c r="J1356" s="79"/>
      <c r="K1356" s="55">
        <f>YEAR(F1356)</f>
        <v>2021</v>
      </c>
      <c r="L1356" s="80"/>
      <c r="M1356" s="80"/>
      <c r="N1356" s="73" t="s">
        <v>4496</v>
      </c>
      <c r="O1356" s="73" t="s">
        <v>4497</v>
      </c>
      <c r="P1356" s="74"/>
      <c r="Q1356" s="75" t="s">
        <v>4498</v>
      </c>
      <c r="R1356" s="230">
        <v>565</v>
      </c>
      <c r="S1356" s="230">
        <v>32435</v>
      </c>
      <c r="T1356" s="230">
        <v>33000</v>
      </c>
      <c r="U1356" s="231">
        <v>180</v>
      </c>
      <c r="V1356" s="230"/>
      <c r="W1356" s="230"/>
      <c r="X1356" s="231"/>
      <c r="Y1356" s="85"/>
      <c r="Z1356" s="101">
        <v>0.1</v>
      </c>
      <c r="AA1356" s="102">
        <v>0.09</v>
      </c>
      <c r="AC1356" s="78" t="s">
        <v>4499</v>
      </c>
    </row>
    <row r="1357" spans="1:29" ht="27" hidden="1" customHeight="1" x14ac:dyDescent="0.2">
      <c r="A1357" s="117" t="s">
        <v>4500</v>
      </c>
      <c r="B1357" s="118" t="e">
        <f t="shared" si="152"/>
        <v>#VALUE!</v>
      </c>
      <c r="C1357" s="118" t="s">
        <v>612</v>
      </c>
      <c r="D1357" s="113">
        <v>40744</v>
      </c>
      <c r="E1357" s="108"/>
      <c r="F1357" s="84"/>
      <c r="G1357" s="229">
        <v>40</v>
      </c>
      <c r="H1357" s="71"/>
      <c r="I1357" s="71"/>
      <c r="J1357" s="72" t="s">
        <v>4501</v>
      </c>
      <c r="K1357" s="55"/>
      <c r="L1357" s="81"/>
      <c r="M1357" s="81"/>
      <c r="N1357" s="73"/>
      <c r="O1357" s="73"/>
      <c r="P1357" s="74"/>
      <c r="Q1357" s="107"/>
      <c r="R1357" s="244"/>
      <c r="S1357" s="244"/>
      <c r="T1357" s="244"/>
      <c r="U1357" s="231"/>
      <c r="V1357" s="230"/>
      <c r="W1357" s="230"/>
      <c r="X1357" s="231"/>
      <c r="Y1357" s="85"/>
      <c r="Z1357" s="85"/>
      <c r="AA1357" s="76"/>
      <c r="AB1357" s="77"/>
      <c r="AC1357" s="78"/>
    </row>
    <row r="1358" spans="1:29" ht="27" hidden="1" customHeight="1" x14ac:dyDescent="0.2">
      <c r="A1358" s="117" t="s">
        <v>4502</v>
      </c>
      <c r="B1358" s="118" t="e">
        <f t="shared" si="152"/>
        <v>#VALUE!</v>
      </c>
      <c r="C1358" s="118" t="s">
        <v>612</v>
      </c>
      <c r="D1358" s="113">
        <v>40744</v>
      </c>
      <c r="E1358" s="108"/>
      <c r="F1358" s="84"/>
      <c r="G1358" s="229">
        <v>80</v>
      </c>
      <c r="H1358" s="71"/>
      <c r="I1358" s="71"/>
      <c r="J1358" s="72" t="s">
        <v>4503</v>
      </c>
      <c r="K1358" s="55"/>
      <c r="L1358" s="81"/>
      <c r="M1358" s="81"/>
      <c r="N1358" s="73"/>
      <c r="O1358" s="73"/>
      <c r="P1358" s="74"/>
      <c r="Q1358" s="107"/>
      <c r="R1358" s="244"/>
      <c r="S1358" s="244"/>
      <c r="T1358" s="244"/>
      <c r="U1358" s="231"/>
      <c r="V1358" s="230"/>
      <c r="W1358" s="230"/>
      <c r="X1358" s="231"/>
      <c r="Y1358" s="85"/>
      <c r="Z1358" s="85"/>
      <c r="AA1358" s="76"/>
      <c r="AB1358" s="77"/>
      <c r="AC1358" s="78"/>
    </row>
    <row r="1359" spans="1:29" ht="27" customHeight="1" x14ac:dyDescent="0.2">
      <c r="A1359" s="117" t="s">
        <v>4504</v>
      </c>
      <c r="B1359" s="118" t="e">
        <f t="shared" si="152"/>
        <v>#VALUE!</v>
      </c>
      <c r="C1359" s="118" t="s">
        <v>612</v>
      </c>
      <c r="D1359" s="113">
        <v>40744</v>
      </c>
      <c r="E1359" s="84">
        <v>40787</v>
      </c>
      <c r="F1359" s="84">
        <f>DATE(YEAR(E1359)+10,MONTH(E1359),DAY(E1359))</f>
        <v>44440</v>
      </c>
      <c r="G1359" s="229">
        <v>71.084999999999994</v>
      </c>
      <c r="H1359" s="71" t="s">
        <v>2019</v>
      </c>
      <c r="I1359" s="71" t="s">
        <v>614</v>
      </c>
      <c r="J1359" s="79"/>
      <c r="K1359" s="55">
        <f>YEAR(F1359)</f>
        <v>2021</v>
      </c>
      <c r="L1359" s="80"/>
      <c r="M1359" s="80"/>
      <c r="N1359" s="73" t="s">
        <v>4505</v>
      </c>
      <c r="O1359" s="73" t="s">
        <v>4506</v>
      </c>
      <c r="P1359" s="74"/>
      <c r="Q1359" s="75" t="s">
        <v>4507</v>
      </c>
      <c r="R1359" s="230">
        <v>397</v>
      </c>
      <c r="S1359" s="230">
        <v>11843</v>
      </c>
      <c r="T1359" s="230">
        <v>12240</v>
      </c>
      <c r="U1359" s="231">
        <v>108</v>
      </c>
      <c r="V1359" s="230"/>
      <c r="W1359" s="230"/>
      <c r="X1359" s="231"/>
      <c r="Y1359" s="85"/>
      <c r="Z1359" s="101">
        <v>0.1</v>
      </c>
      <c r="AA1359" s="102">
        <v>0.09</v>
      </c>
      <c r="AB1359" s="77"/>
      <c r="AC1359" s="78"/>
    </row>
    <row r="1360" spans="1:29" ht="27" customHeight="1" x14ac:dyDescent="0.2">
      <c r="A1360" s="117" t="s">
        <v>4508</v>
      </c>
      <c r="B1360" s="118" t="e">
        <f t="shared" si="152"/>
        <v>#VALUE!</v>
      </c>
      <c r="C1360" s="118" t="s">
        <v>612</v>
      </c>
      <c r="D1360" s="113">
        <v>40744</v>
      </c>
      <c r="E1360" s="84">
        <v>40787</v>
      </c>
      <c r="F1360" s="84">
        <f>DATE(YEAR(E1360)+10,MONTH(E1360),DAY(E1360))</f>
        <v>44440</v>
      </c>
      <c r="G1360" s="229">
        <v>46.4</v>
      </c>
      <c r="H1360" s="71" t="s">
        <v>1503</v>
      </c>
      <c r="I1360" s="71" t="s">
        <v>614</v>
      </c>
      <c r="J1360" s="79"/>
      <c r="K1360" s="55">
        <f>YEAR(F1360)</f>
        <v>2021</v>
      </c>
      <c r="L1360" s="80"/>
      <c r="M1360" s="80"/>
      <c r="N1360" s="73" t="s">
        <v>4509</v>
      </c>
      <c r="O1360" s="73" t="s">
        <v>4506</v>
      </c>
      <c r="P1360" s="74"/>
      <c r="Q1360" s="75" t="s">
        <v>4510</v>
      </c>
      <c r="R1360" s="230">
        <v>309.5</v>
      </c>
      <c r="S1360" s="230">
        <v>24130.5</v>
      </c>
      <c r="T1360" s="230">
        <v>24440</v>
      </c>
      <c r="U1360" s="231">
        <v>70.5</v>
      </c>
      <c r="V1360" s="230"/>
      <c r="W1360" s="230"/>
      <c r="X1360" s="231"/>
      <c r="Y1360" s="85"/>
      <c r="Z1360" s="101">
        <v>0.1</v>
      </c>
      <c r="AA1360" s="102">
        <v>0.09</v>
      </c>
      <c r="AB1360" s="77"/>
      <c r="AC1360" s="78"/>
    </row>
    <row r="1361" spans="1:29" ht="15" hidden="1" customHeight="1" thickBot="1" x14ac:dyDescent="0.25">
      <c r="A1361" s="117"/>
      <c r="D1361" s="71"/>
      <c r="E1361" s="78"/>
      <c r="F1361" s="84"/>
      <c r="G1361" s="229"/>
      <c r="H1361" s="71"/>
      <c r="I1361" s="71"/>
      <c r="J1361" s="79"/>
      <c r="K1361" s="79"/>
      <c r="L1361" s="80"/>
      <c r="M1361" s="80"/>
      <c r="N1361" s="73"/>
      <c r="O1361" s="73"/>
      <c r="P1361" s="74"/>
      <c r="Q1361" s="240"/>
      <c r="R1361" s="241">
        <v>7016.5</v>
      </c>
      <c r="S1361" s="241">
        <v>254663.5</v>
      </c>
      <c r="T1361" s="241">
        <v>261680</v>
      </c>
      <c r="U1361" s="231"/>
      <c r="V1361" s="230"/>
      <c r="W1361" s="230"/>
      <c r="X1361" s="231"/>
      <c r="Y1361" s="85"/>
      <c r="Z1361" s="263"/>
      <c r="AA1361" s="265"/>
      <c r="AB1361" s="77"/>
      <c r="AC1361" s="78"/>
    </row>
    <row r="1362" spans="1:29" hidden="1" x14ac:dyDescent="0.2">
      <c r="A1362" s="117"/>
      <c r="D1362" s="71"/>
      <c r="E1362" s="78"/>
      <c r="F1362" s="84"/>
      <c r="G1362" s="229"/>
      <c r="H1362" s="71"/>
      <c r="I1362" s="71"/>
      <c r="J1362" s="79"/>
      <c r="K1362" s="79"/>
      <c r="L1362" s="80"/>
      <c r="M1362" s="80"/>
      <c r="N1362" s="73"/>
      <c r="O1362" s="73"/>
      <c r="P1362" s="74"/>
      <c r="Q1362" s="75"/>
      <c r="R1362" s="230"/>
      <c r="S1362" s="230"/>
      <c r="T1362" s="230"/>
      <c r="U1362" s="231"/>
      <c r="V1362" s="230"/>
      <c r="W1362" s="230"/>
      <c r="X1362" s="231"/>
      <c r="Y1362" s="85"/>
      <c r="Z1362" s="85"/>
      <c r="AA1362" s="76"/>
      <c r="AB1362" s="77"/>
      <c r="AC1362" s="78"/>
    </row>
    <row r="1363" spans="1:29" ht="29" x14ac:dyDescent="0.2">
      <c r="A1363" s="117" t="s">
        <v>4511</v>
      </c>
      <c r="B1363" s="118" t="e">
        <f t="shared" ref="B1363:B1387" si="153">IF(COUNTIF(GIS,A1363),"YES","NO")</f>
        <v>#VALUE!</v>
      </c>
      <c r="C1363" s="118" t="s">
        <v>612</v>
      </c>
      <c r="D1363" s="113">
        <v>40801</v>
      </c>
      <c r="E1363" s="84">
        <v>40848</v>
      </c>
      <c r="F1363" s="84">
        <f t="shared" ref="F1363:F1387" si="154">DATE(YEAR(E1363)+10,MONTH(E1363),DAY(E1363))</f>
        <v>44501</v>
      </c>
      <c r="G1363" s="229">
        <v>637.12</v>
      </c>
      <c r="H1363" s="71" t="s">
        <v>1086</v>
      </c>
      <c r="I1363" s="71" t="s">
        <v>691</v>
      </c>
      <c r="J1363" s="248"/>
      <c r="K1363" s="55">
        <f t="shared" ref="K1363:K1387" si="155">YEAR(F1363)</f>
        <v>2021</v>
      </c>
      <c r="L1363" s="249"/>
      <c r="M1363" s="249"/>
      <c r="N1363" s="73" t="s">
        <v>4512</v>
      </c>
      <c r="O1363" s="73" t="s">
        <v>4513</v>
      </c>
      <c r="P1363" s="74"/>
      <c r="Q1363" s="75" t="s">
        <v>4514</v>
      </c>
      <c r="R1363" s="266">
        <v>2378</v>
      </c>
      <c r="S1363" s="266">
        <v>37004</v>
      </c>
      <c r="T1363" s="266">
        <v>39382</v>
      </c>
      <c r="U1363" s="231">
        <v>957</v>
      </c>
      <c r="V1363" s="230"/>
      <c r="W1363" s="230"/>
      <c r="X1363" s="231"/>
      <c r="Y1363" s="85"/>
      <c r="Z1363" s="101">
        <v>0.1</v>
      </c>
      <c r="AA1363" s="102">
        <v>0.09</v>
      </c>
      <c r="AB1363" s="77"/>
      <c r="AC1363" s="78"/>
    </row>
    <row r="1364" spans="1:29" x14ac:dyDescent="0.2">
      <c r="A1364" s="109" t="s">
        <v>4515</v>
      </c>
      <c r="B1364" s="118" t="e">
        <f t="shared" si="153"/>
        <v>#VALUE!</v>
      </c>
      <c r="C1364" s="118" t="s">
        <v>612</v>
      </c>
      <c r="D1364" s="113">
        <v>40801</v>
      </c>
      <c r="E1364" s="84">
        <v>40848</v>
      </c>
      <c r="F1364" s="84">
        <f t="shared" si="154"/>
        <v>44501</v>
      </c>
      <c r="G1364" s="229">
        <v>382.12</v>
      </c>
      <c r="H1364" s="71" t="s">
        <v>1086</v>
      </c>
      <c r="I1364" s="71" t="s">
        <v>691</v>
      </c>
      <c r="J1364" s="248"/>
      <c r="K1364" s="55">
        <f t="shared" si="155"/>
        <v>2021</v>
      </c>
      <c r="L1364" s="249"/>
      <c r="M1364" s="249"/>
      <c r="N1364" s="73" t="s">
        <v>4512</v>
      </c>
      <c r="O1364" s="73" t="s">
        <v>4516</v>
      </c>
      <c r="P1364" s="74"/>
      <c r="Q1364" s="75" t="s">
        <v>4517</v>
      </c>
      <c r="R1364" s="266">
        <v>1485.5</v>
      </c>
      <c r="S1364" s="266">
        <v>83494</v>
      </c>
      <c r="T1364" s="266">
        <v>84979.5</v>
      </c>
      <c r="U1364" s="231">
        <v>574.5</v>
      </c>
      <c r="V1364" s="230"/>
      <c r="W1364" s="230"/>
      <c r="X1364" s="231"/>
      <c r="Y1364" s="85"/>
      <c r="Z1364" s="101">
        <v>0.1</v>
      </c>
      <c r="AA1364" s="102">
        <v>0.09</v>
      </c>
      <c r="AB1364" s="77"/>
      <c r="AC1364" s="78"/>
    </row>
    <row r="1365" spans="1:29" ht="27" customHeight="1" x14ac:dyDescent="0.2">
      <c r="A1365" s="109" t="s">
        <v>4518</v>
      </c>
      <c r="B1365" s="118" t="e">
        <f t="shared" si="153"/>
        <v>#VALUE!</v>
      </c>
      <c r="C1365" s="118" t="s">
        <v>612</v>
      </c>
      <c r="D1365" s="113">
        <v>40801</v>
      </c>
      <c r="E1365" s="84">
        <v>40848</v>
      </c>
      <c r="F1365" s="84">
        <f t="shared" si="154"/>
        <v>44501</v>
      </c>
      <c r="G1365" s="229">
        <v>516</v>
      </c>
      <c r="H1365" s="71" t="s">
        <v>1086</v>
      </c>
      <c r="I1365" s="71" t="s">
        <v>691</v>
      </c>
      <c r="J1365" s="238" t="s">
        <v>1750</v>
      </c>
      <c r="K1365" s="55">
        <f t="shared" si="155"/>
        <v>2021</v>
      </c>
      <c r="L1365" s="239"/>
      <c r="M1365" s="239"/>
      <c r="N1365" s="73" t="s">
        <v>4512</v>
      </c>
      <c r="O1365" s="73" t="s">
        <v>4519</v>
      </c>
      <c r="P1365" s="74"/>
      <c r="Q1365" s="75" t="s">
        <v>4520</v>
      </c>
      <c r="R1365" s="266">
        <v>1951</v>
      </c>
      <c r="S1365" s="266">
        <v>112488</v>
      </c>
      <c r="T1365" s="266">
        <v>114439</v>
      </c>
      <c r="U1365" s="231">
        <v>774</v>
      </c>
      <c r="V1365" s="230"/>
      <c r="W1365" s="230"/>
      <c r="X1365" s="231"/>
      <c r="Y1365" s="85"/>
      <c r="Z1365" s="101">
        <v>0.1</v>
      </c>
      <c r="AA1365" s="102">
        <v>0.09</v>
      </c>
      <c r="AB1365" s="77"/>
      <c r="AC1365" s="78"/>
    </row>
    <row r="1366" spans="1:29" x14ac:dyDescent="0.2">
      <c r="A1366" s="109" t="s">
        <v>4521</v>
      </c>
      <c r="B1366" s="118" t="e">
        <f t="shared" si="153"/>
        <v>#VALUE!</v>
      </c>
      <c r="C1366" s="118" t="s">
        <v>612</v>
      </c>
      <c r="D1366" s="113">
        <v>40801</v>
      </c>
      <c r="E1366" s="84">
        <v>40848</v>
      </c>
      <c r="F1366" s="84">
        <f t="shared" si="154"/>
        <v>44501</v>
      </c>
      <c r="G1366" s="229">
        <v>546.53</v>
      </c>
      <c r="H1366" s="71" t="s">
        <v>1086</v>
      </c>
      <c r="I1366" s="71" t="s">
        <v>691</v>
      </c>
      <c r="J1366" s="248"/>
      <c r="K1366" s="55">
        <f t="shared" si="155"/>
        <v>2021</v>
      </c>
      <c r="L1366" s="249"/>
      <c r="M1366" s="249"/>
      <c r="N1366" s="73" t="s">
        <v>4522</v>
      </c>
      <c r="O1366" s="73" t="s">
        <v>4523</v>
      </c>
      <c r="P1366" s="74"/>
      <c r="Q1366" s="75" t="s">
        <v>4524</v>
      </c>
      <c r="R1366" s="266">
        <v>2059.5</v>
      </c>
      <c r="S1366" s="266">
        <v>124716</v>
      </c>
      <c r="T1366" s="266">
        <v>126775.5</v>
      </c>
      <c r="U1366" s="231">
        <v>820.5</v>
      </c>
      <c r="V1366" s="230"/>
      <c r="W1366" s="230"/>
      <c r="X1366" s="231"/>
      <c r="Y1366" s="85"/>
      <c r="Z1366" s="101">
        <v>0.1</v>
      </c>
      <c r="AA1366" s="102">
        <v>0.09</v>
      </c>
      <c r="AB1366" s="77"/>
      <c r="AC1366" s="78"/>
    </row>
    <row r="1367" spans="1:29" ht="40" customHeight="1" x14ac:dyDescent="0.2">
      <c r="A1367" s="109" t="s">
        <v>4525</v>
      </c>
      <c r="B1367" s="118" t="e">
        <f t="shared" si="153"/>
        <v>#VALUE!</v>
      </c>
      <c r="C1367" s="118" t="s">
        <v>612</v>
      </c>
      <c r="D1367" s="113">
        <v>40801</v>
      </c>
      <c r="E1367" s="84">
        <v>40848</v>
      </c>
      <c r="F1367" s="84">
        <f t="shared" si="154"/>
        <v>44501</v>
      </c>
      <c r="G1367" s="229">
        <v>520.73</v>
      </c>
      <c r="H1367" s="71" t="s">
        <v>1086</v>
      </c>
      <c r="I1367" s="71" t="s">
        <v>691</v>
      </c>
      <c r="J1367" s="238" t="s">
        <v>4526</v>
      </c>
      <c r="K1367" s="55">
        <f t="shared" si="155"/>
        <v>2021</v>
      </c>
      <c r="L1367" s="239"/>
      <c r="M1367" s="239"/>
      <c r="N1367" s="73" t="s">
        <v>4522</v>
      </c>
      <c r="O1367" s="73" t="s">
        <v>4523</v>
      </c>
      <c r="P1367" s="74"/>
      <c r="Q1367" s="75" t="s">
        <v>4527</v>
      </c>
      <c r="R1367" s="266">
        <v>1968.5</v>
      </c>
      <c r="S1367" s="266">
        <v>113578</v>
      </c>
      <c r="T1367" s="266">
        <v>115546.5</v>
      </c>
      <c r="U1367" s="231">
        <v>781.5</v>
      </c>
      <c r="V1367" s="230"/>
      <c r="W1367" s="230"/>
      <c r="X1367" s="231"/>
      <c r="Y1367" s="85"/>
      <c r="Z1367" s="101">
        <v>0.1</v>
      </c>
      <c r="AA1367" s="102">
        <v>0.09</v>
      </c>
      <c r="AB1367" s="77"/>
      <c r="AC1367" s="78"/>
    </row>
    <row r="1368" spans="1:29" x14ac:dyDescent="0.2">
      <c r="A1368" s="109" t="s">
        <v>4528</v>
      </c>
      <c r="B1368" s="118" t="e">
        <f t="shared" si="153"/>
        <v>#VALUE!</v>
      </c>
      <c r="C1368" s="118" t="s">
        <v>612</v>
      </c>
      <c r="D1368" s="113">
        <v>40801</v>
      </c>
      <c r="E1368" s="84">
        <v>40848</v>
      </c>
      <c r="F1368" s="84">
        <f t="shared" si="154"/>
        <v>44501</v>
      </c>
      <c r="G1368" s="229">
        <v>351.11</v>
      </c>
      <c r="H1368" s="71" t="s">
        <v>1086</v>
      </c>
      <c r="I1368" s="71" t="s">
        <v>691</v>
      </c>
      <c r="J1368" s="248"/>
      <c r="K1368" s="55">
        <f t="shared" si="155"/>
        <v>2021</v>
      </c>
      <c r="L1368" s="249"/>
      <c r="M1368" s="249"/>
      <c r="N1368" s="73" t="s">
        <v>4529</v>
      </c>
      <c r="O1368" s="73" t="s">
        <v>4523</v>
      </c>
      <c r="P1368" s="74"/>
      <c r="Q1368" s="75" t="s">
        <v>4530</v>
      </c>
      <c r="R1368" s="266">
        <v>1377</v>
      </c>
      <c r="S1368" s="266">
        <v>9856</v>
      </c>
      <c r="T1368" s="266">
        <v>11233</v>
      </c>
      <c r="U1368" s="231">
        <v>528</v>
      </c>
      <c r="V1368" s="230"/>
      <c r="W1368" s="230"/>
      <c r="X1368" s="231"/>
      <c r="Y1368" s="85"/>
      <c r="Z1368" s="101">
        <v>0.1</v>
      </c>
      <c r="AA1368" s="102">
        <v>0.09</v>
      </c>
      <c r="AB1368" s="77"/>
      <c r="AC1368" s="78"/>
    </row>
    <row r="1369" spans="1:29" x14ac:dyDescent="0.2">
      <c r="A1369" s="109" t="s">
        <v>4531</v>
      </c>
      <c r="B1369" s="118" t="e">
        <f t="shared" si="153"/>
        <v>#VALUE!</v>
      </c>
      <c r="C1369" s="118" t="s">
        <v>612</v>
      </c>
      <c r="D1369" s="113">
        <v>40801</v>
      </c>
      <c r="E1369" s="103">
        <v>40909</v>
      </c>
      <c r="F1369" s="84">
        <f t="shared" si="154"/>
        <v>44562</v>
      </c>
      <c r="G1369" s="229">
        <v>637.98</v>
      </c>
      <c r="H1369" s="71" t="s">
        <v>1086</v>
      </c>
      <c r="I1369" s="71" t="s">
        <v>691</v>
      </c>
      <c r="J1369" s="248"/>
      <c r="K1369" s="55">
        <f t="shared" si="155"/>
        <v>2022</v>
      </c>
      <c r="L1369" s="249"/>
      <c r="M1369" s="249"/>
      <c r="N1369" s="73" t="s">
        <v>4532</v>
      </c>
      <c r="O1369" s="73" t="s">
        <v>4523</v>
      </c>
      <c r="P1369" s="74"/>
      <c r="Q1369" s="75" t="s">
        <v>4533</v>
      </c>
      <c r="R1369" s="266">
        <v>2378</v>
      </c>
      <c r="S1369" s="266">
        <v>49708.5</v>
      </c>
      <c r="T1369" s="266">
        <v>52086.5</v>
      </c>
      <c r="U1369" s="231">
        <v>957</v>
      </c>
      <c r="V1369" s="230"/>
      <c r="W1369" s="230"/>
      <c r="X1369" s="231"/>
      <c r="Y1369" s="85"/>
      <c r="Z1369" s="101">
        <v>0.1</v>
      </c>
      <c r="AA1369" s="102">
        <v>0.09</v>
      </c>
      <c r="AB1369" s="77"/>
      <c r="AC1369" s="78"/>
    </row>
    <row r="1370" spans="1:29" x14ac:dyDescent="0.2">
      <c r="A1370" s="109" t="s">
        <v>4534</v>
      </c>
      <c r="B1370" s="118" t="e">
        <f t="shared" si="153"/>
        <v>#VALUE!</v>
      </c>
      <c r="C1370" s="118" t="s">
        <v>612</v>
      </c>
      <c r="D1370" s="113">
        <v>40801</v>
      </c>
      <c r="E1370" s="103">
        <v>40909</v>
      </c>
      <c r="F1370" s="84">
        <f t="shared" si="154"/>
        <v>44562</v>
      </c>
      <c r="G1370" s="229">
        <v>603.98</v>
      </c>
      <c r="H1370" s="71" t="s">
        <v>1086</v>
      </c>
      <c r="I1370" s="71" t="s">
        <v>691</v>
      </c>
      <c r="J1370" s="248"/>
      <c r="K1370" s="55">
        <f t="shared" si="155"/>
        <v>2022</v>
      </c>
      <c r="L1370" s="249"/>
      <c r="M1370" s="249"/>
      <c r="N1370" s="73" t="s">
        <v>4532</v>
      </c>
      <c r="O1370" s="73" t="s">
        <v>4535</v>
      </c>
      <c r="P1370" s="74"/>
      <c r="Q1370" s="75" t="s">
        <v>4536</v>
      </c>
      <c r="R1370" s="266">
        <v>2259</v>
      </c>
      <c r="S1370" s="266">
        <v>41067.5</v>
      </c>
      <c r="T1370" s="266">
        <v>43326.5</v>
      </c>
      <c r="U1370" s="231">
        <v>906</v>
      </c>
      <c r="V1370" s="230"/>
      <c r="W1370" s="230"/>
      <c r="X1370" s="231"/>
      <c r="Y1370" s="85"/>
      <c r="Z1370" s="101">
        <v>0.1</v>
      </c>
      <c r="AA1370" s="102">
        <v>0.09</v>
      </c>
      <c r="AB1370" s="77"/>
      <c r="AC1370" s="78"/>
    </row>
    <row r="1371" spans="1:29" x14ac:dyDescent="0.2">
      <c r="A1371" s="109" t="s">
        <v>4537</v>
      </c>
      <c r="B1371" s="118" t="e">
        <f t="shared" si="153"/>
        <v>#VALUE!</v>
      </c>
      <c r="C1371" s="118" t="s">
        <v>612</v>
      </c>
      <c r="D1371" s="113">
        <v>40801</v>
      </c>
      <c r="E1371" s="84">
        <v>40848</v>
      </c>
      <c r="F1371" s="84">
        <f t="shared" si="154"/>
        <v>44501</v>
      </c>
      <c r="G1371" s="229">
        <v>600.71</v>
      </c>
      <c r="H1371" s="71" t="s">
        <v>1086</v>
      </c>
      <c r="I1371" s="71" t="s">
        <v>691</v>
      </c>
      <c r="J1371" s="248"/>
      <c r="K1371" s="55">
        <f t="shared" si="155"/>
        <v>2021</v>
      </c>
      <c r="L1371" s="249"/>
      <c r="M1371" s="249"/>
      <c r="N1371" s="73" t="s">
        <v>4529</v>
      </c>
      <c r="O1371" s="73" t="s">
        <v>4538</v>
      </c>
      <c r="P1371" s="74"/>
      <c r="Q1371" s="75" t="s">
        <v>4539</v>
      </c>
      <c r="R1371" s="266">
        <v>2248.5</v>
      </c>
      <c r="S1371" s="266">
        <v>46878</v>
      </c>
      <c r="T1371" s="266">
        <v>49126.5</v>
      </c>
      <c r="U1371" s="231">
        <v>901.5</v>
      </c>
      <c r="V1371" s="230"/>
      <c r="W1371" s="230"/>
      <c r="X1371" s="231"/>
      <c r="Y1371" s="85"/>
      <c r="Z1371" s="101">
        <v>0.1</v>
      </c>
      <c r="AA1371" s="102">
        <v>0.09</v>
      </c>
      <c r="AB1371" s="77"/>
      <c r="AC1371" s="78"/>
    </row>
    <row r="1372" spans="1:29" x14ac:dyDescent="0.2">
      <c r="A1372" s="109" t="s">
        <v>4540</v>
      </c>
      <c r="B1372" s="118" t="e">
        <f t="shared" si="153"/>
        <v>#VALUE!</v>
      </c>
      <c r="C1372" s="118" t="s">
        <v>612</v>
      </c>
      <c r="D1372" s="113">
        <v>40801</v>
      </c>
      <c r="E1372" s="84">
        <v>40848</v>
      </c>
      <c r="F1372" s="84">
        <f t="shared" si="154"/>
        <v>44501</v>
      </c>
      <c r="G1372" s="229">
        <v>685.24</v>
      </c>
      <c r="H1372" s="71" t="s">
        <v>1086</v>
      </c>
      <c r="I1372" s="71" t="s">
        <v>691</v>
      </c>
      <c r="J1372" s="248"/>
      <c r="K1372" s="55">
        <f t="shared" si="155"/>
        <v>2021</v>
      </c>
      <c r="L1372" s="249"/>
      <c r="M1372" s="249"/>
      <c r="N1372" s="73" t="s">
        <v>4541</v>
      </c>
      <c r="O1372" s="73" t="s">
        <v>4523</v>
      </c>
      <c r="P1372" s="74"/>
      <c r="Q1372" s="75" t="s">
        <v>4542</v>
      </c>
      <c r="R1372" s="266">
        <v>2546</v>
      </c>
      <c r="S1372" s="266">
        <v>19208</v>
      </c>
      <c r="T1372" s="266">
        <v>21754</v>
      </c>
      <c r="U1372" s="231">
        <v>1029</v>
      </c>
      <c r="V1372" s="230"/>
      <c r="W1372" s="230"/>
      <c r="X1372" s="231"/>
      <c r="Y1372" s="85"/>
      <c r="Z1372" s="101">
        <v>0.1</v>
      </c>
      <c r="AA1372" s="102">
        <v>0.09</v>
      </c>
      <c r="AB1372" s="77"/>
      <c r="AC1372" s="78"/>
    </row>
    <row r="1373" spans="1:29" x14ac:dyDescent="0.2">
      <c r="A1373" s="109" t="s">
        <v>4543</v>
      </c>
      <c r="B1373" s="118" t="e">
        <f t="shared" si="153"/>
        <v>#VALUE!</v>
      </c>
      <c r="C1373" s="118" t="s">
        <v>612</v>
      </c>
      <c r="D1373" s="113">
        <v>40801</v>
      </c>
      <c r="E1373" s="84">
        <v>40848</v>
      </c>
      <c r="F1373" s="84">
        <f t="shared" si="154"/>
        <v>44501</v>
      </c>
      <c r="G1373" s="229">
        <v>685.9</v>
      </c>
      <c r="H1373" s="71" t="s">
        <v>1086</v>
      </c>
      <c r="I1373" s="71" t="s">
        <v>691</v>
      </c>
      <c r="J1373" s="248"/>
      <c r="K1373" s="55">
        <f t="shared" si="155"/>
        <v>2021</v>
      </c>
      <c r="L1373" s="249"/>
      <c r="M1373" s="249"/>
      <c r="N1373" s="73" t="s">
        <v>4541</v>
      </c>
      <c r="O1373" s="73" t="s">
        <v>4523</v>
      </c>
      <c r="P1373" s="74"/>
      <c r="Q1373" s="75" t="s">
        <v>4544</v>
      </c>
      <c r="R1373" s="266">
        <v>2546</v>
      </c>
      <c r="S1373" s="266">
        <v>19208</v>
      </c>
      <c r="T1373" s="266">
        <v>21754</v>
      </c>
      <c r="U1373" s="231">
        <v>1029</v>
      </c>
      <c r="V1373" s="230"/>
      <c r="W1373" s="230"/>
      <c r="X1373" s="231"/>
      <c r="Y1373" s="85"/>
      <c r="Z1373" s="101">
        <v>0.1</v>
      </c>
      <c r="AA1373" s="102">
        <v>0.09</v>
      </c>
      <c r="AB1373" s="77"/>
      <c r="AC1373" s="78"/>
    </row>
    <row r="1374" spans="1:29" x14ac:dyDescent="0.2">
      <c r="A1374" s="109" t="s">
        <v>4545</v>
      </c>
      <c r="B1374" s="118" t="e">
        <f t="shared" si="153"/>
        <v>#VALUE!</v>
      </c>
      <c r="C1374" s="118" t="s">
        <v>612</v>
      </c>
      <c r="D1374" s="113">
        <v>40801</v>
      </c>
      <c r="E1374" s="84">
        <v>40848</v>
      </c>
      <c r="F1374" s="84">
        <f t="shared" si="154"/>
        <v>44501</v>
      </c>
      <c r="G1374" s="229">
        <v>505.72</v>
      </c>
      <c r="H1374" s="71" t="s">
        <v>1086</v>
      </c>
      <c r="I1374" s="71" t="s">
        <v>691</v>
      </c>
      <c r="J1374" s="248"/>
      <c r="K1374" s="55">
        <f t="shared" si="155"/>
        <v>2021</v>
      </c>
      <c r="L1374" s="249"/>
      <c r="M1374" s="249"/>
      <c r="N1374" s="73" t="s">
        <v>4541</v>
      </c>
      <c r="O1374" s="73" t="s">
        <v>4523</v>
      </c>
      <c r="P1374" s="74"/>
      <c r="Q1374" s="75" t="s">
        <v>4546</v>
      </c>
      <c r="R1374" s="266">
        <v>1916</v>
      </c>
      <c r="S1374" s="266">
        <v>14168</v>
      </c>
      <c r="T1374" s="266">
        <v>16084</v>
      </c>
      <c r="U1374" s="231">
        <v>759</v>
      </c>
      <c r="V1374" s="230"/>
      <c r="W1374" s="230"/>
      <c r="X1374" s="231"/>
      <c r="Y1374" s="85"/>
      <c r="Z1374" s="101">
        <v>0.1</v>
      </c>
      <c r="AA1374" s="102">
        <v>0.09</v>
      </c>
      <c r="AB1374" s="77"/>
      <c r="AC1374" s="78"/>
    </row>
    <row r="1375" spans="1:29" x14ac:dyDescent="0.2">
      <c r="A1375" s="109" t="s">
        <v>4547</v>
      </c>
      <c r="B1375" s="118" t="e">
        <f t="shared" si="153"/>
        <v>#VALUE!</v>
      </c>
      <c r="C1375" s="118" t="s">
        <v>612</v>
      </c>
      <c r="D1375" s="113">
        <v>40801</v>
      </c>
      <c r="E1375" s="84">
        <v>40848</v>
      </c>
      <c r="F1375" s="84">
        <f t="shared" si="154"/>
        <v>44501</v>
      </c>
      <c r="G1375" s="229">
        <v>141.91999999999999</v>
      </c>
      <c r="H1375" s="71" t="s">
        <v>1086</v>
      </c>
      <c r="I1375" s="71" t="s">
        <v>691</v>
      </c>
      <c r="J1375" s="248"/>
      <c r="K1375" s="55">
        <f t="shared" si="155"/>
        <v>2021</v>
      </c>
      <c r="L1375" s="249"/>
      <c r="M1375" s="249"/>
      <c r="N1375" s="73" t="s">
        <v>4541</v>
      </c>
      <c r="O1375" s="73" t="s">
        <v>4523</v>
      </c>
      <c r="P1375" s="74"/>
      <c r="Q1375" s="75" t="s">
        <v>4548</v>
      </c>
      <c r="R1375" s="266">
        <v>642</v>
      </c>
      <c r="S1375" s="266">
        <v>3976</v>
      </c>
      <c r="T1375" s="266">
        <v>4618</v>
      </c>
      <c r="U1375" s="231">
        <v>213</v>
      </c>
      <c r="V1375" s="230"/>
      <c r="W1375" s="230"/>
      <c r="X1375" s="231"/>
      <c r="Y1375" s="85"/>
      <c r="Z1375" s="101">
        <v>0.1</v>
      </c>
      <c r="AA1375" s="102">
        <v>0.09</v>
      </c>
      <c r="AB1375" s="77"/>
      <c r="AC1375" s="78"/>
    </row>
    <row r="1376" spans="1:29" ht="27" customHeight="1" x14ac:dyDescent="0.2">
      <c r="A1376" s="109" t="s">
        <v>4549</v>
      </c>
      <c r="B1376" s="118" t="e">
        <f t="shared" si="153"/>
        <v>#VALUE!</v>
      </c>
      <c r="C1376" s="118" t="s">
        <v>612</v>
      </c>
      <c r="D1376" s="113">
        <v>40801</v>
      </c>
      <c r="E1376" s="84">
        <v>40848</v>
      </c>
      <c r="F1376" s="84">
        <f t="shared" si="154"/>
        <v>44501</v>
      </c>
      <c r="G1376" s="229">
        <v>273.8</v>
      </c>
      <c r="H1376" s="71" t="s">
        <v>1086</v>
      </c>
      <c r="I1376" s="71" t="s">
        <v>691</v>
      </c>
      <c r="J1376" s="248"/>
      <c r="K1376" s="55">
        <f t="shared" si="155"/>
        <v>2021</v>
      </c>
      <c r="L1376" s="249"/>
      <c r="M1376" s="249"/>
      <c r="N1376" s="73" t="s">
        <v>4541</v>
      </c>
      <c r="O1376" s="73" t="s">
        <v>4550</v>
      </c>
      <c r="P1376" s="74"/>
      <c r="Q1376" s="75" t="s">
        <v>4551</v>
      </c>
      <c r="R1376" s="266">
        <v>1104</v>
      </c>
      <c r="S1376" s="266">
        <v>13152</v>
      </c>
      <c r="T1376" s="266">
        <v>14256</v>
      </c>
      <c r="U1376" s="231">
        <v>411</v>
      </c>
      <c r="V1376" s="230"/>
      <c r="W1376" s="230"/>
      <c r="X1376" s="231"/>
      <c r="Y1376" s="85"/>
      <c r="Z1376" s="101">
        <v>0.1</v>
      </c>
      <c r="AA1376" s="102">
        <v>0.09</v>
      </c>
      <c r="AB1376" s="77"/>
      <c r="AC1376" s="78"/>
    </row>
    <row r="1377" spans="1:29" x14ac:dyDescent="0.2">
      <c r="A1377" s="109" t="s">
        <v>4552</v>
      </c>
      <c r="B1377" s="118" t="e">
        <f t="shared" si="153"/>
        <v>#VALUE!</v>
      </c>
      <c r="C1377" s="118" t="s">
        <v>612</v>
      </c>
      <c r="D1377" s="113">
        <v>40801</v>
      </c>
      <c r="E1377" s="84">
        <v>40848</v>
      </c>
      <c r="F1377" s="84">
        <f t="shared" si="154"/>
        <v>44501</v>
      </c>
      <c r="G1377" s="229">
        <v>612.36</v>
      </c>
      <c r="H1377" s="71" t="s">
        <v>1086</v>
      </c>
      <c r="I1377" s="71" t="s">
        <v>691</v>
      </c>
      <c r="J1377" s="248"/>
      <c r="K1377" s="55">
        <f t="shared" si="155"/>
        <v>2021</v>
      </c>
      <c r="L1377" s="249"/>
      <c r="M1377" s="249"/>
      <c r="N1377" s="73" t="s">
        <v>4541</v>
      </c>
      <c r="O1377" s="73" t="s">
        <v>4553</v>
      </c>
      <c r="P1377" s="74"/>
      <c r="Q1377" s="75" t="s">
        <v>4554</v>
      </c>
      <c r="R1377" s="266">
        <v>2290.5</v>
      </c>
      <c r="S1377" s="266">
        <v>29424</v>
      </c>
      <c r="T1377" s="266">
        <v>31714.5</v>
      </c>
      <c r="U1377" s="231">
        <v>919.5</v>
      </c>
      <c r="V1377" s="230"/>
      <c r="W1377" s="230"/>
      <c r="X1377" s="231"/>
      <c r="Y1377" s="85"/>
      <c r="Z1377" s="101">
        <v>0.1</v>
      </c>
      <c r="AA1377" s="102">
        <v>0.09</v>
      </c>
      <c r="AB1377" s="77"/>
      <c r="AC1377" s="78"/>
    </row>
    <row r="1378" spans="1:29" x14ac:dyDescent="0.2">
      <c r="A1378" s="109" t="s">
        <v>4555</v>
      </c>
      <c r="B1378" s="118" t="e">
        <f t="shared" si="153"/>
        <v>#VALUE!</v>
      </c>
      <c r="C1378" s="118" t="s">
        <v>612</v>
      </c>
      <c r="D1378" s="113">
        <v>40801</v>
      </c>
      <c r="E1378" s="84">
        <v>40848</v>
      </c>
      <c r="F1378" s="84">
        <f t="shared" si="154"/>
        <v>44501</v>
      </c>
      <c r="G1378" s="229">
        <v>283.54000000000002</v>
      </c>
      <c r="H1378" s="71" t="s">
        <v>1086</v>
      </c>
      <c r="I1378" s="71" t="s">
        <v>691</v>
      </c>
      <c r="J1378" s="248"/>
      <c r="K1378" s="55">
        <f t="shared" si="155"/>
        <v>2021</v>
      </c>
      <c r="L1378" s="249"/>
      <c r="M1378" s="249"/>
      <c r="N1378" s="73" t="s">
        <v>4541</v>
      </c>
      <c r="O1378" s="73" t="s">
        <v>4523</v>
      </c>
      <c r="P1378" s="74"/>
      <c r="Q1378" s="75" t="s">
        <v>4556</v>
      </c>
      <c r="R1378" s="266">
        <v>1139</v>
      </c>
      <c r="S1378" s="266">
        <v>44872</v>
      </c>
      <c r="T1378" s="266">
        <v>46011</v>
      </c>
      <c r="U1378" s="231">
        <v>426</v>
      </c>
      <c r="V1378" s="230"/>
      <c r="W1378" s="230"/>
      <c r="X1378" s="231"/>
      <c r="Y1378" s="85"/>
      <c r="Z1378" s="101">
        <v>0.1</v>
      </c>
      <c r="AA1378" s="102">
        <v>0.09</v>
      </c>
      <c r="AB1378" s="77"/>
      <c r="AC1378" s="78"/>
    </row>
    <row r="1379" spans="1:29" ht="40" customHeight="1" x14ac:dyDescent="0.2">
      <c r="A1379" s="109" t="s">
        <v>4557</v>
      </c>
      <c r="B1379" s="118" t="e">
        <f t="shared" si="153"/>
        <v>#VALUE!</v>
      </c>
      <c r="C1379" s="118" t="s">
        <v>612</v>
      </c>
      <c r="D1379" s="113">
        <v>40801</v>
      </c>
      <c r="E1379" s="103">
        <v>40909</v>
      </c>
      <c r="F1379" s="84">
        <f t="shared" si="154"/>
        <v>44562</v>
      </c>
      <c r="G1379" s="229">
        <v>489.05</v>
      </c>
      <c r="H1379" s="71" t="s">
        <v>1086</v>
      </c>
      <c r="I1379" s="71" t="s">
        <v>691</v>
      </c>
      <c r="J1379" s="248"/>
      <c r="K1379" s="55">
        <f t="shared" si="155"/>
        <v>2022</v>
      </c>
      <c r="L1379" s="249"/>
      <c r="M1379" s="249"/>
      <c r="N1379" s="73" t="s">
        <v>4541</v>
      </c>
      <c r="O1379" s="73" t="s">
        <v>4558</v>
      </c>
      <c r="P1379" s="74"/>
      <c r="Q1379" s="75" t="s">
        <v>4559</v>
      </c>
      <c r="R1379" s="266">
        <v>1930</v>
      </c>
      <c r="S1379" s="266">
        <v>172380</v>
      </c>
      <c r="T1379" s="266">
        <v>174310</v>
      </c>
      <c r="U1379" s="231">
        <v>735</v>
      </c>
      <c r="V1379" s="230"/>
      <c r="W1379" s="230"/>
      <c r="X1379" s="231"/>
      <c r="Y1379" s="85"/>
      <c r="Z1379" s="101">
        <v>0.1</v>
      </c>
      <c r="AA1379" s="102">
        <v>0.09</v>
      </c>
      <c r="AB1379" s="77"/>
      <c r="AC1379" s="78"/>
    </row>
    <row r="1380" spans="1:29" x14ac:dyDescent="0.2">
      <c r="A1380" s="109" t="s">
        <v>4560</v>
      </c>
      <c r="B1380" s="118" t="e">
        <f t="shared" si="153"/>
        <v>#VALUE!</v>
      </c>
      <c r="C1380" s="118" t="s">
        <v>612</v>
      </c>
      <c r="D1380" s="113">
        <v>40801</v>
      </c>
      <c r="E1380" s="103">
        <v>40909</v>
      </c>
      <c r="F1380" s="84">
        <f t="shared" si="154"/>
        <v>44562</v>
      </c>
      <c r="G1380" s="229">
        <v>20.38</v>
      </c>
      <c r="H1380" s="71" t="s">
        <v>1086</v>
      </c>
      <c r="I1380" s="71" t="s">
        <v>691</v>
      </c>
      <c r="J1380" s="238" t="s">
        <v>4561</v>
      </c>
      <c r="K1380" s="55">
        <f t="shared" si="155"/>
        <v>2022</v>
      </c>
      <c r="L1380" s="239"/>
      <c r="M1380" s="239"/>
      <c r="N1380" s="73" t="s">
        <v>4541</v>
      </c>
      <c r="O1380" s="73" t="s">
        <v>4562</v>
      </c>
      <c r="P1380" s="74"/>
      <c r="Q1380" s="75" t="s">
        <v>4559</v>
      </c>
      <c r="R1380" s="266"/>
      <c r="S1380" s="266"/>
      <c r="T1380" s="266"/>
      <c r="U1380" s="231">
        <v>31.5</v>
      </c>
      <c r="V1380" s="230"/>
      <c r="W1380" s="230"/>
      <c r="X1380" s="231"/>
      <c r="Y1380" s="85"/>
      <c r="Z1380" s="101">
        <v>0.1</v>
      </c>
      <c r="AA1380" s="102">
        <v>0.09</v>
      </c>
      <c r="AB1380" s="77"/>
      <c r="AC1380" s="78"/>
    </row>
    <row r="1381" spans="1:29" x14ac:dyDescent="0.2">
      <c r="A1381" s="109" t="s">
        <v>4563</v>
      </c>
      <c r="B1381" s="118" t="e">
        <f t="shared" si="153"/>
        <v>#VALUE!</v>
      </c>
      <c r="C1381" s="118" t="s">
        <v>612</v>
      </c>
      <c r="D1381" s="113">
        <v>40801</v>
      </c>
      <c r="E1381" s="103">
        <v>40878</v>
      </c>
      <c r="F1381" s="84">
        <f t="shared" si="154"/>
        <v>44531</v>
      </c>
      <c r="G1381" s="229">
        <v>40</v>
      </c>
      <c r="H1381" s="71" t="s">
        <v>1086</v>
      </c>
      <c r="I1381" s="71" t="s">
        <v>691</v>
      </c>
      <c r="J1381" s="248"/>
      <c r="K1381" s="55">
        <f t="shared" si="155"/>
        <v>2021</v>
      </c>
      <c r="L1381" s="249"/>
      <c r="M1381" s="249"/>
      <c r="N1381" s="73" t="s">
        <v>4564</v>
      </c>
      <c r="O1381" s="73" t="s">
        <v>4565</v>
      </c>
      <c r="P1381" s="74"/>
      <c r="Q1381" s="75" t="s">
        <v>4566</v>
      </c>
      <c r="R1381" s="266">
        <v>285</v>
      </c>
      <c r="S1381" s="266">
        <v>1720</v>
      </c>
      <c r="T1381" s="266">
        <v>2005</v>
      </c>
      <c r="U1381" s="231">
        <v>60</v>
      </c>
      <c r="V1381" s="230"/>
      <c r="W1381" s="230"/>
      <c r="X1381" s="231"/>
      <c r="Y1381" s="85"/>
      <c r="Z1381" s="101">
        <v>0.1</v>
      </c>
      <c r="AA1381" s="102">
        <v>0.09</v>
      </c>
      <c r="AB1381" s="77"/>
      <c r="AC1381" s="78"/>
    </row>
    <row r="1382" spans="1:29" ht="27" customHeight="1" x14ac:dyDescent="0.2">
      <c r="A1382" s="109" t="s">
        <v>4567</v>
      </c>
      <c r="B1382" s="118" t="e">
        <f t="shared" si="153"/>
        <v>#VALUE!</v>
      </c>
      <c r="C1382" s="118" t="s">
        <v>612</v>
      </c>
      <c r="D1382" s="113">
        <v>40801</v>
      </c>
      <c r="E1382" s="103">
        <v>40878</v>
      </c>
      <c r="F1382" s="84">
        <f t="shared" si="154"/>
        <v>44531</v>
      </c>
      <c r="G1382" s="229">
        <v>406.45</v>
      </c>
      <c r="H1382" s="71" t="s">
        <v>1086</v>
      </c>
      <c r="I1382" s="71" t="s">
        <v>691</v>
      </c>
      <c r="J1382" s="248"/>
      <c r="K1382" s="55">
        <f t="shared" si="155"/>
        <v>2021</v>
      </c>
      <c r="L1382" s="249"/>
      <c r="M1382" s="249"/>
      <c r="N1382" s="73" t="s">
        <v>4564</v>
      </c>
      <c r="O1382" s="73" t="s">
        <v>4568</v>
      </c>
      <c r="P1382" s="74"/>
      <c r="Q1382" s="75" t="s">
        <v>4569</v>
      </c>
      <c r="R1382" s="266">
        <v>1569.5</v>
      </c>
      <c r="S1382" s="266">
        <v>88726</v>
      </c>
      <c r="T1382" s="266">
        <v>90295.5</v>
      </c>
      <c r="U1382" s="231">
        <v>610.5</v>
      </c>
      <c r="V1382" s="230"/>
      <c r="W1382" s="230"/>
      <c r="X1382" s="231"/>
      <c r="Y1382" s="85"/>
      <c r="Z1382" s="101">
        <v>0.1</v>
      </c>
      <c r="AA1382" s="102">
        <v>0.09</v>
      </c>
      <c r="AB1382" s="77"/>
      <c r="AC1382" s="78"/>
    </row>
    <row r="1383" spans="1:29" ht="27" customHeight="1" x14ac:dyDescent="0.2">
      <c r="A1383" s="109" t="s">
        <v>4570</v>
      </c>
      <c r="B1383" s="118" t="e">
        <f t="shared" si="153"/>
        <v>#VALUE!</v>
      </c>
      <c r="C1383" s="118" t="s">
        <v>612</v>
      </c>
      <c r="D1383" s="113">
        <v>40801</v>
      </c>
      <c r="E1383" s="103">
        <v>40878</v>
      </c>
      <c r="F1383" s="84">
        <f t="shared" si="154"/>
        <v>44531</v>
      </c>
      <c r="G1383" s="229">
        <v>538.79</v>
      </c>
      <c r="H1383" s="71" t="s">
        <v>1086</v>
      </c>
      <c r="I1383" s="71" t="s">
        <v>691</v>
      </c>
      <c r="J1383" s="248"/>
      <c r="K1383" s="55">
        <f t="shared" si="155"/>
        <v>2021</v>
      </c>
      <c r="L1383" s="249"/>
      <c r="M1383" s="249"/>
      <c r="N1383" s="73" t="s">
        <v>4564</v>
      </c>
      <c r="O1383" s="73" t="s">
        <v>4571</v>
      </c>
      <c r="P1383" s="74"/>
      <c r="Q1383" s="75" t="s">
        <v>4572</v>
      </c>
      <c r="R1383" s="266">
        <v>2031.5</v>
      </c>
      <c r="S1383" s="266">
        <v>31262</v>
      </c>
      <c r="T1383" s="266">
        <v>33293.5</v>
      </c>
      <c r="U1383" s="231">
        <v>808.5</v>
      </c>
      <c r="V1383" s="230"/>
      <c r="W1383" s="230"/>
      <c r="X1383" s="231"/>
      <c r="Y1383" s="85"/>
      <c r="Z1383" s="101">
        <v>0.1</v>
      </c>
      <c r="AA1383" s="102">
        <v>0.09</v>
      </c>
      <c r="AB1383" s="77"/>
      <c r="AC1383" s="78"/>
    </row>
    <row r="1384" spans="1:29" x14ac:dyDescent="0.2">
      <c r="A1384" s="109" t="s">
        <v>4573</v>
      </c>
      <c r="B1384" s="118" t="e">
        <f t="shared" si="153"/>
        <v>#VALUE!</v>
      </c>
      <c r="C1384" s="118" t="s">
        <v>612</v>
      </c>
      <c r="D1384" s="113">
        <v>40801</v>
      </c>
      <c r="E1384" s="84">
        <v>40848</v>
      </c>
      <c r="F1384" s="84">
        <f t="shared" si="154"/>
        <v>44501</v>
      </c>
      <c r="G1384" s="229">
        <v>633.99</v>
      </c>
      <c r="H1384" s="71" t="s">
        <v>1086</v>
      </c>
      <c r="I1384" s="71" t="s">
        <v>691</v>
      </c>
      <c r="J1384" s="248"/>
      <c r="K1384" s="55">
        <f t="shared" si="155"/>
        <v>2021</v>
      </c>
      <c r="L1384" s="249"/>
      <c r="M1384" s="249"/>
      <c r="N1384" s="73" t="s">
        <v>4574</v>
      </c>
      <c r="O1384" s="73" t="s">
        <v>4523</v>
      </c>
      <c r="P1384" s="74"/>
      <c r="Q1384" s="75" t="s">
        <v>4575</v>
      </c>
      <c r="R1384" s="266">
        <v>2364</v>
      </c>
      <c r="S1384" s="266">
        <v>271352</v>
      </c>
      <c r="T1384" s="266">
        <v>273716</v>
      </c>
      <c r="U1384" s="231">
        <v>951</v>
      </c>
      <c r="V1384" s="230"/>
      <c r="W1384" s="230"/>
      <c r="X1384" s="231"/>
      <c r="Y1384" s="85"/>
      <c r="Z1384" s="101">
        <v>0.1</v>
      </c>
      <c r="AA1384" s="102">
        <v>0.09</v>
      </c>
      <c r="AB1384" s="77"/>
      <c r="AC1384" s="78"/>
    </row>
    <row r="1385" spans="1:29" ht="27" customHeight="1" x14ac:dyDescent="0.2">
      <c r="A1385" s="109" t="s">
        <v>4576</v>
      </c>
      <c r="B1385" s="118" t="e">
        <f t="shared" si="153"/>
        <v>#VALUE!</v>
      </c>
      <c r="C1385" s="118" t="s">
        <v>612</v>
      </c>
      <c r="D1385" s="113">
        <v>40801</v>
      </c>
      <c r="E1385" s="84">
        <v>40848</v>
      </c>
      <c r="F1385" s="84">
        <f t="shared" si="154"/>
        <v>44501</v>
      </c>
      <c r="G1385" s="229">
        <v>434.19</v>
      </c>
      <c r="H1385" s="71" t="s">
        <v>1086</v>
      </c>
      <c r="I1385" s="71" t="s">
        <v>691</v>
      </c>
      <c r="J1385" s="248"/>
      <c r="K1385" s="55">
        <f t="shared" si="155"/>
        <v>2021</v>
      </c>
      <c r="L1385" s="249"/>
      <c r="M1385" s="249"/>
      <c r="N1385" s="73" t="s">
        <v>4574</v>
      </c>
      <c r="O1385" s="73" t="s">
        <v>4577</v>
      </c>
      <c r="P1385" s="74"/>
      <c r="Q1385" s="75" t="s">
        <v>4578</v>
      </c>
      <c r="R1385" s="266">
        <v>1667.5</v>
      </c>
      <c r="S1385" s="266">
        <v>133980</v>
      </c>
      <c r="T1385" s="266">
        <v>135647.5</v>
      </c>
      <c r="U1385" s="231">
        <v>652.5</v>
      </c>
      <c r="V1385" s="230"/>
      <c r="W1385" s="230"/>
      <c r="X1385" s="231"/>
      <c r="Y1385" s="85"/>
      <c r="Z1385" s="101">
        <v>0.1</v>
      </c>
      <c r="AA1385" s="102">
        <v>0.09</v>
      </c>
      <c r="AB1385" s="77"/>
      <c r="AC1385" s="78"/>
    </row>
    <row r="1386" spans="1:29" ht="40" customHeight="1" x14ac:dyDescent="0.2">
      <c r="A1386" s="109" t="s">
        <v>4579</v>
      </c>
      <c r="B1386" s="118" t="e">
        <f t="shared" si="153"/>
        <v>#VALUE!</v>
      </c>
      <c r="C1386" s="118" t="s">
        <v>612</v>
      </c>
      <c r="D1386" s="113">
        <v>40801</v>
      </c>
      <c r="E1386" s="84">
        <v>40848</v>
      </c>
      <c r="F1386" s="84">
        <f t="shared" si="154"/>
        <v>44501</v>
      </c>
      <c r="G1386" s="229">
        <v>499.15</v>
      </c>
      <c r="H1386" s="71" t="s">
        <v>1086</v>
      </c>
      <c r="I1386" s="71" t="s">
        <v>691</v>
      </c>
      <c r="J1386" s="248"/>
      <c r="K1386" s="55">
        <f t="shared" si="155"/>
        <v>2021</v>
      </c>
      <c r="L1386" s="249"/>
      <c r="M1386" s="249"/>
      <c r="N1386" s="73" t="s">
        <v>4574</v>
      </c>
      <c r="O1386" s="73" t="s">
        <v>4580</v>
      </c>
      <c r="P1386" s="74"/>
      <c r="Q1386" s="75" t="s">
        <v>4581</v>
      </c>
      <c r="R1386" s="266">
        <v>1895</v>
      </c>
      <c r="S1386" s="266">
        <v>174000</v>
      </c>
      <c r="T1386" s="266">
        <v>175895</v>
      </c>
      <c r="U1386" s="231">
        <v>750</v>
      </c>
      <c r="V1386" s="230"/>
      <c r="W1386" s="230"/>
      <c r="X1386" s="231"/>
      <c r="Y1386" s="85"/>
      <c r="Z1386" s="101">
        <v>0.1</v>
      </c>
      <c r="AA1386" s="102">
        <v>0.09</v>
      </c>
      <c r="AB1386" s="77"/>
      <c r="AC1386" s="78"/>
    </row>
    <row r="1387" spans="1:29" x14ac:dyDescent="0.2">
      <c r="A1387" s="109" t="s">
        <v>4582</v>
      </c>
      <c r="B1387" s="118" t="e">
        <f t="shared" si="153"/>
        <v>#VALUE!</v>
      </c>
      <c r="C1387" s="118" t="s">
        <v>612</v>
      </c>
      <c r="D1387" s="113">
        <v>40801</v>
      </c>
      <c r="E1387" s="103">
        <v>40878</v>
      </c>
      <c r="F1387" s="84">
        <f t="shared" si="154"/>
        <v>44531</v>
      </c>
      <c r="G1387" s="229">
        <v>568.91999999999996</v>
      </c>
      <c r="H1387" s="71" t="s">
        <v>1086</v>
      </c>
      <c r="I1387" s="71" t="s">
        <v>691</v>
      </c>
      <c r="J1387" s="248"/>
      <c r="K1387" s="55">
        <f t="shared" si="155"/>
        <v>2021</v>
      </c>
      <c r="L1387" s="249"/>
      <c r="M1387" s="249"/>
      <c r="N1387" s="73" t="s">
        <v>4574</v>
      </c>
      <c r="O1387" s="73" t="s">
        <v>4583</v>
      </c>
      <c r="P1387" s="74"/>
      <c r="Q1387" s="75" t="s">
        <v>4584</v>
      </c>
      <c r="R1387" s="267">
        <v>2136.5</v>
      </c>
      <c r="S1387" s="267">
        <v>33002</v>
      </c>
      <c r="T1387" s="267">
        <v>35138.5</v>
      </c>
      <c r="U1387" s="231">
        <v>853.5</v>
      </c>
      <c r="V1387" s="230"/>
      <c r="W1387" s="230"/>
      <c r="X1387" s="231"/>
      <c r="Y1387" s="85"/>
      <c r="Z1387" s="101">
        <v>0.1</v>
      </c>
      <c r="AA1387" s="102">
        <v>0.09</v>
      </c>
      <c r="AB1387" s="77"/>
      <c r="AC1387" s="78"/>
    </row>
    <row r="1388" spans="1:29" ht="15" hidden="1" customHeight="1" thickBot="1" x14ac:dyDescent="0.25">
      <c r="A1388" s="117"/>
      <c r="D1388" s="71"/>
      <c r="E1388" s="78"/>
      <c r="F1388" s="84"/>
      <c r="G1388" s="229"/>
      <c r="H1388" s="71"/>
      <c r="I1388" s="71"/>
      <c r="J1388" s="79"/>
      <c r="K1388" s="79"/>
      <c r="L1388" s="80"/>
      <c r="M1388" s="80"/>
      <c r="N1388" s="73"/>
      <c r="O1388" s="73"/>
      <c r="P1388" s="74"/>
      <c r="Q1388" s="75"/>
      <c r="R1388" s="241">
        <v>44167.5</v>
      </c>
      <c r="S1388" s="241">
        <v>1669220</v>
      </c>
      <c r="T1388" s="241">
        <v>1713387.5</v>
      </c>
      <c r="U1388" s="231"/>
      <c r="V1388" s="230"/>
      <c r="W1388" s="230"/>
      <c r="X1388" s="231"/>
      <c r="Y1388" s="85"/>
      <c r="Z1388" s="263"/>
      <c r="AA1388" s="265"/>
      <c r="AB1388" s="77"/>
      <c r="AC1388" s="78"/>
    </row>
    <row r="1389" spans="1:29" hidden="1" x14ac:dyDescent="0.2">
      <c r="A1389" s="117"/>
      <c r="D1389" s="71"/>
      <c r="E1389" s="78"/>
      <c r="F1389" s="84"/>
      <c r="G1389" s="229"/>
      <c r="H1389" s="71"/>
      <c r="I1389" s="71"/>
      <c r="J1389" s="79"/>
      <c r="K1389" s="79"/>
      <c r="L1389" s="80"/>
      <c r="M1389" s="80"/>
      <c r="N1389" s="73"/>
      <c r="O1389" s="73"/>
      <c r="P1389" s="74"/>
      <c r="Q1389" s="75"/>
      <c r="R1389" s="230"/>
      <c r="S1389" s="230"/>
      <c r="T1389" s="230"/>
      <c r="U1389" s="231"/>
      <c r="V1389" s="230"/>
      <c r="W1389" s="230"/>
      <c r="X1389" s="231"/>
      <c r="Y1389" s="85"/>
      <c r="Z1389" s="85"/>
      <c r="AA1389" s="76"/>
      <c r="AB1389" s="77"/>
      <c r="AC1389" s="78"/>
    </row>
    <row r="1390" spans="1:29" x14ac:dyDescent="0.2">
      <c r="A1390" s="117" t="s">
        <v>4585</v>
      </c>
      <c r="B1390" s="118" t="e">
        <f>IF(COUNTIF(GIS,A1390),"YES","NO")</f>
        <v>#VALUE!</v>
      </c>
      <c r="C1390" s="118" t="s">
        <v>612</v>
      </c>
      <c r="D1390" s="113">
        <v>40835</v>
      </c>
      <c r="E1390" s="84">
        <v>40878</v>
      </c>
      <c r="F1390" s="84">
        <f>DATE(YEAR(E1390)+10,MONTH(E1390),DAY(E1390))</f>
        <v>44531</v>
      </c>
      <c r="G1390" s="229">
        <v>160</v>
      </c>
      <c r="H1390" s="71" t="s">
        <v>1540</v>
      </c>
      <c r="I1390" s="71" t="s">
        <v>1147</v>
      </c>
      <c r="J1390" s="79"/>
      <c r="K1390" s="55">
        <f>YEAR(F1390)</f>
        <v>2021</v>
      </c>
      <c r="L1390" s="80"/>
      <c r="M1390" s="80"/>
      <c r="N1390" s="73" t="s">
        <v>4586</v>
      </c>
      <c r="O1390" s="73" t="s">
        <v>4587</v>
      </c>
      <c r="P1390" s="74"/>
      <c r="Q1390" s="75">
        <v>201110010</v>
      </c>
      <c r="R1390" s="230">
        <v>710</v>
      </c>
      <c r="S1390" s="230">
        <v>44480</v>
      </c>
      <c r="T1390" s="230">
        <v>45190</v>
      </c>
      <c r="U1390" s="231">
        <v>240</v>
      </c>
      <c r="V1390" s="230"/>
      <c r="W1390" s="230"/>
      <c r="X1390" s="231"/>
      <c r="Y1390" s="85"/>
      <c r="Z1390" s="101">
        <v>0.1</v>
      </c>
      <c r="AA1390" s="102">
        <v>0.09</v>
      </c>
      <c r="AB1390" s="77"/>
      <c r="AC1390" s="78"/>
    </row>
    <row r="1391" spans="1:29" ht="27" customHeight="1" x14ac:dyDescent="0.2">
      <c r="A1391" s="117" t="s">
        <v>4588</v>
      </c>
      <c r="B1391" s="118" t="e">
        <f>IF(COUNTIF(GIS,A1391),"YES","NO")</f>
        <v>#VALUE!</v>
      </c>
      <c r="C1391" s="118" t="s">
        <v>612</v>
      </c>
      <c r="D1391" s="113">
        <v>40835</v>
      </c>
      <c r="E1391" s="84">
        <v>40878</v>
      </c>
      <c r="F1391" s="84">
        <f>DATE(YEAR(E1391)+10,MONTH(E1391),DAY(E1391))</f>
        <v>44531</v>
      </c>
      <c r="G1391" s="229">
        <v>480</v>
      </c>
      <c r="H1391" s="71" t="s">
        <v>1157</v>
      </c>
      <c r="I1391" s="71" t="s">
        <v>1147</v>
      </c>
      <c r="J1391" s="238" t="s">
        <v>4589</v>
      </c>
      <c r="K1391" s="55">
        <f>YEAR(F1391)</f>
        <v>2021</v>
      </c>
      <c r="L1391" s="239"/>
      <c r="M1391" s="239"/>
      <c r="N1391" s="73" t="s">
        <v>4590</v>
      </c>
      <c r="O1391" s="73" t="s">
        <v>4591</v>
      </c>
      <c r="P1391" s="74"/>
      <c r="Q1391" s="75">
        <v>201110011</v>
      </c>
      <c r="R1391" s="257">
        <v>1830</v>
      </c>
      <c r="S1391" s="257">
        <v>0</v>
      </c>
      <c r="T1391" s="257">
        <v>1830</v>
      </c>
      <c r="U1391" s="231">
        <v>720</v>
      </c>
      <c r="V1391" s="230"/>
      <c r="W1391" s="230"/>
      <c r="X1391" s="231"/>
      <c r="Y1391" s="85"/>
      <c r="Z1391" s="101">
        <v>0.1</v>
      </c>
      <c r="AA1391" s="102">
        <v>0.09</v>
      </c>
      <c r="AB1391" s="77"/>
      <c r="AC1391" s="78"/>
    </row>
    <row r="1392" spans="1:29" ht="15" hidden="1" customHeight="1" thickBot="1" x14ac:dyDescent="0.25">
      <c r="A1392" s="117"/>
      <c r="D1392" s="71"/>
      <c r="E1392" s="78"/>
      <c r="F1392" s="84"/>
      <c r="G1392" s="229"/>
      <c r="H1392" s="71"/>
      <c r="I1392" s="71"/>
      <c r="J1392" s="79"/>
      <c r="K1392" s="79"/>
      <c r="L1392" s="80"/>
      <c r="M1392" s="80"/>
      <c r="N1392" s="73"/>
      <c r="O1392" s="73"/>
      <c r="P1392" s="74"/>
      <c r="Q1392" s="75"/>
      <c r="R1392" s="255">
        <v>2540</v>
      </c>
      <c r="S1392" s="255">
        <v>44480</v>
      </c>
      <c r="T1392" s="255">
        <v>47020</v>
      </c>
      <c r="U1392" s="231"/>
      <c r="V1392" s="230"/>
      <c r="W1392" s="230"/>
      <c r="X1392" s="231"/>
      <c r="Y1392" s="85"/>
      <c r="Z1392" s="263"/>
      <c r="AA1392" s="265"/>
      <c r="AB1392" s="77"/>
      <c r="AC1392" s="78"/>
    </row>
    <row r="1393" spans="1:29" hidden="1" x14ac:dyDescent="0.2">
      <c r="A1393" s="117"/>
      <c r="D1393" s="71"/>
      <c r="E1393" s="78"/>
      <c r="F1393" s="84"/>
      <c r="G1393" s="229"/>
      <c r="H1393" s="71"/>
      <c r="I1393" s="71"/>
      <c r="J1393" s="79"/>
      <c r="K1393" s="79"/>
      <c r="L1393" s="80"/>
      <c r="M1393" s="80"/>
      <c r="N1393" s="73"/>
      <c r="O1393" s="73"/>
      <c r="P1393" s="74"/>
      <c r="Q1393" s="75"/>
      <c r="R1393" s="230"/>
      <c r="S1393" s="230"/>
      <c r="T1393" s="230"/>
      <c r="U1393" s="231"/>
      <c r="V1393" s="230"/>
      <c r="W1393" s="230"/>
      <c r="X1393" s="231"/>
      <c r="Y1393" s="85"/>
      <c r="Z1393" s="85"/>
      <c r="AA1393" s="76"/>
      <c r="AB1393" s="77"/>
      <c r="AC1393" s="78"/>
    </row>
    <row r="1394" spans="1:29" ht="40" customHeight="1" x14ac:dyDescent="0.2">
      <c r="A1394" s="117" t="s">
        <v>4592</v>
      </c>
      <c r="B1394" s="118" t="e">
        <f t="shared" ref="B1394:B1433" si="156">IF(COUNTIF(GIS,A1394),"YES","NO")</f>
        <v>#VALUE!</v>
      </c>
      <c r="C1394" s="118" t="s">
        <v>612</v>
      </c>
      <c r="D1394" s="113">
        <v>40884</v>
      </c>
      <c r="E1394" s="103">
        <v>40940</v>
      </c>
      <c r="F1394" s="84">
        <f t="shared" ref="F1394:F1433" si="157">DATE(YEAR(E1394)+10,MONTH(E1394),DAY(E1394))</f>
        <v>44593</v>
      </c>
      <c r="G1394" s="229">
        <v>444.99</v>
      </c>
      <c r="H1394" s="65" t="s">
        <v>951</v>
      </c>
      <c r="I1394" s="71" t="s">
        <v>684</v>
      </c>
      <c r="J1394" s="79"/>
      <c r="K1394" s="55">
        <f t="shared" ref="K1394:K1433" si="158">YEAR(F1394)</f>
        <v>2022</v>
      </c>
      <c r="L1394" s="80"/>
      <c r="M1394" s="80"/>
      <c r="N1394" s="73" t="s">
        <v>4593</v>
      </c>
      <c r="O1394" s="73" t="s">
        <v>4594</v>
      </c>
      <c r="P1394" s="74"/>
      <c r="Q1394" s="75" t="s">
        <v>4595</v>
      </c>
      <c r="R1394" s="230">
        <v>1707.5</v>
      </c>
      <c r="S1394" s="230">
        <v>143735</v>
      </c>
      <c r="T1394" s="230">
        <v>145442.5</v>
      </c>
      <c r="U1394" s="231">
        <v>667.5</v>
      </c>
      <c r="V1394" s="230"/>
      <c r="W1394" s="230"/>
      <c r="X1394" s="231"/>
      <c r="Y1394" s="85"/>
      <c r="Z1394" s="101">
        <v>0.1</v>
      </c>
      <c r="AA1394" s="102">
        <v>0.09</v>
      </c>
      <c r="AB1394" s="77"/>
      <c r="AC1394" s="78"/>
    </row>
    <row r="1395" spans="1:29" x14ac:dyDescent="0.2">
      <c r="A1395" s="117" t="s">
        <v>4596</v>
      </c>
      <c r="B1395" s="118" t="e">
        <f t="shared" si="156"/>
        <v>#VALUE!</v>
      </c>
      <c r="C1395" s="118" t="s">
        <v>612</v>
      </c>
      <c r="D1395" s="113">
        <v>40884</v>
      </c>
      <c r="E1395" s="103">
        <v>40940</v>
      </c>
      <c r="F1395" s="84">
        <f t="shared" si="157"/>
        <v>44593</v>
      </c>
      <c r="G1395" s="229">
        <v>432.14</v>
      </c>
      <c r="H1395" s="65" t="s">
        <v>951</v>
      </c>
      <c r="I1395" s="71" t="s">
        <v>684</v>
      </c>
      <c r="J1395" s="79"/>
      <c r="K1395" s="55">
        <f t="shared" si="158"/>
        <v>2022</v>
      </c>
      <c r="L1395" s="80"/>
      <c r="M1395" s="80"/>
      <c r="N1395" s="73" t="s">
        <v>4593</v>
      </c>
      <c r="O1395" s="73" t="s">
        <v>4597</v>
      </c>
      <c r="P1395" s="74"/>
      <c r="Q1395" s="75" t="s">
        <v>4598</v>
      </c>
      <c r="R1395" s="230">
        <v>1665.5</v>
      </c>
      <c r="S1395" s="230">
        <v>139859</v>
      </c>
      <c r="T1395" s="230">
        <v>141524.5</v>
      </c>
      <c r="U1395" s="231">
        <v>649.5</v>
      </c>
      <c r="V1395" s="230"/>
      <c r="W1395" s="230"/>
      <c r="X1395" s="231"/>
      <c r="Y1395" s="85"/>
      <c r="Z1395" s="101">
        <v>0.1</v>
      </c>
      <c r="AA1395" s="102">
        <v>0.09</v>
      </c>
      <c r="AB1395" s="77"/>
      <c r="AC1395" s="78"/>
    </row>
    <row r="1396" spans="1:29" ht="27" customHeight="1" x14ac:dyDescent="0.2">
      <c r="A1396" s="117" t="s">
        <v>4599</v>
      </c>
      <c r="B1396" s="118" t="e">
        <f t="shared" si="156"/>
        <v>#VALUE!</v>
      </c>
      <c r="C1396" s="118" t="s">
        <v>612</v>
      </c>
      <c r="D1396" s="113">
        <v>40884</v>
      </c>
      <c r="E1396" s="103">
        <v>40940</v>
      </c>
      <c r="F1396" s="84">
        <f t="shared" si="157"/>
        <v>44593</v>
      </c>
      <c r="G1396" s="229">
        <v>8.8699999999999992</v>
      </c>
      <c r="H1396" s="65" t="s">
        <v>951</v>
      </c>
      <c r="I1396" s="71" t="s">
        <v>684</v>
      </c>
      <c r="J1396" s="79"/>
      <c r="K1396" s="55">
        <f t="shared" si="158"/>
        <v>2022</v>
      </c>
      <c r="L1396" s="80"/>
      <c r="M1396" s="80"/>
      <c r="N1396" s="73" t="s">
        <v>4593</v>
      </c>
      <c r="O1396" s="73" t="s">
        <v>4600</v>
      </c>
      <c r="P1396" s="74"/>
      <c r="Q1396" s="75" t="s">
        <v>4601</v>
      </c>
      <c r="R1396" s="230">
        <v>181.5</v>
      </c>
      <c r="S1396" s="230">
        <v>2907</v>
      </c>
      <c r="T1396" s="230">
        <v>3088.5</v>
      </c>
      <c r="U1396" s="231">
        <v>13.5</v>
      </c>
      <c r="V1396" s="230"/>
      <c r="W1396" s="230"/>
      <c r="X1396" s="231"/>
      <c r="Y1396" s="85"/>
      <c r="Z1396" s="101">
        <v>0.1</v>
      </c>
      <c r="AA1396" s="102">
        <v>0.09</v>
      </c>
      <c r="AB1396" s="77"/>
      <c r="AC1396" s="78"/>
    </row>
    <row r="1397" spans="1:29" x14ac:dyDescent="0.2">
      <c r="A1397" s="117" t="s">
        <v>4602</v>
      </c>
      <c r="B1397" s="118" t="e">
        <f t="shared" si="156"/>
        <v>#VALUE!</v>
      </c>
      <c r="C1397" s="118" t="s">
        <v>612</v>
      </c>
      <c r="D1397" s="113">
        <v>40884</v>
      </c>
      <c r="E1397" s="103">
        <v>40940</v>
      </c>
      <c r="F1397" s="84">
        <f t="shared" si="157"/>
        <v>44593</v>
      </c>
      <c r="G1397" s="229">
        <v>43.15</v>
      </c>
      <c r="H1397" s="71" t="s">
        <v>4397</v>
      </c>
      <c r="I1397" s="71" t="s">
        <v>691</v>
      </c>
      <c r="J1397" s="79"/>
      <c r="K1397" s="55">
        <f t="shared" si="158"/>
        <v>2022</v>
      </c>
      <c r="L1397" s="80"/>
      <c r="M1397" s="80"/>
      <c r="N1397" s="73" t="s">
        <v>4603</v>
      </c>
      <c r="O1397" s="73" t="s">
        <v>4604</v>
      </c>
      <c r="P1397" s="74"/>
      <c r="Q1397" s="75" t="s">
        <v>4605</v>
      </c>
      <c r="R1397" s="230">
        <v>304</v>
      </c>
      <c r="S1397" s="230">
        <v>1232</v>
      </c>
      <c r="T1397" s="230">
        <v>1536</v>
      </c>
      <c r="U1397" s="231">
        <v>66</v>
      </c>
      <c r="V1397" s="230"/>
      <c r="W1397" s="230"/>
      <c r="X1397" s="231"/>
      <c r="Y1397" s="85"/>
      <c r="Z1397" s="101">
        <v>0.1</v>
      </c>
      <c r="AA1397" s="102">
        <v>0.09</v>
      </c>
      <c r="AB1397" s="77"/>
      <c r="AC1397" s="78"/>
    </row>
    <row r="1398" spans="1:29" x14ac:dyDescent="0.2">
      <c r="A1398" s="117" t="s">
        <v>4606</v>
      </c>
      <c r="B1398" s="118" t="e">
        <f t="shared" si="156"/>
        <v>#VALUE!</v>
      </c>
      <c r="C1398" s="118" t="s">
        <v>612</v>
      </c>
      <c r="D1398" s="113">
        <v>40884</v>
      </c>
      <c r="E1398" s="103">
        <v>40940</v>
      </c>
      <c r="F1398" s="84">
        <f t="shared" si="157"/>
        <v>44593</v>
      </c>
      <c r="G1398" s="229">
        <v>274.39999999999998</v>
      </c>
      <c r="H1398" s="71" t="s">
        <v>4397</v>
      </c>
      <c r="I1398" s="71" t="s">
        <v>691</v>
      </c>
      <c r="J1398" s="79"/>
      <c r="K1398" s="55">
        <f t="shared" si="158"/>
        <v>2022</v>
      </c>
      <c r="L1398" s="80"/>
      <c r="M1398" s="80"/>
      <c r="N1398" s="73" t="s">
        <v>4603</v>
      </c>
      <c r="O1398" s="73" t="s">
        <v>4607</v>
      </c>
      <c r="P1398" s="74"/>
      <c r="Q1398" s="75" t="s">
        <v>4608</v>
      </c>
      <c r="R1398" s="230">
        <v>1112.5</v>
      </c>
      <c r="S1398" s="230">
        <v>46200</v>
      </c>
      <c r="T1398" s="230">
        <v>47312.5</v>
      </c>
      <c r="U1398" s="231">
        <v>412.5</v>
      </c>
      <c r="V1398" s="230"/>
      <c r="W1398" s="230"/>
      <c r="X1398" s="231"/>
      <c r="Y1398" s="85"/>
      <c r="Z1398" s="101">
        <v>0.1</v>
      </c>
      <c r="AA1398" s="102">
        <v>0.09</v>
      </c>
      <c r="AB1398" s="77"/>
      <c r="AC1398" s="78"/>
    </row>
    <row r="1399" spans="1:29" x14ac:dyDescent="0.2">
      <c r="A1399" s="117" t="s">
        <v>4609</v>
      </c>
      <c r="B1399" s="118" t="e">
        <f t="shared" si="156"/>
        <v>#VALUE!</v>
      </c>
      <c r="C1399" s="118" t="s">
        <v>612</v>
      </c>
      <c r="D1399" s="113">
        <v>40884</v>
      </c>
      <c r="E1399" s="103">
        <v>40940</v>
      </c>
      <c r="F1399" s="84">
        <f t="shared" si="157"/>
        <v>44593</v>
      </c>
      <c r="G1399" s="229">
        <v>587.66999999999996</v>
      </c>
      <c r="H1399" s="71" t="s">
        <v>4397</v>
      </c>
      <c r="I1399" s="71" t="s">
        <v>691</v>
      </c>
      <c r="J1399" s="79"/>
      <c r="K1399" s="55">
        <f t="shared" si="158"/>
        <v>2022</v>
      </c>
      <c r="L1399" s="80"/>
      <c r="M1399" s="80"/>
      <c r="N1399" s="73" t="s">
        <v>4603</v>
      </c>
      <c r="O1399" s="73" t="s">
        <v>4610</v>
      </c>
      <c r="P1399" s="74"/>
      <c r="Q1399" s="75" t="s">
        <v>4611</v>
      </c>
      <c r="R1399" s="230">
        <v>2327</v>
      </c>
      <c r="S1399" s="230">
        <v>8086</v>
      </c>
      <c r="T1399" s="230">
        <v>10413</v>
      </c>
      <c r="U1399" s="231">
        <v>882</v>
      </c>
      <c r="V1399" s="230"/>
      <c r="W1399" s="230"/>
      <c r="X1399" s="231"/>
      <c r="Y1399" s="85"/>
      <c r="Z1399" s="101">
        <v>0.1</v>
      </c>
      <c r="AA1399" s="102">
        <v>0.09</v>
      </c>
      <c r="AB1399" s="77"/>
      <c r="AC1399" s="78"/>
    </row>
    <row r="1400" spans="1:29" x14ac:dyDescent="0.2">
      <c r="A1400" s="117" t="s">
        <v>4612</v>
      </c>
      <c r="B1400" s="118" t="e">
        <f t="shared" si="156"/>
        <v>#VALUE!</v>
      </c>
      <c r="C1400" s="118" t="s">
        <v>612</v>
      </c>
      <c r="D1400" s="113">
        <v>40884</v>
      </c>
      <c r="E1400" s="103">
        <v>40940</v>
      </c>
      <c r="F1400" s="84">
        <f t="shared" si="157"/>
        <v>44593</v>
      </c>
      <c r="G1400" s="229">
        <v>163.4</v>
      </c>
      <c r="H1400" s="71" t="s">
        <v>4397</v>
      </c>
      <c r="I1400" s="71" t="s">
        <v>691</v>
      </c>
      <c r="J1400" s="79"/>
      <c r="K1400" s="55">
        <f t="shared" si="158"/>
        <v>2022</v>
      </c>
      <c r="L1400" s="80"/>
      <c r="M1400" s="80"/>
      <c r="N1400" s="73" t="s">
        <v>4603</v>
      </c>
      <c r="O1400" s="73" t="s">
        <v>4613</v>
      </c>
      <c r="P1400" s="74"/>
      <c r="Q1400" s="75" t="s">
        <v>4614</v>
      </c>
      <c r="R1400" s="230">
        <v>724</v>
      </c>
      <c r="S1400" s="230">
        <v>1968</v>
      </c>
      <c r="T1400" s="230">
        <v>2692</v>
      </c>
      <c r="U1400" s="231">
        <v>246</v>
      </c>
      <c r="V1400" s="230"/>
      <c r="W1400" s="230"/>
      <c r="X1400" s="231"/>
      <c r="Y1400" s="85"/>
      <c r="Z1400" s="101">
        <v>0.1</v>
      </c>
      <c r="AA1400" s="102">
        <v>0.09</v>
      </c>
      <c r="AB1400" s="77"/>
      <c r="AC1400" s="78"/>
    </row>
    <row r="1401" spans="1:29" ht="27" customHeight="1" x14ac:dyDescent="0.2">
      <c r="A1401" s="117" t="s">
        <v>4615</v>
      </c>
      <c r="B1401" s="118" t="e">
        <f t="shared" si="156"/>
        <v>#VALUE!</v>
      </c>
      <c r="C1401" s="118" t="s">
        <v>612</v>
      </c>
      <c r="D1401" s="113">
        <v>40884</v>
      </c>
      <c r="E1401" s="103">
        <v>40940</v>
      </c>
      <c r="F1401" s="84">
        <f t="shared" si="157"/>
        <v>44593</v>
      </c>
      <c r="G1401" s="229">
        <v>78</v>
      </c>
      <c r="H1401" s="71" t="s">
        <v>4397</v>
      </c>
      <c r="I1401" s="71" t="s">
        <v>691</v>
      </c>
      <c r="J1401" s="79"/>
      <c r="K1401" s="55">
        <f t="shared" si="158"/>
        <v>2022</v>
      </c>
      <c r="L1401" s="80"/>
      <c r="M1401" s="80"/>
      <c r="N1401" s="73" t="s">
        <v>4603</v>
      </c>
      <c r="O1401" s="73" t="s">
        <v>4616</v>
      </c>
      <c r="P1401" s="74"/>
      <c r="Q1401" s="75" t="s">
        <v>4617</v>
      </c>
      <c r="R1401" s="230">
        <v>423</v>
      </c>
      <c r="S1401" s="230">
        <v>25584</v>
      </c>
      <c r="T1401" s="230">
        <v>26007</v>
      </c>
      <c r="U1401" s="231">
        <v>117</v>
      </c>
      <c r="V1401" s="230"/>
      <c r="W1401" s="230"/>
      <c r="X1401" s="231"/>
      <c r="Y1401" s="85"/>
      <c r="Z1401" s="101">
        <v>0.1</v>
      </c>
      <c r="AA1401" s="102">
        <v>0.09</v>
      </c>
      <c r="AB1401" s="77"/>
      <c r="AC1401" s="78"/>
    </row>
    <row r="1402" spans="1:29" ht="105" customHeight="1" x14ac:dyDescent="0.2">
      <c r="A1402" s="117" t="s">
        <v>4618</v>
      </c>
      <c r="B1402" s="118" t="e">
        <f t="shared" si="156"/>
        <v>#VALUE!</v>
      </c>
      <c r="C1402" s="118" t="s">
        <v>612</v>
      </c>
      <c r="D1402" s="113">
        <v>40884</v>
      </c>
      <c r="E1402" s="103">
        <v>40940</v>
      </c>
      <c r="F1402" s="84">
        <f t="shared" si="157"/>
        <v>44593</v>
      </c>
      <c r="G1402" s="229">
        <v>419.72</v>
      </c>
      <c r="H1402" s="71" t="s">
        <v>4397</v>
      </c>
      <c r="I1402" s="71" t="s">
        <v>691</v>
      </c>
      <c r="J1402" s="79"/>
      <c r="K1402" s="55">
        <f t="shared" si="158"/>
        <v>2022</v>
      </c>
      <c r="L1402" s="80"/>
      <c r="M1402" s="80"/>
      <c r="N1402" s="73" t="s">
        <v>4603</v>
      </c>
      <c r="O1402" s="73" t="s">
        <v>4619</v>
      </c>
      <c r="P1402" s="74"/>
      <c r="Q1402" s="75" t="s">
        <v>4620</v>
      </c>
      <c r="R1402" s="230">
        <v>1620</v>
      </c>
      <c r="S1402" s="230">
        <v>3360</v>
      </c>
      <c r="T1402" s="230">
        <v>4980</v>
      </c>
      <c r="U1402" s="231">
        <v>630</v>
      </c>
      <c r="V1402" s="230"/>
      <c r="W1402" s="230"/>
      <c r="X1402" s="231"/>
      <c r="Y1402" s="85"/>
      <c r="Z1402" s="101">
        <v>0.1</v>
      </c>
      <c r="AA1402" s="102">
        <v>0.09</v>
      </c>
      <c r="AB1402" s="77"/>
      <c r="AC1402" s="78"/>
    </row>
    <row r="1403" spans="1:29" ht="27" customHeight="1" x14ac:dyDescent="0.2">
      <c r="A1403" s="117" t="s">
        <v>4621</v>
      </c>
      <c r="B1403" s="118" t="e">
        <f t="shared" si="156"/>
        <v>#VALUE!</v>
      </c>
      <c r="C1403" s="118" t="s">
        <v>612</v>
      </c>
      <c r="D1403" s="113">
        <v>40884</v>
      </c>
      <c r="E1403" s="103">
        <v>40940</v>
      </c>
      <c r="F1403" s="84">
        <f t="shared" si="157"/>
        <v>44593</v>
      </c>
      <c r="G1403" s="229">
        <v>455.1</v>
      </c>
      <c r="H1403" s="71" t="s">
        <v>4397</v>
      </c>
      <c r="I1403" s="71" t="s">
        <v>691</v>
      </c>
      <c r="J1403" s="79"/>
      <c r="K1403" s="55">
        <f t="shared" si="158"/>
        <v>2022</v>
      </c>
      <c r="L1403" s="80"/>
      <c r="M1403" s="80"/>
      <c r="N1403" s="73" t="s">
        <v>4603</v>
      </c>
      <c r="O1403" s="73" t="s">
        <v>4622</v>
      </c>
      <c r="P1403" s="74"/>
      <c r="Q1403" s="75" t="s">
        <v>4623</v>
      </c>
      <c r="R1403" s="230">
        <v>1816</v>
      </c>
      <c r="S1403" s="230">
        <v>3808</v>
      </c>
      <c r="T1403" s="230">
        <v>5624</v>
      </c>
      <c r="U1403" s="231">
        <v>684</v>
      </c>
      <c r="V1403" s="230"/>
      <c r="W1403" s="230"/>
      <c r="X1403" s="231"/>
      <c r="Y1403" s="85"/>
      <c r="Z1403" s="101">
        <v>0.1</v>
      </c>
      <c r="AA1403" s="102">
        <v>0.09</v>
      </c>
      <c r="AB1403" s="77"/>
      <c r="AC1403" s="78"/>
    </row>
    <row r="1404" spans="1:29" x14ac:dyDescent="0.2">
      <c r="A1404" s="117" t="s">
        <v>4624</v>
      </c>
      <c r="B1404" s="118" t="e">
        <f t="shared" si="156"/>
        <v>#VALUE!</v>
      </c>
      <c r="C1404" s="118" t="s">
        <v>612</v>
      </c>
      <c r="D1404" s="113">
        <v>40884</v>
      </c>
      <c r="E1404" s="103">
        <v>40940</v>
      </c>
      <c r="F1404" s="84">
        <f t="shared" si="157"/>
        <v>44593</v>
      </c>
      <c r="G1404" s="229">
        <v>668.61</v>
      </c>
      <c r="H1404" s="71" t="s">
        <v>4397</v>
      </c>
      <c r="I1404" s="71" t="s">
        <v>691</v>
      </c>
      <c r="J1404" s="79"/>
      <c r="K1404" s="55">
        <f t="shared" si="158"/>
        <v>2022</v>
      </c>
      <c r="L1404" s="80"/>
      <c r="M1404" s="80"/>
      <c r="N1404" s="73" t="s">
        <v>4603</v>
      </c>
      <c r="O1404" s="73" t="s">
        <v>4625</v>
      </c>
      <c r="P1404" s="74"/>
      <c r="Q1404" s="75" t="s">
        <v>4626</v>
      </c>
      <c r="R1404" s="230">
        <v>2491.5</v>
      </c>
      <c r="S1404" s="230">
        <v>4683</v>
      </c>
      <c r="T1404" s="230">
        <v>7174.5</v>
      </c>
      <c r="U1404" s="231">
        <v>1003.5</v>
      </c>
      <c r="V1404" s="230"/>
      <c r="W1404" s="230"/>
      <c r="X1404" s="231"/>
      <c r="Y1404" s="85"/>
      <c r="Z1404" s="101">
        <v>0.1</v>
      </c>
      <c r="AA1404" s="102">
        <v>0.09</v>
      </c>
      <c r="AB1404" s="77"/>
      <c r="AC1404" s="78"/>
    </row>
    <row r="1405" spans="1:29" x14ac:dyDescent="0.2">
      <c r="A1405" s="117" t="s">
        <v>4627</v>
      </c>
      <c r="B1405" s="118" t="e">
        <f t="shared" si="156"/>
        <v>#VALUE!</v>
      </c>
      <c r="C1405" s="118" t="s">
        <v>612</v>
      </c>
      <c r="D1405" s="113">
        <v>40884</v>
      </c>
      <c r="E1405" s="84">
        <v>40909</v>
      </c>
      <c r="F1405" s="84">
        <f t="shared" si="157"/>
        <v>44562</v>
      </c>
      <c r="G1405" s="229">
        <v>678.43</v>
      </c>
      <c r="H1405" s="71" t="s">
        <v>4397</v>
      </c>
      <c r="I1405" s="71" t="s">
        <v>691</v>
      </c>
      <c r="J1405" s="79"/>
      <c r="K1405" s="55">
        <f t="shared" si="158"/>
        <v>2022</v>
      </c>
      <c r="L1405" s="80"/>
      <c r="M1405" s="80"/>
      <c r="N1405" s="73" t="s">
        <v>4603</v>
      </c>
      <c r="O1405" s="73" t="s">
        <v>4628</v>
      </c>
      <c r="P1405" s="74"/>
      <c r="Q1405" s="75" t="s">
        <v>4629</v>
      </c>
      <c r="R1405" s="230">
        <v>2526.5</v>
      </c>
      <c r="S1405" s="230">
        <v>4074</v>
      </c>
      <c r="T1405" s="230">
        <v>6600.5</v>
      </c>
      <c r="U1405" s="231">
        <v>1018.5</v>
      </c>
      <c r="V1405" s="230"/>
      <c r="W1405" s="230"/>
      <c r="X1405" s="231"/>
      <c r="Y1405" s="85"/>
      <c r="Z1405" s="101">
        <v>0.1</v>
      </c>
      <c r="AA1405" s="102">
        <v>0.09</v>
      </c>
      <c r="AB1405" s="77"/>
      <c r="AC1405" s="78"/>
    </row>
    <row r="1406" spans="1:29" x14ac:dyDescent="0.2">
      <c r="A1406" s="117" t="s">
        <v>4630</v>
      </c>
      <c r="B1406" s="118" t="e">
        <f t="shared" si="156"/>
        <v>#VALUE!</v>
      </c>
      <c r="C1406" s="118" t="s">
        <v>612</v>
      </c>
      <c r="D1406" s="113">
        <v>40884</v>
      </c>
      <c r="E1406" s="84">
        <v>40909</v>
      </c>
      <c r="F1406" s="84">
        <f t="shared" si="157"/>
        <v>44562</v>
      </c>
      <c r="G1406" s="229">
        <v>88.87</v>
      </c>
      <c r="H1406" s="71" t="s">
        <v>4397</v>
      </c>
      <c r="I1406" s="71" t="s">
        <v>691</v>
      </c>
      <c r="J1406" s="79"/>
      <c r="K1406" s="55">
        <f t="shared" si="158"/>
        <v>2022</v>
      </c>
      <c r="L1406" s="80"/>
      <c r="M1406" s="80"/>
      <c r="N1406" s="73" t="s">
        <v>4603</v>
      </c>
      <c r="O1406" s="73" t="s">
        <v>4631</v>
      </c>
      <c r="P1406" s="74"/>
      <c r="Q1406" s="75" t="s">
        <v>4632</v>
      </c>
      <c r="R1406" s="230">
        <v>461.5</v>
      </c>
      <c r="S1406" s="230">
        <v>2047</v>
      </c>
      <c r="T1406" s="230">
        <v>2508.5</v>
      </c>
      <c r="U1406" s="231">
        <v>133.5</v>
      </c>
      <c r="V1406" s="230"/>
      <c r="W1406" s="230"/>
      <c r="X1406" s="231"/>
      <c r="Y1406" s="85"/>
      <c r="Z1406" s="101">
        <v>0.1</v>
      </c>
      <c r="AA1406" s="102">
        <v>0.09</v>
      </c>
      <c r="AB1406" s="77"/>
      <c r="AC1406" s="78"/>
    </row>
    <row r="1407" spans="1:29" x14ac:dyDescent="0.2">
      <c r="A1407" s="117" t="s">
        <v>4633</v>
      </c>
      <c r="B1407" s="118" t="e">
        <f t="shared" si="156"/>
        <v>#VALUE!</v>
      </c>
      <c r="C1407" s="118" t="s">
        <v>612</v>
      </c>
      <c r="D1407" s="113">
        <v>40884</v>
      </c>
      <c r="E1407" s="84">
        <v>40909</v>
      </c>
      <c r="F1407" s="84">
        <f t="shared" si="157"/>
        <v>44562</v>
      </c>
      <c r="G1407" s="229">
        <v>637.54</v>
      </c>
      <c r="H1407" s="71" t="s">
        <v>4397</v>
      </c>
      <c r="I1407" s="71" t="s">
        <v>691</v>
      </c>
      <c r="J1407" s="79"/>
      <c r="K1407" s="55">
        <f t="shared" si="158"/>
        <v>2022</v>
      </c>
      <c r="L1407" s="80"/>
      <c r="M1407" s="80"/>
      <c r="N1407" s="73" t="s">
        <v>4603</v>
      </c>
      <c r="O1407" s="73" t="s">
        <v>4634</v>
      </c>
      <c r="P1407" s="74"/>
      <c r="Q1407" s="75" t="s">
        <v>4635</v>
      </c>
      <c r="R1407" s="230">
        <v>2383</v>
      </c>
      <c r="S1407" s="230">
        <v>6380</v>
      </c>
      <c r="T1407" s="230">
        <v>8763</v>
      </c>
      <c r="U1407" s="231">
        <v>957</v>
      </c>
      <c r="V1407" s="230"/>
      <c r="W1407" s="230"/>
      <c r="X1407" s="231"/>
      <c r="Y1407" s="85"/>
      <c r="Z1407" s="101">
        <v>0.1</v>
      </c>
      <c r="AA1407" s="102">
        <v>0.09</v>
      </c>
      <c r="AB1407" s="77"/>
      <c r="AC1407" s="78"/>
    </row>
    <row r="1408" spans="1:29" ht="27" customHeight="1" x14ac:dyDescent="0.2">
      <c r="A1408" s="117" t="s">
        <v>4636</v>
      </c>
      <c r="B1408" s="118" t="e">
        <f t="shared" si="156"/>
        <v>#VALUE!</v>
      </c>
      <c r="C1408" s="118" t="s">
        <v>612</v>
      </c>
      <c r="D1408" s="113">
        <v>40884</v>
      </c>
      <c r="E1408" s="84">
        <v>40909</v>
      </c>
      <c r="F1408" s="84">
        <f t="shared" si="157"/>
        <v>44562</v>
      </c>
      <c r="G1408" s="229">
        <v>505.59</v>
      </c>
      <c r="H1408" s="71" t="s">
        <v>4397</v>
      </c>
      <c r="I1408" s="71" t="s">
        <v>691</v>
      </c>
      <c r="J1408" s="79"/>
      <c r="K1408" s="55">
        <f t="shared" si="158"/>
        <v>2022</v>
      </c>
      <c r="L1408" s="80"/>
      <c r="M1408" s="80"/>
      <c r="N1408" s="73" t="s">
        <v>4603</v>
      </c>
      <c r="O1408" s="73" t="s">
        <v>4637</v>
      </c>
      <c r="P1408" s="74"/>
      <c r="Q1408" s="75" t="s">
        <v>4638</v>
      </c>
      <c r="R1408" s="230">
        <v>1921</v>
      </c>
      <c r="S1408" s="230">
        <v>5060</v>
      </c>
      <c r="T1408" s="230">
        <v>6981</v>
      </c>
      <c r="U1408" s="231">
        <v>759</v>
      </c>
      <c r="V1408" s="230"/>
      <c r="W1408" s="230"/>
      <c r="X1408" s="231"/>
      <c r="Y1408" s="85"/>
      <c r="Z1408" s="101">
        <v>0.1</v>
      </c>
      <c r="AA1408" s="102">
        <v>0.09</v>
      </c>
      <c r="AB1408" s="77"/>
      <c r="AC1408" s="78"/>
    </row>
    <row r="1409" spans="1:29" ht="27" customHeight="1" x14ac:dyDescent="0.2">
      <c r="A1409" s="117" t="s">
        <v>4639</v>
      </c>
      <c r="B1409" s="118" t="e">
        <f t="shared" si="156"/>
        <v>#VALUE!</v>
      </c>
      <c r="C1409" s="118" t="s">
        <v>612</v>
      </c>
      <c r="D1409" s="113">
        <v>40884</v>
      </c>
      <c r="E1409" s="84">
        <v>40909</v>
      </c>
      <c r="F1409" s="84">
        <f t="shared" si="157"/>
        <v>44562</v>
      </c>
      <c r="G1409" s="229">
        <v>303.62</v>
      </c>
      <c r="H1409" s="71" t="s">
        <v>4397</v>
      </c>
      <c r="I1409" s="71" t="s">
        <v>691</v>
      </c>
      <c r="J1409" s="79"/>
      <c r="K1409" s="55">
        <f t="shared" si="158"/>
        <v>2022</v>
      </c>
      <c r="L1409" s="80"/>
      <c r="M1409" s="80"/>
      <c r="N1409" s="73" t="s">
        <v>4603</v>
      </c>
      <c r="O1409" s="73" t="s">
        <v>4640</v>
      </c>
      <c r="P1409" s="74"/>
      <c r="Q1409" s="75" t="s">
        <v>4641</v>
      </c>
      <c r="R1409" s="230">
        <v>1214</v>
      </c>
      <c r="S1409" s="230">
        <v>1824</v>
      </c>
      <c r="T1409" s="230">
        <v>3038</v>
      </c>
      <c r="U1409" s="231">
        <v>456</v>
      </c>
      <c r="V1409" s="230"/>
      <c r="W1409" s="230"/>
      <c r="X1409" s="231"/>
      <c r="Y1409" s="85"/>
      <c r="Z1409" s="101">
        <v>0.1</v>
      </c>
      <c r="AA1409" s="102">
        <v>0.09</v>
      </c>
      <c r="AB1409" s="77"/>
      <c r="AC1409" s="78"/>
    </row>
    <row r="1410" spans="1:29" x14ac:dyDescent="0.2">
      <c r="A1410" s="117" t="s">
        <v>4642</v>
      </c>
      <c r="B1410" s="118" t="e">
        <f t="shared" si="156"/>
        <v>#VALUE!</v>
      </c>
      <c r="C1410" s="118" t="s">
        <v>612</v>
      </c>
      <c r="D1410" s="113">
        <v>40884</v>
      </c>
      <c r="E1410" s="84">
        <v>40909</v>
      </c>
      <c r="F1410" s="84">
        <f t="shared" si="157"/>
        <v>44562</v>
      </c>
      <c r="G1410" s="229">
        <v>589.4</v>
      </c>
      <c r="H1410" s="71" t="s">
        <v>4397</v>
      </c>
      <c r="I1410" s="71" t="s">
        <v>691</v>
      </c>
      <c r="J1410" s="79"/>
      <c r="K1410" s="55">
        <f t="shared" si="158"/>
        <v>2022</v>
      </c>
      <c r="L1410" s="80"/>
      <c r="M1410" s="80"/>
      <c r="N1410" s="73" t="s">
        <v>4603</v>
      </c>
      <c r="O1410" s="73" t="s">
        <v>4643</v>
      </c>
      <c r="P1410" s="74"/>
      <c r="Q1410" s="75" t="s">
        <v>4644</v>
      </c>
      <c r="R1410" s="230">
        <v>2215</v>
      </c>
      <c r="S1410" s="230">
        <v>3540</v>
      </c>
      <c r="T1410" s="230">
        <v>5755</v>
      </c>
      <c r="U1410" s="231">
        <v>885</v>
      </c>
      <c r="V1410" s="230"/>
      <c r="W1410" s="230"/>
      <c r="X1410" s="231"/>
      <c r="Y1410" s="85"/>
      <c r="Z1410" s="101">
        <v>0.1</v>
      </c>
      <c r="AA1410" s="102">
        <v>0.09</v>
      </c>
      <c r="AB1410" s="77"/>
      <c r="AC1410" s="78"/>
    </row>
    <row r="1411" spans="1:29" x14ac:dyDescent="0.2">
      <c r="A1411" s="117" t="s">
        <v>4645</v>
      </c>
      <c r="B1411" s="118" t="e">
        <f t="shared" si="156"/>
        <v>#VALUE!</v>
      </c>
      <c r="C1411" s="118" t="s">
        <v>612</v>
      </c>
      <c r="D1411" s="113">
        <v>40884</v>
      </c>
      <c r="E1411" s="84">
        <v>40909</v>
      </c>
      <c r="F1411" s="84">
        <f t="shared" si="157"/>
        <v>44562</v>
      </c>
      <c r="G1411" s="229">
        <v>720.66</v>
      </c>
      <c r="H1411" s="71" t="s">
        <v>4397</v>
      </c>
      <c r="I1411" s="71" t="s">
        <v>691</v>
      </c>
      <c r="J1411" s="79"/>
      <c r="K1411" s="55">
        <f t="shared" si="158"/>
        <v>2022</v>
      </c>
      <c r="L1411" s="80"/>
      <c r="M1411" s="80"/>
      <c r="N1411" s="73" t="s">
        <v>4603</v>
      </c>
      <c r="O1411" s="73" t="s">
        <v>4646</v>
      </c>
      <c r="P1411" s="74"/>
      <c r="Q1411" s="75" t="s">
        <v>4647</v>
      </c>
      <c r="R1411" s="230">
        <v>2673.5</v>
      </c>
      <c r="S1411" s="230">
        <v>4326</v>
      </c>
      <c r="T1411" s="230">
        <v>6999.5</v>
      </c>
      <c r="U1411" s="231">
        <v>1081.5</v>
      </c>
      <c r="V1411" s="230"/>
      <c r="W1411" s="230"/>
      <c r="X1411" s="231"/>
      <c r="Y1411" s="85"/>
      <c r="Z1411" s="101">
        <v>0.1</v>
      </c>
      <c r="AA1411" s="102">
        <v>0.09</v>
      </c>
      <c r="AB1411" s="77"/>
      <c r="AC1411" s="78"/>
    </row>
    <row r="1412" spans="1:29" x14ac:dyDescent="0.2">
      <c r="A1412" s="117" t="s">
        <v>4648</v>
      </c>
      <c r="B1412" s="118" t="e">
        <f t="shared" si="156"/>
        <v>#VALUE!</v>
      </c>
      <c r="C1412" s="118" t="s">
        <v>612</v>
      </c>
      <c r="D1412" s="113">
        <v>40884</v>
      </c>
      <c r="E1412" s="84">
        <v>40909</v>
      </c>
      <c r="F1412" s="84">
        <f t="shared" si="157"/>
        <v>44562</v>
      </c>
      <c r="G1412" s="229">
        <v>84.96</v>
      </c>
      <c r="H1412" s="71" t="s">
        <v>4397</v>
      </c>
      <c r="I1412" s="71" t="s">
        <v>691</v>
      </c>
      <c r="J1412" s="79"/>
      <c r="K1412" s="55">
        <f t="shared" si="158"/>
        <v>2022</v>
      </c>
      <c r="L1412" s="80"/>
      <c r="M1412" s="80"/>
      <c r="N1412" s="73" t="s">
        <v>4603</v>
      </c>
      <c r="O1412" s="73" t="s">
        <v>4649</v>
      </c>
      <c r="P1412" s="74"/>
      <c r="Q1412" s="75" t="s">
        <v>4650</v>
      </c>
      <c r="R1412" s="230">
        <v>447.5</v>
      </c>
      <c r="S1412" s="230">
        <v>2805</v>
      </c>
      <c r="T1412" s="230">
        <v>3252.5</v>
      </c>
      <c r="U1412" s="231">
        <v>127.5</v>
      </c>
      <c r="V1412" s="230"/>
      <c r="W1412" s="230"/>
      <c r="X1412" s="231"/>
      <c r="Y1412" s="85"/>
      <c r="Z1412" s="101">
        <v>0.1</v>
      </c>
      <c r="AA1412" s="102">
        <v>0.09</v>
      </c>
      <c r="AB1412" s="77"/>
      <c r="AC1412" s="78"/>
    </row>
    <row r="1413" spans="1:29" x14ac:dyDescent="0.2">
      <c r="A1413" s="117" t="s">
        <v>4651</v>
      </c>
      <c r="B1413" s="118" t="e">
        <f t="shared" si="156"/>
        <v>#VALUE!</v>
      </c>
      <c r="C1413" s="118" t="s">
        <v>612</v>
      </c>
      <c r="D1413" s="113">
        <v>40884</v>
      </c>
      <c r="E1413" s="84">
        <v>40909</v>
      </c>
      <c r="F1413" s="84">
        <f t="shared" si="157"/>
        <v>44562</v>
      </c>
      <c r="G1413" s="229">
        <v>647.30999999999995</v>
      </c>
      <c r="H1413" s="71" t="s">
        <v>4397</v>
      </c>
      <c r="I1413" s="71" t="s">
        <v>691</v>
      </c>
      <c r="J1413" s="79"/>
      <c r="K1413" s="55">
        <f t="shared" si="158"/>
        <v>2022</v>
      </c>
      <c r="L1413" s="80"/>
      <c r="M1413" s="80"/>
      <c r="N1413" s="73" t="s">
        <v>4603</v>
      </c>
      <c r="O1413" s="73" t="s">
        <v>4652</v>
      </c>
      <c r="P1413" s="74"/>
      <c r="Q1413" s="75" t="s">
        <v>4653</v>
      </c>
      <c r="R1413" s="230">
        <v>2418</v>
      </c>
      <c r="S1413" s="230">
        <v>3888</v>
      </c>
      <c r="T1413" s="230">
        <v>6306</v>
      </c>
      <c r="U1413" s="231">
        <v>972</v>
      </c>
      <c r="V1413" s="230"/>
      <c r="W1413" s="230"/>
      <c r="X1413" s="231"/>
      <c r="Y1413" s="85"/>
      <c r="Z1413" s="101">
        <v>0.1</v>
      </c>
      <c r="AA1413" s="102">
        <v>0.09</v>
      </c>
      <c r="AB1413" s="77"/>
      <c r="AC1413" s="78"/>
    </row>
    <row r="1414" spans="1:29" ht="27" customHeight="1" x14ac:dyDescent="0.2">
      <c r="A1414" s="117" t="s">
        <v>4654</v>
      </c>
      <c r="B1414" s="118" t="e">
        <f t="shared" si="156"/>
        <v>#VALUE!</v>
      </c>
      <c r="C1414" s="118" t="s">
        <v>612</v>
      </c>
      <c r="D1414" s="113">
        <v>40884</v>
      </c>
      <c r="E1414" s="84">
        <v>40909</v>
      </c>
      <c r="F1414" s="84">
        <f t="shared" si="157"/>
        <v>44562</v>
      </c>
      <c r="G1414" s="229">
        <v>103.54</v>
      </c>
      <c r="H1414" s="71" t="s">
        <v>4397</v>
      </c>
      <c r="I1414" s="71" t="s">
        <v>691</v>
      </c>
      <c r="J1414" s="72" t="s">
        <v>4655</v>
      </c>
      <c r="K1414" s="55">
        <f t="shared" si="158"/>
        <v>2022</v>
      </c>
      <c r="L1414" s="81"/>
      <c r="M1414" s="81"/>
      <c r="N1414" s="73" t="s">
        <v>4603</v>
      </c>
      <c r="O1414" s="73" t="s">
        <v>4656</v>
      </c>
      <c r="P1414" s="74"/>
      <c r="Q1414" s="75" t="s">
        <v>4657</v>
      </c>
      <c r="R1414" s="230">
        <v>514</v>
      </c>
      <c r="S1414" s="230">
        <v>3432</v>
      </c>
      <c r="T1414" s="230">
        <v>3946</v>
      </c>
      <c r="U1414" s="231">
        <v>156</v>
      </c>
      <c r="V1414" s="230"/>
      <c r="W1414" s="230"/>
      <c r="X1414" s="231"/>
      <c r="Y1414" s="85"/>
      <c r="Z1414" s="101">
        <v>0.1</v>
      </c>
      <c r="AA1414" s="102">
        <v>0.09</v>
      </c>
      <c r="AB1414" s="77"/>
      <c r="AC1414" s="78"/>
    </row>
    <row r="1415" spans="1:29" ht="27" customHeight="1" x14ac:dyDescent="0.2">
      <c r="A1415" s="117" t="s">
        <v>4658</v>
      </c>
      <c r="B1415" s="118" t="e">
        <f t="shared" si="156"/>
        <v>#VALUE!</v>
      </c>
      <c r="C1415" s="118" t="s">
        <v>612</v>
      </c>
      <c r="D1415" s="113">
        <v>40884</v>
      </c>
      <c r="E1415" s="84">
        <v>40909</v>
      </c>
      <c r="F1415" s="84">
        <f t="shared" si="157"/>
        <v>44562</v>
      </c>
      <c r="G1415" s="229">
        <v>209.04</v>
      </c>
      <c r="H1415" s="71" t="s">
        <v>4397</v>
      </c>
      <c r="I1415" s="71" t="s">
        <v>691</v>
      </c>
      <c r="J1415" s="79"/>
      <c r="K1415" s="55">
        <f t="shared" si="158"/>
        <v>2022</v>
      </c>
      <c r="L1415" s="80"/>
      <c r="M1415" s="80"/>
      <c r="N1415" s="73" t="s">
        <v>4603</v>
      </c>
      <c r="O1415" s="73" t="s">
        <v>4659</v>
      </c>
      <c r="P1415" s="74"/>
      <c r="Q1415" s="75" t="s">
        <v>4660</v>
      </c>
      <c r="R1415" s="230">
        <v>885</v>
      </c>
      <c r="S1415" s="230">
        <v>1260</v>
      </c>
      <c r="T1415" s="230">
        <v>2145</v>
      </c>
      <c r="U1415" s="231">
        <v>315</v>
      </c>
      <c r="V1415" s="230"/>
      <c r="W1415" s="230"/>
      <c r="X1415" s="231"/>
      <c r="Y1415" s="85"/>
      <c r="Z1415" s="101">
        <v>0.1</v>
      </c>
      <c r="AA1415" s="102">
        <v>0.09</v>
      </c>
      <c r="AB1415" s="77"/>
      <c r="AC1415" s="78"/>
    </row>
    <row r="1416" spans="1:29" x14ac:dyDescent="0.2">
      <c r="A1416" s="117" t="s">
        <v>4661</v>
      </c>
      <c r="B1416" s="118" t="e">
        <f t="shared" si="156"/>
        <v>#VALUE!</v>
      </c>
      <c r="C1416" s="118" t="s">
        <v>612</v>
      </c>
      <c r="D1416" s="113">
        <v>40884</v>
      </c>
      <c r="E1416" s="84">
        <v>40909</v>
      </c>
      <c r="F1416" s="84">
        <f t="shared" si="157"/>
        <v>44562</v>
      </c>
      <c r="G1416" s="229">
        <v>242.63</v>
      </c>
      <c r="H1416" s="71" t="s">
        <v>4397</v>
      </c>
      <c r="I1416" s="71" t="s">
        <v>691</v>
      </c>
      <c r="J1416" s="79"/>
      <c r="K1416" s="55">
        <f t="shared" si="158"/>
        <v>2022</v>
      </c>
      <c r="L1416" s="80"/>
      <c r="M1416" s="80"/>
      <c r="N1416" s="73" t="s">
        <v>4603</v>
      </c>
      <c r="O1416" s="73" t="s">
        <v>4662</v>
      </c>
      <c r="P1416" s="74"/>
      <c r="Q1416" s="75" t="s">
        <v>4663</v>
      </c>
      <c r="R1416" s="230">
        <v>1000.5</v>
      </c>
      <c r="S1416" s="230">
        <v>1458</v>
      </c>
      <c r="T1416" s="230">
        <v>2458.5</v>
      </c>
      <c r="U1416" s="231">
        <v>364.5</v>
      </c>
      <c r="V1416" s="230"/>
      <c r="W1416" s="230"/>
      <c r="X1416" s="231"/>
      <c r="Y1416" s="85"/>
      <c r="Z1416" s="101">
        <v>0.1</v>
      </c>
      <c r="AA1416" s="102">
        <v>0.09</v>
      </c>
      <c r="AB1416" s="77"/>
      <c r="AC1416" s="78"/>
    </row>
    <row r="1417" spans="1:29" x14ac:dyDescent="0.2">
      <c r="A1417" s="117" t="s">
        <v>4664</v>
      </c>
      <c r="B1417" s="118" t="e">
        <f t="shared" si="156"/>
        <v>#VALUE!</v>
      </c>
      <c r="C1417" s="118" t="s">
        <v>612</v>
      </c>
      <c r="D1417" s="113">
        <v>40884</v>
      </c>
      <c r="E1417" s="84">
        <v>40909</v>
      </c>
      <c r="F1417" s="84">
        <f t="shared" si="157"/>
        <v>44562</v>
      </c>
      <c r="G1417" s="229">
        <v>213.67</v>
      </c>
      <c r="H1417" s="71" t="s">
        <v>4397</v>
      </c>
      <c r="I1417" s="71" t="s">
        <v>691</v>
      </c>
      <c r="J1417" s="79"/>
      <c r="K1417" s="55">
        <f t="shared" si="158"/>
        <v>2022</v>
      </c>
      <c r="L1417" s="80"/>
      <c r="M1417" s="80"/>
      <c r="N1417" s="73" t="s">
        <v>4603</v>
      </c>
      <c r="O1417" s="73" t="s">
        <v>4665</v>
      </c>
      <c r="P1417" s="74"/>
      <c r="Q1417" s="75" t="s">
        <v>4666</v>
      </c>
      <c r="R1417" s="230">
        <v>899</v>
      </c>
      <c r="S1417" s="230">
        <v>1284</v>
      </c>
      <c r="T1417" s="230">
        <v>2183</v>
      </c>
      <c r="U1417" s="231">
        <v>321</v>
      </c>
      <c r="V1417" s="230"/>
      <c r="W1417" s="230"/>
      <c r="X1417" s="231"/>
      <c r="Y1417" s="85"/>
      <c r="Z1417" s="101">
        <v>0.1</v>
      </c>
      <c r="AA1417" s="102">
        <v>0.09</v>
      </c>
      <c r="AB1417" s="77"/>
      <c r="AC1417" s="78"/>
    </row>
    <row r="1418" spans="1:29" x14ac:dyDescent="0.2">
      <c r="A1418" s="117" t="s">
        <v>4667</v>
      </c>
      <c r="B1418" s="118" t="e">
        <f t="shared" si="156"/>
        <v>#VALUE!</v>
      </c>
      <c r="C1418" s="118" t="s">
        <v>612</v>
      </c>
      <c r="D1418" s="113">
        <v>40884</v>
      </c>
      <c r="E1418" s="103">
        <v>40940</v>
      </c>
      <c r="F1418" s="84">
        <f t="shared" si="157"/>
        <v>44593</v>
      </c>
      <c r="G1418" s="229">
        <v>44.21</v>
      </c>
      <c r="H1418" s="71" t="s">
        <v>4397</v>
      </c>
      <c r="I1418" s="71" t="s">
        <v>691</v>
      </c>
      <c r="J1418" s="79"/>
      <c r="K1418" s="55">
        <f t="shared" si="158"/>
        <v>2022</v>
      </c>
      <c r="L1418" s="80"/>
      <c r="M1418" s="80"/>
      <c r="N1418" s="73" t="s">
        <v>4668</v>
      </c>
      <c r="O1418" s="73" t="s">
        <v>4669</v>
      </c>
      <c r="P1418" s="74"/>
      <c r="Q1418" s="75" t="s">
        <v>4670</v>
      </c>
      <c r="R1418" s="230">
        <v>307.5</v>
      </c>
      <c r="S1418" s="230">
        <v>2385</v>
      </c>
      <c r="T1418" s="230">
        <v>2692.5</v>
      </c>
      <c r="U1418" s="231">
        <v>67.5</v>
      </c>
      <c r="V1418" s="230"/>
      <c r="W1418" s="230"/>
      <c r="X1418" s="231"/>
      <c r="Y1418" s="85"/>
      <c r="Z1418" s="101">
        <v>0.1</v>
      </c>
      <c r="AA1418" s="102">
        <v>0.09</v>
      </c>
      <c r="AB1418" s="77"/>
      <c r="AC1418" s="78"/>
    </row>
    <row r="1419" spans="1:29" x14ac:dyDescent="0.2">
      <c r="A1419" s="117" t="s">
        <v>4671</v>
      </c>
      <c r="B1419" s="118" t="e">
        <f t="shared" si="156"/>
        <v>#VALUE!</v>
      </c>
      <c r="C1419" s="118" t="s">
        <v>612</v>
      </c>
      <c r="D1419" s="113">
        <v>40884</v>
      </c>
      <c r="E1419" s="103">
        <v>40940</v>
      </c>
      <c r="F1419" s="84">
        <f t="shared" si="157"/>
        <v>44593</v>
      </c>
      <c r="G1419" s="229">
        <v>40.049999999999997</v>
      </c>
      <c r="H1419" s="71" t="s">
        <v>1323</v>
      </c>
      <c r="I1419" s="71" t="s">
        <v>691</v>
      </c>
      <c r="J1419" s="79"/>
      <c r="K1419" s="55">
        <f t="shared" si="158"/>
        <v>2022</v>
      </c>
      <c r="L1419" s="80"/>
      <c r="M1419" s="80"/>
      <c r="N1419" s="73" t="s">
        <v>4672</v>
      </c>
      <c r="O1419" s="73" t="s">
        <v>4673</v>
      </c>
      <c r="P1419" s="74"/>
      <c r="Q1419" s="75" t="s">
        <v>4674</v>
      </c>
      <c r="R1419" s="230">
        <v>293.5</v>
      </c>
      <c r="S1419" s="230">
        <v>2378</v>
      </c>
      <c r="T1419" s="230">
        <v>2671.5</v>
      </c>
      <c r="U1419" s="231">
        <v>61.5</v>
      </c>
      <c r="V1419" s="230"/>
      <c r="W1419" s="230"/>
      <c r="X1419" s="231"/>
      <c r="Y1419" s="85"/>
      <c r="Z1419" s="101">
        <v>0.1</v>
      </c>
      <c r="AA1419" s="102">
        <v>0.09</v>
      </c>
      <c r="AB1419" s="77"/>
      <c r="AC1419" s="78"/>
    </row>
    <row r="1420" spans="1:29" ht="40" customHeight="1" x14ac:dyDescent="0.2">
      <c r="A1420" s="117" t="s">
        <v>4675</v>
      </c>
      <c r="B1420" s="118" t="e">
        <f t="shared" si="156"/>
        <v>#VALUE!</v>
      </c>
      <c r="C1420" s="118" t="s">
        <v>612</v>
      </c>
      <c r="D1420" s="113">
        <v>40884</v>
      </c>
      <c r="E1420" s="84">
        <v>40909</v>
      </c>
      <c r="F1420" s="84">
        <f t="shared" si="157"/>
        <v>44562</v>
      </c>
      <c r="G1420" s="229">
        <v>168.5</v>
      </c>
      <c r="H1420" s="71" t="s">
        <v>865</v>
      </c>
      <c r="I1420" s="71" t="s">
        <v>691</v>
      </c>
      <c r="J1420" s="79"/>
      <c r="K1420" s="55">
        <f t="shared" si="158"/>
        <v>2022</v>
      </c>
      <c r="L1420" s="80"/>
      <c r="M1420" s="80"/>
      <c r="N1420" s="73" t="s">
        <v>4676</v>
      </c>
      <c r="O1420" s="73" t="s">
        <v>4677</v>
      </c>
      <c r="P1420" s="74"/>
      <c r="Q1420" s="75" t="s">
        <v>4678</v>
      </c>
      <c r="R1420" s="230">
        <v>741.5</v>
      </c>
      <c r="S1420" s="230">
        <v>0</v>
      </c>
      <c r="T1420" s="230">
        <v>741.5</v>
      </c>
      <c r="U1420" s="231">
        <v>253.5</v>
      </c>
      <c r="V1420" s="230"/>
      <c r="W1420" s="230"/>
      <c r="X1420" s="231"/>
      <c r="Y1420" s="85"/>
      <c r="Z1420" s="101">
        <v>0.1</v>
      </c>
      <c r="AA1420" s="102">
        <v>0.09</v>
      </c>
      <c r="AB1420" s="77"/>
      <c r="AC1420" s="78"/>
    </row>
    <row r="1421" spans="1:29" ht="92" customHeight="1" x14ac:dyDescent="0.2">
      <c r="A1421" s="117" t="s">
        <v>4679</v>
      </c>
      <c r="B1421" s="118" t="e">
        <f t="shared" si="156"/>
        <v>#VALUE!</v>
      </c>
      <c r="C1421" s="118" t="s">
        <v>612</v>
      </c>
      <c r="D1421" s="113">
        <v>40884</v>
      </c>
      <c r="E1421" s="103">
        <v>40940</v>
      </c>
      <c r="F1421" s="84">
        <f t="shared" si="157"/>
        <v>44593</v>
      </c>
      <c r="G1421" s="229">
        <v>309.27</v>
      </c>
      <c r="H1421" s="71" t="s">
        <v>1086</v>
      </c>
      <c r="I1421" s="71" t="s">
        <v>691</v>
      </c>
      <c r="J1421" s="79"/>
      <c r="K1421" s="55">
        <f t="shared" si="158"/>
        <v>2022</v>
      </c>
      <c r="L1421" s="80"/>
      <c r="M1421" s="80"/>
      <c r="N1421" s="73" t="s">
        <v>4680</v>
      </c>
      <c r="O1421" s="73" t="s">
        <v>4681</v>
      </c>
      <c r="P1421" s="74"/>
      <c r="Q1421" s="75" t="s">
        <v>4682</v>
      </c>
      <c r="R1421" s="230">
        <v>1235</v>
      </c>
      <c r="S1421" s="230">
        <v>2480</v>
      </c>
      <c r="T1421" s="230">
        <v>3715</v>
      </c>
      <c r="U1421" s="231">
        <v>465</v>
      </c>
      <c r="V1421" s="230"/>
      <c r="W1421" s="230"/>
      <c r="X1421" s="231"/>
      <c r="Y1421" s="85"/>
      <c r="Z1421" s="101">
        <v>0.1</v>
      </c>
      <c r="AA1421" s="102">
        <v>0.09</v>
      </c>
      <c r="AB1421" s="77"/>
      <c r="AC1421" s="78"/>
    </row>
    <row r="1422" spans="1:29" ht="66" customHeight="1" x14ac:dyDescent="0.2">
      <c r="A1422" s="117" t="s">
        <v>4683</v>
      </c>
      <c r="B1422" s="118" t="e">
        <f t="shared" si="156"/>
        <v>#VALUE!</v>
      </c>
      <c r="C1422" s="118" t="s">
        <v>612</v>
      </c>
      <c r="D1422" s="113">
        <v>40884</v>
      </c>
      <c r="E1422" s="103">
        <v>40940</v>
      </c>
      <c r="F1422" s="84">
        <f t="shared" si="157"/>
        <v>44593</v>
      </c>
      <c r="G1422" s="229">
        <v>36.799999999999997</v>
      </c>
      <c r="H1422" s="71" t="s">
        <v>865</v>
      </c>
      <c r="I1422" s="71" t="s">
        <v>691</v>
      </c>
      <c r="J1422" s="79"/>
      <c r="K1422" s="55">
        <f t="shared" si="158"/>
        <v>2022</v>
      </c>
      <c r="L1422" s="80"/>
      <c r="M1422" s="80"/>
      <c r="N1422" s="73" t="s">
        <v>4684</v>
      </c>
      <c r="O1422" s="73" t="s">
        <v>4685</v>
      </c>
      <c r="P1422" s="74"/>
      <c r="Q1422" s="75" t="s">
        <v>4686</v>
      </c>
      <c r="R1422" s="230">
        <v>279.5</v>
      </c>
      <c r="S1422" s="230">
        <v>1258</v>
      </c>
      <c r="T1422" s="230">
        <v>1537.5</v>
      </c>
      <c r="U1422" s="231">
        <v>55.5</v>
      </c>
      <c r="V1422" s="230"/>
      <c r="W1422" s="230"/>
      <c r="X1422" s="231"/>
      <c r="Y1422" s="85"/>
      <c r="Z1422" s="101">
        <v>0.1</v>
      </c>
      <c r="AA1422" s="102">
        <v>0.09</v>
      </c>
      <c r="AB1422" s="77"/>
      <c r="AC1422" s="78"/>
    </row>
    <row r="1423" spans="1:29" x14ac:dyDescent="0.2">
      <c r="A1423" s="117" t="s">
        <v>4687</v>
      </c>
      <c r="B1423" s="118" t="e">
        <f t="shared" si="156"/>
        <v>#VALUE!</v>
      </c>
      <c r="C1423" s="118" t="s">
        <v>612</v>
      </c>
      <c r="D1423" s="113">
        <v>40884</v>
      </c>
      <c r="E1423" s="84">
        <v>40909</v>
      </c>
      <c r="F1423" s="84">
        <f t="shared" si="157"/>
        <v>44562</v>
      </c>
      <c r="G1423" s="229">
        <v>100</v>
      </c>
      <c r="H1423" s="71" t="s">
        <v>865</v>
      </c>
      <c r="I1423" s="71" t="s">
        <v>691</v>
      </c>
      <c r="J1423" s="79"/>
      <c r="K1423" s="55">
        <f t="shared" si="158"/>
        <v>2022</v>
      </c>
      <c r="L1423" s="80"/>
      <c r="M1423" s="80"/>
      <c r="N1423" s="73" t="s">
        <v>4688</v>
      </c>
      <c r="O1423" s="73" t="s">
        <v>4689</v>
      </c>
      <c r="P1423" s="74"/>
      <c r="Q1423" s="75" t="s">
        <v>4690</v>
      </c>
      <c r="R1423" s="230">
        <v>500</v>
      </c>
      <c r="S1423" s="230">
        <v>0</v>
      </c>
      <c r="T1423" s="230">
        <v>500</v>
      </c>
      <c r="U1423" s="231">
        <v>150</v>
      </c>
      <c r="V1423" s="230"/>
      <c r="W1423" s="230"/>
      <c r="X1423" s="231"/>
      <c r="Y1423" s="85"/>
      <c r="Z1423" s="101">
        <v>0.1</v>
      </c>
      <c r="AA1423" s="102">
        <v>0.09</v>
      </c>
      <c r="AB1423" s="77"/>
      <c r="AC1423" s="78"/>
    </row>
    <row r="1424" spans="1:29" ht="53" customHeight="1" x14ac:dyDescent="0.2">
      <c r="A1424" s="117" t="s">
        <v>4691</v>
      </c>
      <c r="B1424" s="118" t="e">
        <f t="shared" si="156"/>
        <v>#VALUE!</v>
      </c>
      <c r="C1424" s="118" t="s">
        <v>612</v>
      </c>
      <c r="D1424" s="113">
        <v>40884</v>
      </c>
      <c r="E1424" s="84">
        <v>40909</v>
      </c>
      <c r="F1424" s="84">
        <f t="shared" si="157"/>
        <v>44562</v>
      </c>
      <c r="G1424" s="229">
        <v>87</v>
      </c>
      <c r="H1424" s="71" t="s">
        <v>865</v>
      </c>
      <c r="I1424" s="71" t="s">
        <v>691</v>
      </c>
      <c r="J1424" s="79"/>
      <c r="K1424" s="55">
        <f t="shared" si="158"/>
        <v>2022</v>
      </c>
      <c r="L1424" s="80"/>
      <c r="M1424" s="80"/>
      <c r="N1424" s="73" t="s">
        <v>4688</v>
      </c>
      <c r="O1424" s="73" t="s">
        <v>4692</v>
      </c>
      <c r="P1424" s="74"/>
      <c r="Q1424" s="75" t="s">
        <v>4693</v>
      </c>
      <c r="R1424" s="230">
        <v>454.5</v>
      </c>
      <c r="S1424" s="230">
        <v>0</v>
      </c>
      <c r="T1424" s="230">
        <v>454.5</v>
      </c>
      <c r="U1424" s="231">
        <v>130.5</v>
      </c>
      <c r="V1424" s="230"/>
      <c r="W1424" s="230"/>
      <c r="X1424" s="231"/>
      <c r="Y1424" s="85"/>
      <c r="Z1424" s="101">
        <v>0.1</v>
      </c>
      <c r="AA1424" s="102">
        <v>0.09</v>
      </c>
      <c r="AB1424" s="77"/>
      <c r="AC1424" s="78"/>
    </row>
    <row r="1425" spans="1:29" ht="92" customHeight="1" x14ac:dyDescent="0.2">
      <c r="A1425" s="117" t="s">
        <v>4694</v>
      </c>
      <c r="B1425" s="118" t="e">
        <f t="shared" si="156"/>
        <v>#VALUE!</v>
      </c>
      <c r="C1425" s="118" t="s">
        <v>612</v>
      </c>
      <c r="D1425" s="113">
        <v>40884</v>
      </c>
      <c r="E1425" s="84">
        <v>40909</v>
      </c>
      <c r="F1425" s="84">
        <f t="shared" si="157"/>
        <v>44562</v>
      </c>
      <c r="G1425" s="229">
        <v>13.2</v>
      </c>
      <c r="H1425" s="71" t="s">
        <v>865</v>
      </c>
      <c r="I1425" s="71" t="s">
        <v>691</v>
      </c>
      <c r="J1425" s="79"/>
      <c r="K1425" s="55">
        <f t="shared" si="158"/>
        <v>2022</v>
      </c>
      <c r="L1425" s="80"/>
      <c r="M1425" s="80"/>
      <c r="N1425" s="73" t="s">
        <v>4695</v>
      </c>
      <c r="O1425" s="73" t="s">
        <v>4696</v>
      </c>
      <c r="P1425" s="74"/>
      <c r="Q1425" s="75" t="s">
        <v>4697</v>
      </c>
      <c r="R1425" s="230">
        <v>199</v>
      </c>
      <c r="S1425" s="230">
        <v>0</v>
      </c>
      <c r="T1425" s="230">
        <v>199</v>
      </c>
      <c r="U1425" s="231">
        <v>21</v>
      </c>
      <c r="V1425" s="230"/>
      <c r="W1425" s="230"/>
      <c r="X1425" s="231"/>
      <c r="Y1425" s="85"/>
      <c r="Z1425" s="101">
        <v>0.1</v>
      </c>
      <c r="AA1425" s="102">
        <v>0.09</v>
      </c>
      <c r="AB1425" s="77"/>
      <c r="AC1425" s="78"/>
    </row>
    <row r="1426" spans="1:29" x14ac:dyDescent="0.2">
      <c r="A1426" s="117" t="s">
        <v>4698</v>
      </c>
      <c r="B1426" s="118" t="e">
        <f t="shared" si="156"/>
        <v>#VALUE!</v>
      </c>
      <c r="C1426" s="118" t="s">
        <v>612</v>
      </c>
      <c r="D1426" s="113">
        <v>40884</v>
      </c>
      <c r="E1426" s="84">
        <v>40909</v>
      </c>
      <c r="F1426" s="84">
        <f t="shared" si="157"/>
        <v>44562</v>
      </c>
      <c r="G1426" s="229">
        <v>160</v>
      </c>
      <c r="H1426" s="71" t="s">
        <v>1323</v>
      </c>
      <c r="I1426" s="71" t="s">
        <v>691</v>
      </c>
      <c r="J1426" s="79"/>
      <c r="K1426" s="55">
        <f t="shared" si="158"/>
        <v>2022</v>
      </c>
      <c r="L1426" s="80"/>
      <c r="M1426" s="80"/>
      <c r="N1426" s="73" t="s">
        <v>4699</v>
      </c>
      <c r="O1426" s="73" t="s">
        <v>4700</v>
      </c>
      <c r="P1426" s="74"/>
      <c r="Q1426" s="75" t="s">
        <v>4701</v>
      </c>
      <c r="R1426" s="230">
        <v>710</v>
      </c>
      <c r="S1426" s="230">
        <v>0</v>
      </c>
      <c r="T1426" s="230">
        <v>710</v>
      </c>
      <c r="U1426" s="231">
        <v>240</v>
      </c>
      <c r="V1426" s="230"/>
      <c r="W1426" s="230"/>
      <c r="X1426" s="231"/>
      <c r="Y1426" s="85"/>
      <c r="Z1426" s="101">
        <v>0.1</v>
      </c>
      <c r="AA1426" s="102">
        <v>0.09</v>
      </c>
      <c r="AB1426" s="77"/>
      <c r="AC1426" s="78"/>
    </row>
    <row r="1427" spans="1:29" ht="40" customHeight="1" x14ac:dyDescent="0.2">
      <c r="A1427" s="117" t="s">
        <v>4702</v>
      </c>
      <c r="B1427" s="118" t="e">
        <f t="shared" si="156"/>
        <v>#VALUE!</v>
      </c>
      <c r="C1427" s="118" t="s">
        <v>612</v>
      </c>
      <c r="D1427" s="113">
        <v>40884</v>
      </c>
      <c r="E1427" s="84">
        <v>40909</v>
      </c>
      <c r="F1427" s="84">
        <f t="shared" si="157"/>
        <v>44562</v>
      </c>
      <c r="G1427" s="229">
        <v>246</v>
      </c>
      <c r="H1427" s="71" t="s">
        <v>4300</v>
      </c>
      <c r="I1427" s="71" t="s">
        <v>691</v>
      </c>
      <c r="J1427" s="79"/>
      <c r="K1427" s="55">
        <f t="shared" si="158"/>
        <v>2022</v>
      </c>
      <c r="L1427" s="80"/>
      <c r="M1427" s="80"/>
      <c r="N1427" s="73" t="s">
        <v>4703</v>
      </c>
      <c r="O1427" s="73" t="s">
        <v>4704</v>
      </c>
      <c r="P1427" s="74"/>
      <c r="Q1427" s="75" t="s">
        <v>4705</v>
      </c>
      <c r="R1427" s="230">
        <v>1011</v>
      </c>
      <c r="S1427" s="230">
        <v>0</v>
      </c>
      <c r="T1427" s="230">
        <v>1011</v>
      </c>
      <c r="U1427" s="231">
        <v>369</v>
      </c>
      <c r="V1427" s="230"/>
      <c r="W1427" s="230"/>
      <c r="X1427" s="231"/>
      <c r="Y1427" s="85"/>
      <c r="Z1427" s="101">
        <v>0.1</v>
      </c>
      <c r="AA1427" s="102">
        <v>0.09</v>
      </c>
      <c r="AB1427" s="77"/>
      <c r="AC1427" s="78"/>
    </row>
    <row r="1428" spans="1:29" x14ac:dyDescent="0.2">
      <c r="A1428" s="117" t="s">
        <v>4706</v>
      </c>
      <c r="B1428" s="118" t="e">
        <f t="shared" si="156"/>
        <v>#VALUE!</v>
      </c>
      <c r="C1428" s="118" t="s">
        <v>612</v>
      </c>
      <c r="D1428" s="113">
        <v>40884</v>
      </c>
      <c r="E1428" s="84">
        <v>40909</v>
      </c>
      <c r="F1428" s="84">
        <f t="shared" si="157"/>
        <v>44562</v>
      </c>
      <c r="G1428" s="229">
        <v>1940</v>
      </c>
      <c r="H1428" s="71" t="s">
        <v>4300</v>
      </c>
      <c r="I1428" s="71" t="s">
        <v>691</v>
      </c>
      <c r="J1428" s="79"/>
      <c r="K1428" s="55">
        <f t="shared" si="158"/>
        <v>2022</v>
      </c>
      <c r="L1428" s="80"/>
      <c r="M1428" s="80"/>
      <c r="N1428" s="73" t="s">
        <v>4707</v>
      </c>
      <c r="O1428" s="73" t="s">
        <v>4631</v>
      </c>
      <c r="P1428" s="74"/>
      <c r="Q1428" s="75" t="s">
        <v>4708</v>
      </c>
      <c r="R1428" s="230">
        <v>6940</v>
      </c>
      <c r="S1428" s="230">
        <v>0</v>
      </c>
      <c r="T1428" s="230">
        <v>6940</v>
      </c>
      <c r="U1428" s="231">
        <v>2910</v>
      </c>
      <c r="V1428" s="230"/>
      <c r="W1428" s="230"/>
      <c r="X1428" s="231"/>
      <c r="Y1428" s="85"/>
      <c r="Z1428" s="101">
        <v>0.1</v>
      </c>
      <c r="AA1428" s="102">
        <v>0.09</v>
      </c>
      <c r="AB1428" s="77"/>
      <c r="AC1428" s="78"/>
    </row>
    <row r="1429" spans="1:29" x14ac:dyDescent="0.2">
      <c r="A1429" s="117" t="s">
        <v>4709</v>
      </c>
      <c r="B1429" s="118" t="e">
        <f t="shared" si="156"/>
        <v>#VALUE!</v>
      </c>
      <c r="C1429" s="118" t="s">
        <v>612</v>
      </c>
      <c r="D1429" s="113">
        <v>40884</v>
      </c>
      <c r="E1429" s="84">
        <v>40909</v>
      </c>
      <c r="F1429" s="84">
        <f t="shared" si="157"/>
        <v>44562</v>
      </c>
      <c r="G1429" s="229">
        <v>1419.3</v>
      </c>
      <c r="H1429" s="71" t="s">
        <v>4300</v>
      </c>
      <c r="I1429" s="71" t="s">
        <v>691</v>
      </c>
      <c r="J1429" s="79"/>
      <c r="K1429" s="55">
        <f t="shared" si="158"/>
        <v>2022</v>
      </c>
      <c r="L1429" s="80"/>
      <c r="M1429" s="80"/>
      <c r="N1429" s="73" t="s">
        <v>4707</v>
      </c>
      <c r="O1429" s="73" t="s">
        <v>4631</v>
      </c>
      <c r="P1429" s="74"/>
      <c r="Q1429" s="75" t="s">
        <v>4710</v>
      </c>
      <c r="R1429" s="230">
        <v>5120</v>
      </c>
      <c r="S1429" s="230">
        <v>0</v>
      </c>
      <c r="T1429" s="230">
        <v>5120</v>
      </c>
      <c r="U1429" s="231">
        <v>2130</v>
      </c>
      <c r="V1429" s="230"/>
      <c r="W1429" s="230"/>
      <c r="X1429" s="231"/>
      <c r="Y1429" s="85"/>
      <c r="Z1429" s="101">
        <v>0.1</v>
      </c>
      <c r="AA1429" s="102">
        <v>0.09</v>
      </c>
      <c r="AB1429" s="77"/>
      <c r="AC1429" s="78"/>
    </row>
    <row r="1430" spans="1:29" x14ac:dyDescent="0.2">
      <c r="A1430" s="117" t="s">
        <v>4711</v>
      </c>
      <c r="B1430" s="118" t="e">
        <f t="shared" si="156"/>
        <v>#VALUE!</v>
      </c>
      <c r="C1430" s="118" t="s">
        <v>612</v>
      </c>
      <c r="D1430" s="113">
        <v>40884</v>
      </c>
      <c r="E1430" s="84">
        <v>40909</v>
      </c>
      <c r="F1430" s="84">
        <f t="shared" si="157"/>
        <v>44562</v>
      </c>
      <c r="G1430" s="229">
        <v>1422.8</v>
      </c>
      <c r="H1430" s="71" t="s">
        <v>4300</v>
      </c>
      <c r="I1430" s="71" t="s">
        <v>691</v>
      </c>
      <c r="J1430" s="79"/>
      <c r="K1430" s="55">
        <f t="shared" si="158"/>
        <v>2022</v>
      </c>
      <c r="L1430" s="80"/>
      <c r="M1430" s="80"/>
      <c r="N1430" s="73" t="s">
        <v>4707</v>
      </c>
      <c r="O1430" s="73" t="s">
        <v>4631</v>
      </c>
      <c r="P1430" s="74"/>
      <c r="Q1430" s="75" t="s">
        <v>4712</v>
      </c>
      <c r="R1430" s="230">
        <v>5130.5</v>
      </c>
      <c r="S1430" s="230">
        <v>0</v>
      </c>
      <c r="T1430" s="230">
        <v>5130.5</v>
      </c>
      <c r="U1430" s="231">
        <v>2134.5</v>
      </c>
      <c r="V1430" s="230"/>
      <c r="W1430" s="230"/>
      <c r="X1430" s="231"/>
      <c r="Y1430" s="85"/>
      <c r="Z1430" s="101">
        <v>0.1</v>
      </c>
      <c r="AA1430" s="102">
        <v>0.09</v>
      </c>
      <c r="AB1430" s="77"/>
      <c r="AC1430" s="78"/>
    </row>
    <row r="1431" spans="1:29" x14ac:dyDescent="0.2">
      <c r="A1431" s="117" t="s">
        <v>4713</v>
      </c>
      <c r="B1431" s="118" t="e">
        <f t="shared" si="156"/>
        <v>#VALUE!</v>
      </c>
      <c r="C1431" s="118" t="s">
        <v>612</v>
      </c>
      <c r="D1431" s="113">
        <v>40884</v>
      </c>
      <c r="E1431" s="84">
        <v>40909</v>
      </c>
      <c r="F1431" s="84">
        <f t="shared" si="157"/>
        <v>44562</v>
      </c>
      <c r="G1431" s="229">
        <v>568.29999999999995</v>
      </c>
      <c r="H1431" s="71" t="s">
        <v>4300</v>
      </c>
      <c r="I1431" s="71" t="s">
        <v>691</v>
      </c>
      <c r="J1431" s="79"/>
      <c r="K1431" s="55">
        <f t="shared" si="158"/>
        <v>2022</v>
      </c>
      <c r="L1431" s="80"/>
      <c r="M1431" s="80"/>
      <c r="N1431" s="73" t="s">
        <v>4707</v>
      </c>
      <c r="O1431" s="73" t="s">
        <v>4631</v>
      </c>
      <c r="P1431" s="74"/>
      <c r="Q1431" s="75" t="s">
        <v>4714</v>
      </c>
      <c r="R1431" s="230">
        <v>2141.5</v>
      </c>
      <c r="S1431" s="230">
        <v>0</v>
      </c>
      <c r="T1431" s="230">
        <v>2141.5</v>
      </c>
      <c r="U1431" s="231">
        <v>853.5</v>
      </c>
      <c r="V1431" s="230"/>
      <c r="W1431" s="230"/>
      <c r="X1431" s="231"/>
      <c r="Y1431" s="85"/>
      <c r="Z1431" s="101">
        <v>0.1</v>
      </c>
      <c r="AA1431" s="102">
        <v>0.09</v>
      </c>
      <c r="AB1431" s="77"/>
      <c r="AC1431" s="78"/>
    </row>
    <row r="1432" spans="1:29" x14ac:dyDescent="0.2">
      <c r="A1432" s="117" t="s">
        <v>4715</v>
      </c>
      <c r="B1432" s="118" t="e">
        <f t="shared" si="156"/>
        <v>#VALUE!</v>
      </c>
      <c r="C1432" s="118" t="s">
        <v>612</v>
      </c>
      <c r="D1432" s="113">
        <v>40884</v>
      </c>
      <c r="E1432" s="84">
        <v>40909</v>
      </c>
      <c r="F1432" s="84">
        <f t="shared" si="157"/>
        <v>44562</v>
      </c>
      <c r="G1432" s="229">
        <v>79</v>
      </c>
      <c r="H1432" s="71" t="s">
        <v>4300</v>
      </c>
      <c r="I1432" s="71" t="s">
        <v>691</v>
      </c>
      <c r="J1432" s="79"/>
      <c r="K1432" s="55">
        <f t="shared" si="158"/>
        <v>2022</v>
      </c>
      <c r="L1432" s="80"/>
      <c r="M1432" s="80"/>
      <c r="N1432" s="73" t="s">
        <v>4707</v>
      </c>
      <c r="O1432" s="73" t="s">
        <v>4716</v>
      </c>
      <c r="P1432" s="74"/>
      <c r="Q1432" s="75" t="s">
        <v>4717</v>
      </c>
      <c r="R1432" s="230">
        <v>426.5</v>
      </c>
      <c r="S1432" s="230">
        <v>0</v>
      </c>
      <c r="T1432" s="230">
        <v>426.5</v>
      </c>
      <c r="U1432" s="231">
        <v>118.5</v>
      </c>
      <c r="V1432" s="230"/>
      <c r="W1432" s="230"/>
      <c r="X1432" s="231"/>
      <c r="Y1432" s="85"/>
      <c r="Z1432" s="101">
        <v>0.1</v>
      </c>
      <c r="AA1432" s="102">
        <v>0.09</v>
      </c>
      <c r="AB1432" s="77"/>
      <c r="AC1432" s="78"/>
    </row>
    <row r="1433" spans="1:29" x14ac:dyDescent="0.2">
      <c r="A1433" s="117" t="s">
        <v>4718</v>
      </c>
      <c r="B1433" s="118" t="e">
        <f t="shared" si="156"/>
        <v>#VALUE!</v>
      </c>
      <c r="C1433" s="118" t="s">
        <v>612</v>
      </c>
      <c r="D1433" s="113">
        <v>40884</v>
      </c>
      <c r="E1433" s="84">
        <v>40909</v>
      </c>
      <c r="F1433" s="84">
        <f t="shared" si="157"/>
        <v>44562</v>
      </c>
      <c r="G1433" s="229">
        <v>2353.9</v>
      </c>
      <c r="H1433" s="71" t="s">
        <v>4300</v>
      </c>
      <c r="I1433" s="71" t="s">
        <v>691</v>
      </c>
      <c r="J1433" s="79"/>
      <c r="K1433" s="55">
        <f t="shared" si="158"/>
        <v>2022</v>
      </c>
      <c r="L1433" s="80"/>
      <c r="M1433" s="80"/>
      <c r="N1433" s="73" t="s">
        <v>4719</v>
      </c>
      <c r="O1433" s="73" t="s">
        <v>4631</v>
      </c>
      <c r="P1433" s="74"/>
      <c r="Q1433" s="75" t="s">
        <v>4720</v>
      </c>
      <c r="R1433" s="230">
        <v>8389</v>
      </c>
      <c r="S1433" s="230">
        <v>0</v>
      </c>
      <c r="T1433" s="230">
        <v>8389</v>
      </c>
      <c r="U1433" s="231">
        <v>3531</v>
      </c>
      <c r="V1433" s="230"/>
      <c r="W1433" s="230"/>
      <c r="X1433" s="231"/>
      <c r="Y1433" s="85"/>
      <c r="Z1433" s="101">
        <v>0.1</v>
      </c>
      <c r="AA1433" s="102">
        <v>0.09</v>
      </c>
      <c r="AB1433" s="77"/>
      <c r="AC1433" s="78"/>
    </row>
    <row r="1434" spans="1:29" ht="15" hidden="1" customHeight="1" thickBot="1" x14ac:dyDescent="0.25">
      <c r="A1434" s="117"/>
      <c r="D1434" s="71"/>
      <c r="E1434" s="78"/>
      <c r="F1434" s="84"/>
      <c r="G1434" s="229"/>
      <c r="H1434" s="71"/>
      <c r="I1434" s="71"/>
      <c r="J1434" s="79"/>
      <c r="K1434" s="79"/>
      <c r="L1434" s="80"/>
      <c r="M1434" s="80"/>
      <c r="N1434" s="73"/>
      <c r="O1434" s="73"/>
      <c r="P1434" s="74"/>
      <c r="Q1434" s="75"/>
      <c r="R1434" s="241">
        <v>67810</v>
      </c>
      <c r="S1434" s="241">
        <v>431301</v>
      </c>
      <c r="T1434" s="241">
        <v>499111</v>
      </c>
      <c r="U1434" s="231"/>
      <c r="V1434" s="230"/>
      <c r="W1434" s="230"/>
      <c r="X1434" s="231"/>
      <c r="Y1434" s="85"/>
      <c r="Z1434" s="263"/>
      <c r="AA1434" s="265"/>
      <c r="AB1434" s="77"/>
      <c r="AC1434" s="78"/>
    </row>
    <row r="1435" spans="1:29" hidden="1" x14ac:dyDescent="0.2">
      <c r="A1435" s="117"/>
      <c r="D1435" s="71"/>
      <c r="E1435" s="78"/>
      <c r="F1435" s="84"/>
      <c r="G1435" s="229"/>
      <c r="H1435" s="71"/>
      <c r="I1435" s="71"/>
      <c r="J1435" s="79"/>
      <c r="K1435" s="79"/>
      <c r="L1435" s="80"/>
      <c r="M1435" s="80"/>
      <c r="N1435" s="73"/>
      <c r="O1435" s="73"/>
      <c r="P1435" s="74"/>
      <c r="Q1435" s="75"/>
      <c r="R1435" s="230"/>
      <c r="S1435" s="230"/>
      <c r="T1435" s="230"/>
      <c r="U1435" s="231"/>
      <c r="V1435" s="230"/>
      <c r="W1435" s="230"/>
      <c r="X1435" s="231"/>
      <c r="Y1435" s="85"/>
      <c r="Z1435" s="85"/>
      <c r="AA1435" s="76"/>
      <c r="AB1435" s="77"/>
      <c r="AC1435" s="78"/>
    </row>
    <row r="1436" spans="1:29" x14ac:dyDescent="0.2">
      <c r="A1436" s="117" t="s">
        <v>4721</v>
      </c>
      <c r="B1436" s="118" t="e">
        <f t="shared" ref="B1436:B1467" si="159">IF(COUNTIF(GIS,A1436),"YES","NO")</f>
        <v>#VALUE!</v>
      </c>
      <c r="C1436" s="118" t="s">
        <v>612</v>
      </c>
      <c r="D1436" s="113">
        <v>40983</v>
      </c>
      <c r="E1436" s="84">
        <v>41030</v>
      </c>
      <c r="F1436" s="84">
        <f t="shared" ref="F1436:F1467" si="160">DATE(YEAR(E1436)+10,MONTH(E1436),DAY(E1436))</f>
        <v>44682</v>
      </c>
      <c r="G1436" s="229">
        <v>40</v>
      </c>
      <c r="H1436" s="71" t="s">
        <v>865</v>
      </c>
      <c r="I1436" s="71" t="s">
        <v>931</v>
      </c>
      <c r="J1436" s="238" t="s">
        <v>2277</v>
      </c>
      <c r="K1436" s="55">
        <f t="shared" ref="K1436:K1467" si="161">YEAR(F1436)</f>
        <v>2022</v>
      </c>
      <c r="L1436" s="239"/>
      <c r="M1436" s="239"/>
      <c r="N1436" s="73" t="s">
        <v>4722</v>
      </c>
      <c r="O1436" s="73" t="s">
        <v>4723</v>
      </c>
      <c r="P1436" s="74"/>
      <c r="Q1436" s="75" t="s">
        <v>4724</v>
      </c>
      <c r="R1436" s="230">
        <v>290</v>
      </c>
      <c r="S1436" s="230">
        <v>0</v>
      </c>
      <c r="T1436" s="230">
        <v>290</v>
      </c>
      <c r="U1436" s="231">
        <v>60</v>
      </c>
      <c r="V1436" s="230"/>
      <c r="W1436" s="230"/>
      <c r="X1436" s="231"/>
      <c r="Y1436" s="85"/>
      <c r="Z1436" s="101">
        <v>0.1</v>
      </c>
      <c r="AA1436" s="102">
        <v>0.09</v>
      </c>
      <c r="AB1436" s="77"/>
      <c r="AC1436" s="78"/>
    </row>
    <row r="1437" spans="1:29" ht="29" x14ac:dyDescent="0.2">
      <c r="A1437" s="117" t="s">
        <v>4725</v>
      </c>
      <c r="B1437" s="118" t="e">
        <f t="shared" si="159"/>
        <v>#VALUE!</v>
      </c>
      <c r="C1437" s="118" t="s">
        <v>612</v>
      </c>
      <c r="D1437" s="113">
        <v>40983</v>
      </c>
      <c r="E1437" s="84">
        <v>41030</v>
      </c>
      <c r="F1437" s="84">
        <f t="shared" si="160"/>
        <v>44682</v>
      </c>
      <c r="G1437" s="229">
        <v>1807.54</v>
      </c>
      <c r="H1437" s="71" t="s">
        <v>865</v>
      </c>
      <c r="I1437" s="71" t="s">
        <v>931</v>
      </c>
      <c r="J1437" s="248"/>
      <c r="K1437" s="55">
        <f t="shared" si="161"/>
        <v>2022</v>
      </c>
      <c r="L1437" s="249"/>
      <c r="M1437" s="249"/>
      <c r="N1437" s="73" t="s">
        <v>4726</v>
      </c>
      <c r="O1437" s="73" t="s">
        <v>4727</v>
      </c>
      <c r="P1437" s="74"/>
      <c r="Q1437" s="75" t="s">
        <v>4728</v>
      </c>
      <c r="R1437" s="230">
        <v>6478</v>
      </c>
      <c r="S1437" s="230">
        <v>39776</v>
      </c>
      <c r="T1437" s="230">
        <v>46254</v>
      </c>
      <c r="U1437" s="231">
        <v>2712</v>
      </c>
      <c r="V1437" s="230"/>
      <c r="W1437" s="230"/>
      <c r="X1437" s="231"/>
      <c r="Y1437" s="85"/>
      <c r="Z1437" s="101">
        <v>0.1</v>
      </c>
      <c r="AA1437" s="102">
        <v>0.09</v>
      </c>
      <c r="AB1437" s="77"/>
      <c r="AC1437" s="78"/>
    </row>
    <row r="1438" spans="1:29" x14ac:dyDescent="0.2">
      <c r="A1438" s="117" t="s">
        <v>4729</v>
      </c>
      <c r="B1438" s="118" t="e">
        <f t="shared" si="159"/>
        <v>#VALUE!</v>
      </c>
      <c r="C1438" s="118" t="s">
        <v>612</v>
      </c>
      <c r="D1438" s="113">
        <v>40983</v>
      </c>
      <c r="E1438" s="84">
        <v>41030</v>
      </c>
      <c r="F1438" s="84">
        <f t="shared" si="160"/>
        <v>44682</v>
      </c>
      <c r="G1438" s="229">
        <v>90.54</v>
      </c>
      <c r="H1438" s="71" t="s">
        <v>865</v>
      </c>
      <c r="I1438" s="71" t="s">
        <v>931</v>
      </c>
      <c r="J1438" s="248"/>
      <c r="K1438" s="55">
        <f t="shared" si="161"/>
        <v>2022</v>
      </c>
      <c r="L1438" s="249"/>
      <c r="M1438" s="249"/>
      <c r="N1438" s="73" t="s">
        <v>4730</v>
      </c>
      <c r="O1438" s="73" t="s">
        <v>4731</v>
      </c>
      <c r="P1438" s="74"/>
      <c r="Q1438" s="75" t="s">
        <v>4732</v>
      </c>
      <c r="R1438" s="230">
        <v>468.5</v>
      </c>
      <c r="S1438" s="230">
        <v>0</v>
      </c>
      <c r="T1438" s="230">
        <v>468.5</v>
      </c>
      <c r="U1438" s="231">
        <v>136.5</v>
      </c>
      <c r="V1438" s="230"/>
      <c r="W1438" s="230"/>
      <c r="X1438" s="231"/>
      <c r="Y1438" s="85"/>
      <c r="Z1438" s="101">
        <v>0.1</v>
      </c>
      <c r="AA1438" s="102">
        <v>0.09</v>
      </c>
      <c r="AB1438" s="77"/>
      <c r="AC1438" s="78"/>
    </row>
    <row r="1439" spans="1:29" x14ac:dyDescent="0.2">
      <c r="A1439" s="117" t="s">
        <v>4733</v>
      </c>
      <c r="B1439" s="118" t="e">
        <f t="shared" si="159"/>
        <v>#VALUE!</v>
      </c>
      <c r="C1439" s="118" t="s">
        <v>612</v>
      </c>
      <c r="D1439" s="113">
        <v>40983</v>
      </c>
      <c r="E1439" s="84">
        <v>41030</v>
      </c>
      <c r="F1439" s="84">
        <f t="shared" si="160"/>
        <v>44682</v>
      </c>
      <c r="G1439" s="229">
        <v>1805.85</v>
      </c>
      <c r="H1439" s="71" t="s">
        <v>865</v>
      </c>
      <c r="I1439" s="71" t="s">
        <v>931</v>
      </c>
      <c r="J1439" s="248"/>
      <c r="K1439" s="55">
        <f t="shared" si="161"/>
        <v>2022</v>
      </c>
      <c r="L1439" s="249"/>
      <c r="M1439" s="249"/>
      <c r="N1439" s="73" t="s">
        <v>4726</v>
      </c>
      <c r="O1439" s="73" t="s">
        <v>4734</v>
      </c>
      <c r="P1439" s="74"/>
      <c r="Q1439" s="75" t="s">
        <v>4735</v>
      </c>
      <c r="R1439" s="230">
        <v>6471</v>
      </c>
      <c r="S1439" s="230">
        <v>36120</v>
      </c>
      <c r="T1439" s="230">
        <v>42591</v>
      </c>
      <c r="U1439" s="231">
        <v>2709</v>
      </c>
      <c r="V1439" s="230"/>
      <c r="W1439" s="230"/>
      <c r="X1439" s="231"/>
      <c r="Y1439" s="85"/>
      <c r="Z1439" s="101">
        <v>0.1</v>
      </c>
      <c r="AA1439" s="102">
        <v>0.09</v>
      </c>
      <c r="AB1439" s="77"/>
      <c r="AC1439" s="78"/>
    </row>
    <row r="1440" spans="1:29" x14ac:dyDescent="0.2">
      <c r="A1440" s="117" t="s">
        <v>4736</v>
      </c>
      <c r="B1440" s="118" t="e">
        <f t="shared" si="159"/>
        <v>#VALUE!</v>
      </c>
      <c r="C1440" s="118" t="s">
        <v>612</v>
      </c>
      <c r="D1440" s="113">
        <v>40983</v>
      </c>
      <c r="E1440" s="84">
        <v>41030</v>
      </c>
      <c r="F1440" s="84">
        <f t="shared" si="160"/>
        <v>44682</v>
      </c>
      <c r="G1440" s="229">
        <v>1664.6</v>
      </c>
      <c r="H1440" s="71" t="s">
        <v>2289</v>
      </c>
      <c r="I1440" s="71" t="s">
        <v>931</v>
      </c>
      <c r="J1440" s="248"/>
      <c r="K1440" s="55">
        <f t="shared" si="161"/>
        <v>2022</v>
      </c>
      <c r="L1440" s="249"/>
      <c r="M1440" s="249"/>
      <c r="N1440" s="73" t="s">
        <v>4737</v>
      </c>
      <c r="O1440" s="73" t="s">
        <v>4312</v>
      </c>
      <c r="P1440" s="74"/>
      <c r="Q1440" s="75" t="s">
        <v>4738</v>
      </c>
      <c r="R1440" s="230">
        <v>5977.5</v>
      </c>
      <c r="S1440" s="230">
        <v>83250</v>
      </c>
      <c r="T1440" s="230">
        <v>89227.5</v>
      </c>
      <c r="U1440" s="231">
        <v>2497.5</v>
      </c>
      <c r="V1440" s="230"/>
      <c r="W1440" s="230"/>
      <c r="X1440" s="231"/>
      <c r="Y1440" s="85"/>
      <c r="Z1440" s="101">
        <v>0.1</v>
      </c>
      <c r="AA1440" s="102">
        <v>0.09</v>
      </c>
      <c r="AB1440" s="77"/>
      <c r="AC1440" s="78"/>
    </row>
    <row r="1441" spans="1:29" ht="27" customHeight="1" x14ac:dyDescent="0.2">
      <c r="A1441" s="117" t="s">
        <v>4739</v>
      </c>
      <c r="B1441" s="118" t="e">
        <f t="shared" si="159"/>
        <v>#VALUE!</v>
      </c>
      <c r="C1441" s="118" t="s">
        <v>612</v>
      </c>
      <c r="D1441" s="113">
        <v>40983</v>
      </c>
      <c r="E1441" s="84">
        <v>41030</v>
      </c>
      <c r="F1441" s="84">
        <f t="shared" si="160"/>
        <v>44682</v>
      </c>
      <c r="G1441" s="229">
        <v>2256.38</v>
      </c>
      <c r="H1441" s="71" t="s">
        <v>2289</v>
      </c>
      <c r="I1441" s="71" t="s">
        <v>931</v>
      </c>
      <c r="J1441" s="238" t="s">
        <v>2277</v>
      </c>
      <c r="K1441" s="55">
        <f t="shared" si="161"/>
        <v>2022</v>
      </c>
      <c r="L1441" s="239"/>
      <c r="M1441" s="239"/>
      <c r="N1441" s="73" t="s">
        <v>4740</v>
      </c>
      <c r="O1441" s="73" t="s">
        <v>4741</v>
      </c>
      <c r="P1441" s="74"/>
      <c r="Q1441" s="75" t="s">
        <v>4742</v>
      </c>
      <c r="R1441" s="230">
        <v>8049.5</v>
      </c>
      <c r="S1441" s="230">
        <v>176046</v>
      </c>
      <c r="T1441" s="230">
        <v>184095.5</v>
      </c>
      <c r="U1441" s="231">
        <v>3385.5</v>
      </c>
      <c r="V1441" s="230"/>
      <c r="W1441" s="230"/>
      <c r="X1441" s="231"/>
      <c r="Y1441" s="85"/>
      <c r="Z1441" s="101">
        <v>0.1</v>
      </c>
      <c r="AA1441" s="102">
        <v>0.09</v>
      </c>
      <c r="AB1441" s="77"/>
      <c r="AC1441" s="78"/>
    </row>
    <row r="1442" spans="1:29" x14ac:dyDescent="0.2">
      <c r="A1442" s="117" t="s">
        <v>4743</v>
      </c>
      <c r="B1442" s="118" t="e">
        <f t="shared" si="159"/>
        <v>#VALUE!</v>
      </c>
      <c r="C1442" s="118" t="s">
        <v>612</v>
      </c>
      <c r="D1442" s="113">
        <v>40983</v>
      </c>
      <c r="E1442" s="84">
        <v>41030</v>
      </c>
      <c r="F1442" s="84">
        <f t="shared" si="160"/>
        <v>44682</v>
      </c>
      <c r="G1442" s="229">
        <v>160</v>
      </c>
      <c r="H1442" s="71" t="s">
        <v>865</v>
      </c>
      <c r="I1442" s="71" t="s">
        <v>931</v>
      </c>
      <c r="J1442" s="238" t="s">
        <v>2277</v>
      </c>
      <c r="K1442" s="55">
        <f t="shared" si="161"/>
        <v>2022</v>
      </c>
      <c r="L1442" s="239"/>
      <c r="M1442" s="239"/>
      <c r="N1442" s="73" t="s">
        <v>4744</v>
      </c>
      <c r="O1442" s="73" t="s">
        <v>4745</v>
      </c>
      <c r="P1442" s="74"/>
      <c r="Q1442" s="75" t="s">
        <v>4746</v>
      </c>
      <c r="R1442" s="230">
        <v>710</v>
      </c>
      <c r="S1442" s="230">
        <v>0</v>
      </c>
      <c r="T1442" s="230">
        <v>710</v>
      </c>
      <c r="U1442" s="231">
        <v>240</v>
      </c>
      <c r="V1442" s="230"/>
      <c r="W1442" s="230"/>
      <c r="X1442" s="231"/>
      <c r="Y1442" s="85"/>
      <c r="Z1442" s="101">
        <v>0.1</v>
      </c>
      <c r="AA1442" s="102">
        <v>0.09</v>
      </c>
      <c r="AB1442" s="77"/>
      <c r="AC1442" s="78"/>
    </row>
    <row r="1443" spans="1:29" x14ac:dyDescent="0.2">
      <c r="A1443" s="117" t="s">
        <v>4747</v>
      </c>
      <c r="B1443" s="118" t="e">
        <f t="shared" si="159"/>
        <v>#VALUE!</v>
      </c>
      <c r="C1443" s="118" t="s">
        <v>612</v>
      </c>
      <c r="D1443" s="113">
        <v>40983</v>
      </c>
      <c r="E1443" s="84">
        <v>41030</v>
      </c>
      <c r="F1443" s="84">
        <f t="shared" si="160"/>
        <v>44682</v>
      </c>
      <c r="G1443" s="229">
        <v>1678.2</v>
      </c>
      <c r="H1443" s="71" t="s">
        <v>865</v>
      </c>
      <c r="I1443" s="71" t="s">
        <v>931</v>
      </c>
      <c r="J1443" s="248"/>
      <c r="K1443" s="55">
        <f t="shared" si="161"/>
        <v>2022</v>
      </c>
      <c r="L1443" s="249"/>
      <c r="M1443" s="249"/>
      <c r="N1443" s="73" t="s">
        <v>4726</v>
      </c>
      <c r="O1443" s="73" t="s">
        <v>4748</v>
      </c>
      <c r="P1443" s="74"/>
      <c r="Q1443" s="75" t="s">
        <v>4749</v>
      </c>
      <c r="R1443" s="230">
        <v>6026.5</v>
      </c>
      <c r="S1443" s="230">
        <v>0</v>
      </c>
      <c r="T1443" s="230">
        <v>6026.5</v>
      </c>
      <c r="U1443" s="231">
        <v>2518.5</v>
      </c>
      <c r="V1443" s="230"/>
      <c r="W1443" s="230"/>
      <c r="X1443" s="231"/>
      <c r="Y1443" s="85"/>
      <c r="Z1443" s="101">
        <v>0.1</v>
      </c>
      <c r="AA1443" s="102">
        <v>0.09</v>
      </c>
      <c r="AB1443" s="77"/>
      <c r="AC1443" s="78"/>
    </row>
    <row r="1444" spans="1:29" x14ac:dyDescent="0.2">
      <c r="A1444" s="117" t="s">
        <v>4750</v>
      </c>
      <c r="B1444" s="118" t="e">
        <f t="shared" si="159"/>
        <v>#VALUE!</v>
      </c>
      <c r="C1444" s="118" t="s">
        <v>612</v>
      </c>
      <c r="D1444" s="113">
        <v>40983</v>
      </c>
      <c r="E1444" s="84">
        <v>41030</v>
      </c>
      <c r="F1444" s="84">
        <f t="shared" si="160"/>
        <v>44682</v>
      </c>
      <c r="G1444" s="229">
        <v>80</v>
      </c>
      <c r="H1444" s="71" t="s">
        <v>2289</v>
      </c>
      <c r="I1444" s="71" t="s">
        <v>931</v>
      </c>
      <c r="J1444" s="248"/>
      <c r="K1444" s="55">
        <f t="shared" si="161"/>
        <v>2022</v>
      </c>
      <c r="L1444" s="249"/>
      <c r="M1444" s="249"/>
      <c r="N1444" s="73" t="s">
        <v>4751</v>
      </c>
      <c r="O1444" s="73" t="s">
        <v>4752</v>
      </c>
      <c r="P1444" s="74"/>
      <c r="Q1444" s="75" t="s">
        <v>4753</v>
      </c>
      <c r="R1444" s="230">
        <v>430</v>
      </c>
      <c r="S1444" s="230">
        <v>5040</v>
      </c>
      <c r="T1444" s="230">
        <v>5470</v>
      </c>
      <c r="U1444" s="231">
        <v>120</v>
      </c>
      <c r="V1444" s="230"/>
      <c r="W1444" s="230"/>
      <c r="X1444" s="231"/>
      <c r="Y1444" s="85"/>
      <c r="Z1444" s="101">
        <v>0.1</v>
      </c>
      <c r="AA1444" s="102">
        <v>0.09</v>
      </c>
      <c r="AB1444" s="77"/>
      <c r="AC1444" s="78"/>
    </row>
    <row r="1445" spans="1:29" x14ac:dyDescent="0.2">
      <c r="A1445" s="117" t="s">
        <v>4754</v>
      </c>
      <c r="B1445" s="118" t="e">
        <f t="shared" si="159"/>
        <v>#VALUE!</v>
      </c>
      <c r="C1445" s="118" t="s">
        <v>612</v>
      </c>
      <c r="D1445" s="113">
        <v>40983</v>
      </c>
      <c r="E1445" s="84">
        <v>41030</v>
      </c>
      <c r="F1445" s="84">
        <f t="shared" si="160"/>
        <v>44682</v>
      </c>
      <c r="G1445" s="229">
        <v>320</v>
      </c>
      <c r="H1445" s="71" t="s">
        <v>865</v>
      </c>
      <c r="I1445" s="71" t="s">
        <v>931</v>
      </c>
      <c r="J1445" s="248"/>
      <c r="K1445" s="55">
        <f t="shared" si="161"/>
        <v>2022</v>
      </c>
      <c r="L1445" s="249"/>
      <c r="M1445" s="249"/>
      <c r="N1445" s="73" t="s">
        <v>4755</v>
      </c>
      <c r="O1445" s="73" t="s">
        <v>4756</v>
      </c>
      <c r="P1445" s="74"/>
      <c r="Q1445" s="75" t="s">
        <v>4757</v>
      </c>
      <c r="R1445" s="230">
        <v>1270</v>
      </c>
      <c r="S1445" s="230">
        <v>0</v>
      </c>
      <c r="T1445" s="230">
        <v>1270</v>
      </c>
      <c r="U1445" s="231">
        <v>480</v>
      </c>
      <c r="V1445" s="230"/>
      <c r="W1445" s="230"/>
      <c r="X1445" s="231"/>
      <c r="Y1445" s="85"/>
      <c r="Z1445" s="101">
        <v>0.1</v>
      </c>
      <c r="AA1445" s="102">
        <v>0.09</v>
      </c>
      <c r="AB1445" s="77"/>
      <c r="AC1445" s="78"/>
    </row>
    <row r="1446" spans="1:29" ht="40" customHeight="1" x14ac:dyDescent="0.2">
      <c r="A1446" s="117" t="s">
        <v>4758</v>
      </c>
      <c r="B1446" s="118" t="e">
        <f t="shared" si="159"/>
        <v>#VALUE!</v>
      </c>
      <c r="C1446" s="118" t="s">
        <v>612</v>
      </c>
      <c r="D1446" s="113">
        <v>40983</v>
      </c>
      <c r="E1446" s="84">
        <v>41030</v>
      </c>
      <c r="F1446" s="84">
        <f t="shared" si="160"/>
        <v>44682</v>
      </c>
      <c r="G1446" s="229">
        <v>2393.6</v>
      </c>
      <c r="H1446" s="71" t="s">
        <v>865</v>
      </c>
      <c r="I1446" s="71" t="s">
        <v>931</v>
      </c>
      <c r="J1446" s="238" t="s">
        <v>2277</v>
      </c>
      <c r="K1446" s="55">
        <f t="shared" si="161"/>
        <v>2022</v>
      </c>
      <c r="L1446" s="239"/>
      <c r="M1446" s="239"/>
      <c r="N1446" s="73" t="s">
        <v>4722</v>
      </c>
      <c r="O1446" s="73" t="s">
        <v>4759</v>
      </c>
      <c r="P1446" s="74"/>
      <c r="Q1446" s="75" t="s">
        <v>4760</v>
      </c>
      <c r="R1446" s="230">
        <v>8529</v>
      </c>
      <c r="S1446" s="230">
        <v>79002</v>
      </c>
      <c r="T1446" s="230">
        <v>87531</v>
      </c>
      <c r="U1446" s="231">
        <v>3591</v>
      </c>
      <c r="V1446" s="230"/>
      <c r="W1446" s="230"/>
      <c r="X1446" s="231"/>
      <c r="Y1446" s="85"/>
      <c r="Z1446" s="101">
        <v>0.1</v>
      </c>
      <c r="AA1446" s="102">
        <v>0.09</v>
      </c>
      <c r="AB1446" s="77"/>
      <c r="AC1446" s="78"/>
    </row>
    <row r="1447" spans="1:29" ht="27" customHeight="1" x14ac:dyDescent="0.2">
      <c r="A1447" s="117" t="s">
        <v>4761</v>
      </c>
      <c r="B1447" s="118" t="e">
        <f t="shared" si="159"/>
        <v>#VALUE!</v>
      </c>
      <c r="C1447" s="118" t="s">
        <v>612</v>
      </c>
      <c r="D1447" s="113">
        <v>40983</v>
      </c>
      <c r="E1447" s="84">
        <v>41030</v>
      </c>
      <c r="F1447" s="84">
        <f t="shared" si="160"/>
        <v>44682</v>
      </c>
      <c r="G1447" s="229">
        <v>1442.2</v>
      </c>
      <c r="H1447" s="71" t="s">
        <v>865</v>
      </c>
      <c r="I1447" s="71" t="s">
        <v>931</v>
      </c>
      <c r="J1447" s="238" t="s">
        <v>2277</v>
      </c>
      <c r="K1447" s="55">
        <f t="shared" si="161"/>
        <v>2022</v>
      </c>
      <c r="L1447" s="239"/>
      <c r="M1447" s="239"/>
      <c r="N1447" s="73" t="s">
        <v>4722</v>
      </c>
      <c r="O1447" s="73" t="s">
        <v>4762</v>
      </c>
      <c r="P1447" s="74"/>
      <c r="Q1447" s="75" t="s">
        <v>4763</v>
      </c>
      <c r="R1447" s="230">
        <v>5200.5</v>
      </c>
      <c r="S1447" s="230">
        <v>256854</v>
      </c>
      <c r="T1447" s="230">
        <v>262054.5</v>
      </c>
      <c r="U1447" s="231">
        <v>2164.5</v>
      </c>
      <c r="V1447" s="230"/>
      <c r="W1447" s="230"/>
      <c r="X1447" s="231"/>
      <c r="Y1447" s="85"/>
      <c r="Z1447" s="101">
        <v>0.1</v>
      </c>
      <c r="AA1447" s="102">
        <v>0.09</v>
      </c>
      <c r="AB1447" s="77"/>
      <c r="AC1447" s="78"/>
    </row>
    <row r="1448" spans="1:29" x14ac:dyDescent="0.2">
      <c r="A1448" s="117" t="s">
        <v>4764</v>
      </c>
      <c r="B1448" s="118" t="e">
        <f t="shared" si="159"/>
        <v>#VALUE!</v>
      </c>
      <c r="C1448" s="118" t="s">
        <v>612</v>
      </c>
      <c r="D1448" s="113">
        <v>40983</v>
      </c>
      <c r="E1448" s="84">
        <v>41030</v>
      </c>
      <c r="F1448" s="84">
        <f t="shared" si="160"/>
        <v>44682</v>
      </c>
      <c r="G1448" s="229">
        <v>638.24</v>
      </c>
      <c r="H1448" s="71" t="s">
        <v>865</v>
      </c>
      <c r="I1448" s="71" t="s">
        <v>931</v>
      </c>
      <c r="J1448" s="238" t="s">
        <v>2277</v>
      </c>
      <c r="K1448" s="55">
        <f t="shared" si="161"/>
        <v>2022</v>
      </c>
      <c r="L1448" s="239"/>
      <c r="M1448" s="239"/>
      <c r="N1448" s="73" t="s">
        <v>4722</v>
      </c>
      <c r="O1448" s="73" t="s">
        <v>4765</v>
      </c>
      <c r="P1448" s="74"/>
      <c r="Q1448" s="75" t="s">
        <v>4766</v>
      </c>
      <c r="R1448" s="230">
        <v>2386.5</v>
      </c>
      <c r="S1448" s="230">
        <v>37062</v>
      </c>
      <c r="T1448" s="230">
        <v>39448.5</v>
      </c>
      <c r="U1448" s="231">
        <v>958.5</v>
      </c>
      <c r="V1448" s="230"/>
      <c r="W1448" s="230"/>
      <c r="X1448" s="231"/>
      <c r="Y1448" s="85"/>
      <c r="Z1448" s="101">
        <v>0.1</v>
      </c>
      <c r="AA1448" s="102">
        <v>0.09</v>
      </c>
      <c r="AB1448" s="77"/>
      <c r="AC1448" s="78"/>
    </row>
    <row r="1449" spans="1:29" ht="27" customHeight="1" x14ac:dyDescent="0.2">
      <c r="A1449" s="117" t="s">
        <v>4767</v>
      </c>
      <c r="B1449" s="118" t="e">
        <f t="shared" si="159"/>
        <v>#VALUE!</v>
      </c>
      <c r="C1449" s="118" t="s">
        <v>612</v>
      </c>
      <c r="D1449" s="113">
        <v>40983</v>
      </c>
      <c r="E1449" s="84">
        <v>41030</v>
      </c>
      <c r="F1449" s="84">
        <f t="shared" si="160"/>
        <v>44682</v>
      </c>
      <c r="G1449" s="229">
        <v>1781.2</v>
      </c>
      <c r="H1449" s="71" t="s">
        <v>865</v>
      </c>
      <c r="I1449" s="71" t="s">
        <v>931</v>
      </c>
      <c r="J1449" s="238" t="s">
        <v>2277</v>
      </c>
      <c r="K1449" s="55">
        <f t="shared" si="161"/>
        <v>2022</v>
      </c>
      <c r="L1449" s="239"/>
      <c r="M1449" s="239"/>
      <c r="N1449" s="73" t="s">
        <v>4722</v>
      </c>
      <c r="O1449" s="73" t="s">
        <v>4768</v>
      </c>
      <c r="P1449" s="74"/>
      <c r="Q1449" s="75" t="s">
        <v>4769</v>
      </c>
      <c r="R1449" s="230">
        <v>6387</v>
      </c>
      <c r="S1449" s="230">
        <v>49896</v>
      </c>
      <c r="T1449" s="230">
        <v>56283</v>
      </c>
      <c r="U1449" s="231">
        <v>2673</v>
      </c>
      <c r="V1449" s="230"/>
      <c r="W1449" s="230"/>
      <c r="X1449" s="231"/>
      <c r="Y1449" s="85"/>
      <c r="Z1449" s="101">
        <v>0.1</v>
      </c>
      <c r="AA1449" s="102">
        <v>0.09</v>
      </c>
      <c r="AB1449" s="77"/>
      <c r="AC1449" s="78"/>
    </row>
    <row r="1450" spans="1:29" x14ac:dyDescent="0.2">
      <c r="A1450" s="117" t="s">
        <v>4770</v>
      </c>
      <c r="B1450" s="118" t="e">
        <f t="shared" si="159"/>
        <v>#VALUE!</v>
      </c>
      <c r="C1450" s="118" t="s">
        <v>612</v>
      </c>
      <c r="D1450" s="113">
        <v>40983</v>
      </c>
      <c r="E1450" s="84">
        <v>41030</v>
      </c>
      <c r="F1450" s="84">
        <f t="shared" si="160"/>
        <v>44682</v>
      </c>
      <c r="G1450" s="229">
        <v>200</v>
      </c>
      <c r="H1450" s="71" t="s">
        <v>4771</v>
      </c>
      <c r="I1450" s="71" t="s">
        <v>931</v>
      </c>
      <c r="J1450" s="248"/>
      <c r="K1450" s="55">
        <f t="shared" si="161"/>
        <v>2022</v>
      </c>
      <c r="L1450" s="249"/>
      <c r="M1450" s="249"/>
      <c r="N1450" s="73" t="s">
        <v>4772</v>
      </c>
      <c r="O1450" s="73" t="s">
        <v>4773</v>
      </c>
      <c r="P1450" s="74"/>
      <c r="Q1450" s="75" t="s">
        <v>4774</v>
      </c>
      <c r="R1450" s="230">
        <v>850</v>
      </c>
      <c r="S1450" s="230">
        <v>2400</v>
      </c>
      <c r="T1450" s="230">
        <v>3250</v>
      </c>
      <c r="U1450" s="231">
        <v>300</v>
      </c>
      <c r="V1450" s="230"/>
      <c r="W1450" s="230"/>
      <c r="X1450" s="231"/>
      <c r="Y1450" s="85"/>
      <c r="Z1450" s="101">
        <v>0.1</v>
      </c>
      <c r="AA1450" s="102">
        <v>0.09</v>
      </c>
      <c r="AB1450" s="77"/>
      <c r="AC1450" s="78"/>
    </row>
    <row r="1451" spans="1:29" ht="29" x14ac:dyDescent="0.2">
      <c r="A1451" s="117" t="s">
        <v>4775</v>
      </c>
      <c r="B1451" s="118" t="e">
        <f t="shared" si="159"/>
        <v>#VALUE!</v>
      </c>
      <c r="C1451" s="118" t="s">
        <v>612</v>
      </c>
      <c r="D1451" s="113">
        <v>40983</v>
      </c>
      <c r="E1451" s="84">
        <v>41030</v>
      </c>
      <c r="F1451" s="84">
        <f t="shared" si="160"/>
        <v>44682</v>
      </c>
      <c r="G1451" s="229">
        <v>1021.03</v>
      </c>
      <c r="H1451" s="71" t="s">
        <v>4776</v>
      </c>
      <c r="I1451" s="71" t="s">
        <v>931</v>
      </c>
      <c r="J1451" s="248"/>
      <c r="K1451" s="55">
        <f t="shared" si="161"/>
        <v>2022</v>
      </c>
      <c r="L1451" s="249"/>
      <c r="M1451" s="249"/>
      <c r="N1451" s="73" t="s">
        <v>4777</v>
      </c>
      <c r="O1451" s="73" t="s">
        <v>4727</v>
      </c>
      <c r="P1451" s="74"/>
      <c r="Q1451" s="75" t="s">
        <v>4778</v>
      </c>
      <c r="R1451" s="230">
        <v>3727</v>
      </c>
      <c r="S1451" s="230">
        <v>0</v>
      </c>
      <c r="T1451" s="230">
        <v>3727</v>
      </c>
      <c r="U1451" s="231">
        <v>1533</v>
      </c>
      <c r="V1451" s="230"/>
      <c r="W1451" s="230"/>
      <c r="X1451" s="231"/>
      <c r="Y1451" s="85"/>
      <c r="Z1451" s="101">
        <v>0.1</v>
      </c>
      <c r="AA1451" s="102">
        <v>0.09</v>
      </c>
      <c r="AB1451" s="77"/>
      <c r="AC1451" s="78"/>
    </row>
    <row r="1452" spans="1:29" x14ac:dyDescent="0.2">
      <c r="A1452" s="117" t="s">
        <v>4779</v>
      </c>
      <c r="B1452" s="118" t="e">
        <f t="shared" si="159"/>
        <v>#VALUE!</v>
      </c>
      <c r="C1452" s="118" t="s">
        <v>612</v>
      </c>
      <c r="D1452" s="113">
        <v>40983</v>
      </c>
      <c r="E1452" s="84">
        <v>41030</v>
      </c>
      <c r="F1452" s="84">
        <f t="shared" si="160"/>
        <v>44682</v>
      </c>
      <c r="G1452" s="229">
        <v>156.52000000000001</v>
      </c>
      <c r="H1452" s="71" t="s">
        <v>1086</v>
      </c>
      <c r="I1452" s="71" t="s">
        <v>691</v>
      </c>
      <c r="J1452" s="248"/>
      <c r="K1452" s="55">
        <f t="shared" si="161"/>
        <v>2022</v>
      </c>
      <c r="L1452" s="249"/>
      <c r="M1452" s="249"/>
      <c r="N1452" s="73" t="s">
        <v>4780</v>
      </c>
      <c r="O1452" s="73" t="s">
        <v>4781</v>
      </c>
      <c r="P1452" s="74"/>
      <c r="Q1452" s="75" t="s">
        <v>4782</v>
      </c>
      <c r="R1452" s="230">
        <v>699.5</v>
      </c>
      <c r="S1452" s="230">
        <v>0</v>
      </c>
      <c r="T1452" s="230">
        <v>699.5</v>
      </c>
      <c r="U1452" s="231">
        <v>235.5</v>
      </c>
      <c r="V1452" s="230"/>
      <c r="W1452" s="230"/>
      <c r="X1452" s="231"/>
      <c r="Y1452" s="85"/>
      <c r="Z1452" s="101">
        <v>0.1</v>
      </c>
      <c r="AA1452" s="102">
        <v>0.09</v>
      </c>
      <c r="AB1452" s="77"/>
      <c r="AC1452" s="78"/>
    </row>
    <row r="1453" spans="1:29" ht="27" customHeight="1" x14ac:dyDescent="0.2">
      <c r="A1453" s="117" t="s">
        <v>4783</v>
      </c>
      <c r="B1453" s="118" t="e">
        <f t="shared" si="159"/>
        <v>#VALUE!</v>
      </c>
      <c r="C1453" s="118" t="s">
        <v>612</v>
      </c>
      <c r="D1453" s="113">
        <v>40983</v>
      </c>
      <c r="E1453" s="84">
        <v>41030</v>
      </c>
      <c r="F1453" s="84">
        <f t="shared" si="160"/>
        <v>44682</v>
      </c>
      <c r="G1453" s="229">
        <v>1479.5</v>
      </c>
      <c r="H1453" s="71" t="s">
        <v>1086</v>
      </c>
      <c r="I1453" s="71" t="s">
        <v>691</v>
      </c>
      <c r="J1453" s="238" t="s">
        <v>1750</v>
      </c>
      <c r="K1453" s="55">
        <f t="shared" si="161"/>
        <v>2022</v>
      </c>
      <c r="L1453" s="239"/>
      <c r="M1453" s="239"/>
      <c r="N1453" s="73" t="s">
        <v>4780</v>
      </c>
      <c r="O1453" s="73" t="s">
        <v>4727</v>
      </c>
      <c r="P1453" s="74"/>
      <c r="Q1453" s="75" t="s">
        <v>4784</v>
      </c>
      <c r="R1453" s="230">
        <v>5330</v>
      </c>
      <c r="S1453" s="230">
        <v>219040</v>
      </c>
      <c r="T1453" s="230">
        <v>224370</v>
      </c>
      <c r="U1453" s="231">
        <v>2220</v>
      </c>
      <c r="V1453" s="230"/>
      <c r="W1453" s="230"/>
      <c r="X1453" s="231"/>
      <c r="Y1453" s="85"/>
      <c r="Z1453" s="101">
        <v>0.1</v>
      </c>
      <c r="AA1453" s="102">
        <v>0.09</v>
      </c>
      <c r="AB1453" s="77"/>
      <c r="AC1453" s="78"/>
    </row>
    <row r="1454" spans="1:29" ht="27" customHeight="1" x14ac:dyDescent="0.2">
      <c r="A1454" s="117" t="s">
        <v>4785</v>
      </c>
      <c r="B1454" s="118" t="e">
        <f t="shared" si="159"/>
        <v>#VALUE!</v>
      </c>
      <c r="C1454" s="118" t="s">
        <v>612</v>
      </c>
      <c r="D1454" s="113">
        <v>40983</v>
      </c>
      <c r="E1454" s="84">
        <v>41030</v>
      </c>
      <c r="F1454" s="84">
        <f t="shared" si="160"/>
        <v>44682</v>
      </c>
      <c r="G1454" s="229">
        <v>337.31</v>
      </c>
      <c r="H1454" s="71" t="s">
        <v>1086</v>
      </c>
      <c r="I1454" s="71" t="s">
        <v>691</v>
      </c>
      <c r="J1454" s="248"/>
      <c r="K1454" s="55">
        <f t="shared" si="161"/>
        <v>2022</v>
      </c>
      <c r="L1454" s="249"/>
      <c r="M1454" s="249"/>
      <c r="N1454" s="73" t="s">
        <v>4780</v>
      </c>
      <c r="O1454" s="73" t="s">
        <v>4786</v>
      </c>
      <c r="P1454" s="74"/>
      <c r="Q1454" s="75" t="s">
        <v>4787</v>
      </c>
      <c r="R1454" s="230">
        <v>1333</v>
      </c>
      <c r="S1454" s="230">
        <v>0</v>
      </c>
      <c r="T1454" s="230">
        <v>1333</v>
      </c>
      <c r="U1454" s="231">
        <v>507</v>
      </c>
      <c r="V1454" s="230"/>
      <c r="W1454" s="230"/>
      <c r="X1454" s="231"/>
      <c r="Y1454" s="85"/>
      <c r="Z1454" s="101">
        <v>0.1</v>
      </c>
      <c r="AA1454" s="102">
        <v>0.09</v>
      </c>
      <c r="AB1454" s="77"/>
      <c r="AC1454" s="78"/>
    </row>
    <row r="1455" spans="1:29" ht="66" customHeight="1" x14ac:dyDescent="0.2">
      <c r="A1455" s="117" t="s">
        <v>4788</v>
      </c>
      <c r="B1455" s="118" t="e">
        <f t="shared" si="159"/>
        <v>#VALUE!</v>
      </c>
      <c r="C1455" s="118" t="s">
        <v>612</v>
      </c>
      <c r="D1455" s="113">
        <v>40983</v>
      </c>
      <c r="E1455" s="84">
        <v>41030</v>
      </c>
      <c r="F1455" s="84">
        <f t="shared" si="160"/>
        <v>44682</v>
      </c>
      <c r="G1455" s="229">
        <v>1084.79</v>
      </c>
      <c r="H1455" s="71" t="s">
        <v>1086</v>
      </c>
      <c r="I1455" s="71" t="s">
        <v>691</v>
      </c>
      <c r="J1455" s="238" t="s">
        <v>1750</v>
      </c>
      <c r="K1455" s="55">
        <f t="shared" si="161"/>
        <v>2022</v>
      </c>
      <c r="L1455" s="239"/>
      <c r="M1455" s="239"/>
      <c r="N1455" s="73" t="s">
        <v>4780</v>
      </c>
      <c r="O1455" s="73" t="s">
        <v>4789</v>
      </c>
      <c r="P1455" s="74"/>
      <c r="Q1455" s="75" t="s">
        <v>4790</v>
      </c>
      <c r="R1455" s="230">
        <v>3947.5</v>
      </c>
      <c r="S1455" s="230">
        <v>0</v>
      </c>
      <c r="T1455" s="230">
        <v>3947.5</v>
      </c>
      <c r="U1455" s="231">
        <v>1627.5</v>
      </c>
      <c r="V1455" s="230"/>
      <c r="W1455" s="230"/>
      <c r="X1455" s="231"/>
      <c r="Y1455" s="85"/>
      <c r="Z1455" s="101">
        <v>0.1</v>
      </c>
      <c r="AA1455" s="102">
        <v>0.09</v>
      </c>
      <c r="AB1455" s="77"/>
      <c r="AC1455" s="78"/>
    </row>
    <row r="1456" spans="1:29" ht="27" customHeight="1" x14ac:dyDescent="0.2">
      <c r="A1456" s="117" t="s">
        <v>4791</v>
      </c>
      <c r="B1456" s="118" t="e">
        <f t="shared" si="159"/>
        <v>#VALUE!</v>
      </c>
      <c r="C1456" s="118" t="s">
        <v>612</v>
      </c>
      <c r="D1456" s="113">
        <v>40983</v>
      </c>
      <c r="E1456" s="84">
        <v>41030</v>
      </c>
      <c r="F1456" s="84">
        <f t="shared" si="160"/>
        <v>44682</v>
      </c>
      <c r="G1456" s="229">
        <v>1478.63</v>
      </c>
      <c r="H1456" s="71" t="s">
        <v>1086</v>
      </c>
      <c r="I1456" s="71" t="s">
        <v>691</v>
      </c>
      <c r="J1456" s="238" t="s">
        <v>1750</v>
      </c>
      <c r="K1456" s="55">
        <f t="shared" si="161"/>
        <v>2022</v>
      </c>
      <c r="L1456" s="239"/>
      <c r="M1456" s="239"/>
      <c r="N1456" s="73" t="s">
        <v>4780</v>
      </c>
      <c r="O1456" s="73" t="s">
        <v>4631</v>
      </c>
      <c r="P1456" s="74"/>
      <c r="Q1456" s="75" t="s">
        <v>4792</v>
      </c>
      <c r="R1456" s="230">
        <v>5326.5</v>
      </c>
      <c r="S1456" s="230">
        <v>2958</v>
      </c>
      <c r="T1456" s="230">
        <v>8284.5</v>
      </c>
      <c r="U1456" s="231">
        <v>2218.5</v>
      </c>
      <c r="V1456" s="230"/>
      <c r="W1456" s="230"/>
      <c r="X1456" s="231"/>
      <c r="Y1456" s="85"/>
      <c r="Z1456" s="101">
        <v>0.1</v>
      </c>
      <c r="AA1456" s="102">
        <v>0.09</v>
      </c>
      <c r="AB1456" s="77"/>
      <c r="AC1456" s="78"/>
    </row>
    <row r="1457" spans="1:29" ht="40" customHeight="1" x14ac:dyDescent="0.2">
      <c r="A1457" s="117" t="s">
        <v>4793</v>
      </c>
      <c r="B1457" s="118" t="e">
        <f t="shared" si="159"/>
        <v>#VALUE!</v>
      </c>
      <c r="C1457" s="118" t="s">
        <v>612</v>
      </c>
      <c r="D1457" s="113">
        <v>40983</v>
      </c>
      <c r="E1457" s="84">
        <v>41030</v>
      </c>
      <c r="F1457" s="84">
        <f t="shared" si="160"/>
        <v>44682</v>
      </c>
      <c r="G1457" s="229">
        <v>1669.63</v>
      </c>
      <c r="H1457" s="71" t="s">
        <v>703</v>
      </c>
      <c r="I1457" s="71" t="s">
        <v>691</v>
      </c>
      <c r="J1457" s="248"/>
      <c r="K1457" s="55">
        <f t="shared" si="161"/>
        <v>2022</v>
      </c>
      <c r="L1457" s="249"/>
      <c r="M1457" s="249"/>
      <c r="N1457" s="73" t="s">
        <v>4794</v>
      </c>
      <c r="O1457" s="73" t="s">
        <v>4795</v>
      </c>
      <c r="P1457" s="74"/>
      <c r="Q1457" s="75" t="s">
        <v>4796</v>
      </c>
      <c r="R1457" s="230">
        <v>5995</v>
      </c>
      <c r="S1457" s="230">
        <v>20040</v>
      </c>
      <c r="T1457" s="230">
        <v>26035</v>
      </c>
      <c r="U1457" s="231">
        <v>2505</v>
      </c>
      <c r="V1457" s="230"/>
      <c r="W1457" s="230"/>
      <c r="X1457" s="231"/>
      <c r="Y1457" s="85"/>
      <c r="Z1457" s="101">
        <v>0.1</v>
      </c>
      <c r="AA1457" s="102">
        <v>0.09</v>
      </c>
      <c r="AB1457" s="77"/>
      <c r="AC1457" s="78"/>
    </row>
    <row r="1458" spans="1:29" ht="27" customHeight="1" x14ac:dyDescent="0.2">
      <c r="A1458" s="117" t="s">
        <v>4797</v>
      </c>
      <c r="B1458" s="118" t="e">
        <f t="shared" si="159"/>
        <v>#VALUE!</v>
      </c>
      <c r="C1458" s="118" t="s">
        <v>612</v>
      </c>
      <c r="D1458" s="113">
        <v>40983</v>
      </c>
      <c r="E1458" s="84">
        <v>41030</v>
      </c>
      <c r="F1458" s="84">
        <f t="shared" si="160"/>
        <v>44682</v>
      </c>
      <c r="G1458" s="229">
        <v>1884.59</v>
      </c>
      <c r="H1458" s="71" t="s">
        <v>1086</v>
      </c>
      <c r="I1458" s="71" t="s">
        <v>691</v>
      </c>
      <c r="J1458" s="238" t="s">
        <v>1750</v>
      </c>
      <c r="K1458" s="55">
        <f t="shared" si="161"/>
        <v>2022</v>
      </c>
      <c r="L1458" s="239"/>
      <c r="M1458" s="239"/>
      <c r="N1458" s="73" t="s">
        <v>4780</v>
      </c>
      <c r="O1458" s="73" t="s">
        <v>4798</v>
      </c>
      <c r="P1458" s="74"/>
      <c r="Q1458" s="75" t="s">
        <v>4799</v>
      </c>
      <c r="R1458" s="230">
        <v>6747.5</v>
      </c>
      <c r="S1458" s="230">
        <v>26390</v>
      </c>
      <c r="T1458" s="230">
        <v>33137.5</v>
      </c>
      <c r="U1458" s="231">
        <v>2827.5</v>
      </c>
      <c r="V1458" s="230"/>
      <c r="W1458" s="230"/>
      <c r="X1458" s="231"/>
      <c r="Y1458" s="85"/>
      <c r="Z1458" s="101">
        <v>0.1</v>
      </c>
      <c r="AA1458" s="102">
        <v>0.09</v>
      </c>
      <c r="AB1458" s="77"/>
      <c r="AC1458" s="78"/>
    </row>
    <row r="1459" spans="1:29" x14ac:dyDescent="0.2">
      <c r="A1459" s="117" t="s">
        <v>4800</v>
      </c>
      <c r="B1459" s="118" t="e">
        <f t="shared" si="159"/>
        <v>#VALUE!</v>
      </c>
      <c r="C1459" s="118" t="s">
        <v>612</v>
      </c>
      <c r="D1459" s="113">
        <v>40983</v>
      </c>
      <c r="E1459" s="84">
        <v>41030</v>
      </c>
      <c r="F1459" s="84">
        <f t="shared" si="160"/>
        <v>44682</v>
      </c>
      <c r="G1459" s="229">
        <v>200.31</v>
      </c>
      <c r="H1459" s="71" t="s">
        <v>703</v>
      </c>
      <c r="I1459" s="71" t="s">
        <v>691</v>
      </c>
      <c r="J1459" s="248"/>
      <c r="K1459" s="55">
        <f t="shared" si="161"/>
        <v>2022</v>
      </c>
      <c r="L1459" s="249"/>
      <c r="M1459" s="249"/>
      <c r="N1459" s="73" t="s">
        <v>4794</v>
      </c>
      <c r="O1459" s="73" t="s">
        <v>4801</v>
      </c>
      <c r="P1459" s="74"/>
      <c r="Q1459" s="75" t="s">
        <v>4802</v>
      </c>
      <c r="R1459" s="230">
        <v>853.5</v>
      </c>
      <c r="S1459" s="230">
        <v>0</v>
      </c>
      <c r="T1459" s="230">
        <v>853.5</v>
      </c>
      <c r="U1459" s="231">
        <v>301.5</v>
      </c>
      <c r="V1459" s="230"/>
      <c r="W1459" s="230"/>
      <c r="X1459" s="231"/>
      <c r="Y1459" s="85"/>
      <c r="Z1459" s="101">
        <v>0.1</v>
      </c>
      <c r="AA1459" s="102">
        <v>0.09</v>
      </c>
      <c r="AB1459" s="77"/>
      <c r="AC1459" s="78"/>
    </row>
    <row r="1460" spans="1:29" ht="29" x14ac:dyDescent="0.2">
      <c r="A1460" s="117" t="s">
        <v>4803</v>
      </c>
      <c r="B1460" s="118" t="e">
        <f t="shared" si="159"/>
        <v>#VALUE!</v>
      </c>
      <c r="C1460" s="118" t="s">
        <v>612</v>
      </c>
      <c r="D1460" s="113">
        <v>40983</v>
      </c>
      <c r="E1460" s="84">
        <v>41030</v>
      </c>
      <c r="F1460" s="84">
        <f t="shared" si="160"/>
        <v>44682</v>
      </c>
      <c r="G1460" s="229">
        <v>1803.88</v>
      </c>
      <c r="H1460" s="71" t="s">
        <v>703</v>
      </c>
      <c r="I1460" s="71" t="s">
        <v>691</v>
      </c>
      <c r="J1460" s="248"/>
      <c r="K1460" s="55">
        <f t="shared" si="161"/>
        <v>2022</v>
      </c>
      <c r="L1460" s="249"/>
      <c r="M1460" s="249"/>
      <c r="N1460" s="73" t="s">
        <v>4794</v>
      </c>
      <c r="O1460" s="73" t="s">
        <v>4804</v>
      </c>
      <c r="P1460" s="74"/>
      <c r="Q1460" s="75" t="s">
        <v>4805</v>
      </c>
      <c r="R1460" s="230">
        <v>6464</v>
      </c>
      <c r="S1460" s="230">
        <v>46904</v>
      </c>
      <c r="T1460" s="230">
        <v>53368</v>
      </c>
      <c r="U1460" s="231">
        <v>2706</v>
      </c>
      <c r="V1460" s="230"/>
      <c r="W1460" s="230"/>
      <c r="X1460" s="231"/>
      <c r="Y1460" s="85"/>
      <c r="Z1460" s="101">
        <v>0.1</v>
      </c>
      <c r="AA1460" s="102">
        <v>0.09</v>
      </c>
      <c r="AB1460" s="77"/>
      <c r="AC1460" s="78"/>
    </row>
    <row r="1461" spans="1:29" x14ac:dyDescent="0.2">
      <c r="A1461" s="117" t="s">
        <v>4806</v>
      </c>
      <c r="B1461" s="118" t="e">
        <f t="shared" si="159"/>
        <v>#VALUE!</v>
      </c>
      <c r="C1461" s="118" t="s">
        <v>612</v>
      </c>
      <c r="D1461" s="113">
        <v>40983</v>
      </c>
      <c r="E1461" s="84">
        <v>41030</v>
      </c>
      <c r="F1461" s="84">
        <f t="shared" si="160"/>
        <v>44682</v>
      </c>
      <c r="G1461" s="229">
        <v>1833.65</v>
      </c>
      <c r="H1461" s="71" t="s">
        <v>703</v>
      </c>
      <c r="I1461" s="71" t="s">
        <v>691</v>
      </c>
      <c r="J1461" s="248"/>
      <c r="K1461" s="55">
        <f t="shared" si="161"/>
        <v>2022</v>
      </c>
      <c r="L1461" s="249"/>
      <c r="M1461" s="249"/>
      <c r="N1461" s="73" t="s">
        <v>4794</v>
      </c>
      <c r="O1461" s="73" t="s">
        <v>4807</v>
      </c>
      <c r="P1461" s="74"/>
      <c r="Q1461" s="75" t="s">
        <v>4808</v>
      </c>
      <c r="R1461" s="230">
        <v>6569</v>
      </c>
      <c r="S1461" s="230">
        <v>0</v>
      </c>
      <c r="T1461" s="230">
        <v>6569</v>
      </c>
      <c r="U1461" s="231">
        <v>2751</v>
      </c>
      <c r="V1461" s="230"/>
      <c r="W1461" s="230"/>
      <c r="X1461" s="231"/>
      <c r="Y1461" s="85"/>
      <c r="Z1461" s="101">
        <v>0.1</v>
      </c>
      <c r="AA1461" s="102">
        <v>0.09</v>
      </c>
      <c r="AB1461" s="77"/>
      <c r="AC1461" s="78"/>
    </row>
    <row r="1462" spans="1:29" ht="27" customHeight="1" x14ac:dyDescent="0.2">
      <c r="A1462" s="117" t="s">
        <v>4809</v>
      </c>
      <c r="B1462" s="118" t="e">
        <f t="shared" si="159"/>
        <v>#VALUE!</v>
      </c>
      <c r="C1462" s="118" t="s">
        <v>612</v>
      </c>
      <c r="D1462" s="113">
        <v>40983</v>
      </c>
      <c r="E1462" s="84">
        <v>41030</v>
      </c>
      <c r="F1462" s="84">
        <f t="shared" si="160"/>
        <v>44682</v>
      </c>
      <c r="G1462" s="229">
        <v>1829.75</v>
      </c>
      <c r="H1462" s="71" t="s">
        <v>1086</v>
      </c>
      <c r="I1462" s="71" t="s">
        <v>691</v>
      </c>
      <c r="J1462" s="238" t="s">
        <v>1750</v>
      </c>
      <c r="K1462" s="55">
        <f t="shared" si="161"/>
        <v>2022</v>
      </c>
      <c r="L1462" s="239"/>
      <c r="M1462" s="239"/>
      <c r="N1462" s="73" t="s">
        <v>4780</v>
      </c>
      <c r="O1462" s="73" t="s">
        <v>4727</v>
      </c>
      <c r="P1462" s="74"/>
      <c r="Q1462" s="75" t="s">
        <v>4810</v>
      </c>
      <c r="R1462" s="230">
        <v>6555</v>
      </c>
      <c r="S1462" s="230">
        <v>25620</v>
      </c>
      <c r="T1462" s="230">
        <v>32175</v>
      </c>
      <c r="U1462" s="231">
        <v>2745</v>
      </c>
      <c r="V1462" s="230"/>
      <c r="W1462" s="230"/>
      <c r="X1462" s="231"/>
      <c r="Y1462" s="85"/>
      <c r="Z1462" s="101">
        <v>0.1</v>
      </c>
      <c r="AA1462" s="102">
        <v>0.09</v>
      </c>
      <c r="AB1462" s="77"/>
      <c r="AC1462" s="78"/>
    </row>
    <row r="1463" spans="1:29" x14ac:dyDescent="0.2">
      <c r="A1463" s="117" t="s">
        <v>4811</v>
      </c>
      <c r="B1463" s="118" t="e">
        <f t="shared" si="159"/>
        <v>#VALUE!</v>
      </c>
      <c r="C1463" s="118" t="s">
        <v>612</v>
      </c>
      <c r="D1463" s="113">
        <v>40983</v>
      </c>
      <c r="E1463" s="84">
        <v>41030</v>
      </c>
      <c r="F1463" s="84">
        <f t="shared" si="160"/>
        <v>44682</v>
      </c>
      <c r="G1463" s="229">
        <v>80</v>
      </c>
      <c r="H1463" s="71" t="s">
        <v>1086</v>
      </c>
      <c r="I1463" s="71" t="s">
        <v>691</v>
      </c>
      <c r="J1463" s="248"/>
      <c r="K1463" s="55">
        <f t="shared" si="161"/>
        <v>2022</v>
      </c>
      <c r="L1463" s="249"/>
      <c r="M1463" s="249"/>
      <c r="N1463" s="73" t="s">
        <v>4812</v>
      </c>
      <c r="O1463" s="73" t="s">
        <v>4813</v>
      </c>
      <c r="P1463" s="74"/>
      <c r="Q1463" s="75" t="s">
        <v>4814</v>
      </c>
      <c r="R1463" s="230">
        <v>430</v>
      </c>
      <c r="S1463" s="230">
        <v>49840</v>
      </c>
      <c r="T1463" s="230">
        <v>50270</v>
      </c>
      <c r="U1463" s="231">
        <v>120</v>
      </c>
      <c r="V1463" s="230"/>
      <c r="W1463" s="230"/>
      <c r="X1463" s="231"/>
      <c r="Y1463" s="85"/>
      <c r="Z1463" s="101">
        <v>0.1</v>
      </c>
      <c r="AA1463" s="102">
        <v>0.09</v>
      </c>
      <c r="AB1463" s="77"/>
      <c r="AC1463" s="78"/>
    </row>
    <row r="1464" spans="1:29" ht="27" customHeight="1" x14ac:dyDescent="0.2">
      <c r="A1464" s="117" t="s">
        <v>4815</v>
      </c>
      <c r="B1464" s="118" t="e">
        <f t="shared" si="159"/>
        <v>#VALUE!</v>
      </c>
      <c r="C1464" s="118" t="s">
        <v>612</v>
      </c>
      <c r="D1464" s="113">
        <v>40983</v>
      </c>
      <c r="E1464" s="84">
        <v>41030</v>
      </c>
      <c r="F1464" s="84">
        <f t="shared" si="160"/>
        <v>44682</v>
      </c>
      <c r="G1464" s="229">
        <v>2107.7800000000002</v>
      </c>
      <c r="H1464" s="71" t="s">
        <v>703</v>
      </c>
      <c r="I1464" s="71" t="s">
        <v>691</v>
      </c>
      <c r="J1464" s="248"/>
      <c r="K1464" s="55">
        <f t="shared" si="161"/>
        <v>2022</v>
      </c>
      <c r="L1464" s="249"/>
      <c r="M1464" s="249"/>
      <c r="N1464" s="73" t="s">
        <v>4794</v>
      </c>
      <c r="O1464" s="73" t="s">
        <v>4816</v>
      </c>
      <c r="P1464" s="74"/>
      <c r="Q1464" s="75" t="s">
        <v>4817</v>
      </c>
      <c r="R1464" s="230">
        <v>7528</v>
      </c>
      <c r="S1464" s="230">
        <v>0</v>
      </c>
      <c r="T1464" s="230">
        <v>7528</v>
      </c>
      <c r="U1464" s="231">
        <v>3162</v>
      </c>
      <c r="V1464" s="230"/>
      <c r="W1464" s="230"/>
      <c r="X1464" s="231"/>
      <c r="Y1464" s="85"/>
      <c r="Z1464" s="101">
        <v>0.1</v>
      </c>
      <c r="AA1464" s="102">
        <v>0.09</v>
      </c>
      <c r="AB1464" s="77"/>
      <c r="AC1464" s="78"/>
    </row>
    <row r="1465" spans="1:29" ht="27" customHeight="1" x14ac:dyDescent="0.2">
      <c r="A1465" s="117" t="s">
        <v>4818</v>
      </c>
      <c r="B1465" s="118" t="e">
        <f t="shared" si="159"/>
        <v>#VALUE!</v>
      </c>
      <c r="C1465" s="118" t="s">
        <v>612</v>
      </c>
      <c r="D1465" s="113">
        <v>40983</v>
      </c>
      <c r="E1465" s="84">
        <v>41030</v>
      </c>
      <c r="F1465" s="84">
        <f t="shared" si="160"/>
        <v>44682</v>
      </c>
      <c r="G1465" s="229">
        <v>1925.7</v>
      </c>
      <c r="H1465" s="71" t="s">
        <v>703</v>
      </c>
      <c r="I1465" s="71" t="s">
        <v>691</v>
      </c>
      <c r="J1465" s="248"/>
      <c r="K1465" s="55">
        <f t="shared" si="161"/>
        <v>2022</v>
      </c>
      <c r="L1465" s="249"/>
      <c r="M1465" s="249"/>
      <c r="N1465" s="73" t="s">
        <v>4794</v>
      </c>
      <c r="O1465" s="73" t="s">
        <v>4819</v>
      </c>
      <c r="P1465" s="74"/>
      <c r="Q1465" s="75" t="s">
        <v>4820</v>
      </c>
      <c r="R1465" s="230">
        <v>6891</v>
      </c>
      <c r="S1465" s="230">
        <v>11556</v>
      </c>
      <c r="T1465" s="230">
        <v>18447</v>
      </c>
      <c r="U1465" s="231">
        <v>2889</v>
      </c>
      <c r="V1465" s="230"/>
      <c r="W1465" s="230"/>
      <c r="X1465" s="231"/>
      <c r="Y1465" s="85"/>
      <c r="Z1465" s="101">
        <v>0.1</v>
      </c>
      <c r="AA1465" s="102">
        <v>0.09</v>
      </c>
      <c r="AB1465" s="77"/>
      <c r="AC1465" s="78"/>
    </row>
    <row r="1466" spans="1:29" x14ac:dyDescent="0.2">
      <c r="A1466" s="117" t="s">
        <v>4821</v>
      </c>
      <c r="B1466" s="118" t="e">
        <f t="shared" si="159"/>
        <v>#VALUE!</v>
      </c>
      <c r="C1466" s="118" t="s">
        <v>612</v>
      </c>
      <c r="D1466" s="113">
        <v>40983</v>
      </c>
      <c r="E1466" s="84">
        <v>41030</v>
      </c>
      <c r="F1466" s="84">
        <f t="shared" si="160"/>
        <v>44682</v>
      </c>
      <c r="G1466" s="229">
        <v>39.81</v>
      </c>
      <c r="H1466" s="71" t="s">
        <v>703</v>
      </c>
      <c r="I1466" s="71" t="s">
        <v>691</v>
      </c>
      <c r="J1466" s="248"/>
      <c r="K1466" s="55">
        <f t="shared" si="161"/>
        <v>2022</v>
      </c>
      <c r="L1466" s="249"/>
      <c r="M1466" s="249"/>
      <c r="N1466" s="73" t="s">
        <v>4794</v>
      </c>
      <c r="O1466" s="73" t="s">
        <v>4822</v>
      </c>
      <c r="P1466" s="74"/>
      <c r="Q1466" s="75" t="s">
        <v>4823</v>
      </c>
      <c r="R1466" s="230">
        <v>290</v>
      </c>
      <c r="S1466" s="230">
        <v>0</v>
      </c>
      <c r="T1466" s="230">
        <v>290</v>
      </c>
      <c r="U1466" s="231">
        <v>60</v>
      </c>
      <c r="V1466" s="230"/>
      <c r="W1466" s="230"/>
      <c r="X1466" s="231"/>
      <c r="Y1466" s="85"/>
      <c r="Z1466" s="101">
        <v>0.1</v>
      </c>
      <c r="AA1466" s="102">
        <v>0.09</v>
      </c>
      <c r="AB1466" s="77"/>
      <c r="AC1466" s="78"/>
    </row>
    <row r="1467" spans="1:29" ht="79" customHeight="1" x14ac:dyDescent="0.2">
      <c r="A1467" s="117" t="s">
        <v>4824</v>
      </c>
      <c r="B1467" s="118" t="e">
        <f t="shared" si="159"/>
        <v>#VALUE!</v>
      </c>
      <c r="C1467" s="118" t="s">
        <v>612</v>
      </c>
      <c r="D1467" s="113">
        <v>40983</v>
      </c>
      <c r="E1467" s="84">
        <v>41030</v>
      </c>
      <c r="F1467" s="84">
        <f t="shared" si="160"/>
        <v>44682</v>
      </c>
      <c r="G1467" s="229">
        <v>40</v>
      </c>
      <c r="H1467" s="71" t="s">
        <v>1323</v>
      </c>
      <c r="I1467" s="71" t="s">
        <v>691</v>
      </c>
      <c r="J1467" s="248"/>
      <c r="K1467" s="55">
        <f t="shared" si="161"/>
        <v>2022</v>
      </c>
      <c r="L1467" s="249"/>
      <c r="M1467" s="249"/>
      <c r="N1467" s="73" t="s">
        <v>4825</v>
      </c>
      <c r="O1467" s="73" t="s">
        <v>4826</v>
      </c>
      <c r="P1467" s="74"/>
      <c r="Q1467" s="75" t="s">
        <v>4827</v>
      </c>
      <c r="R1467" s="230">
        <v>290</v>
      </c>
      <c r="S1467" s="230">
        <v>0</v>
      </c>
      <c r="T1467" s="230">
        <v>290</v>
      </c>
      <c r="U1467" s="231">
        <v>60</v>
      </c>
      <c r="V1467" s="230"/>
      <c r="W1467" s="230"/>
      <c r="X1467" s="231"/>
      <c r="Y1467" s="85"/>
      <c r="Z1467" s="101">
        <v>0.1</v>
      </c>
      <c r="AA1467" s="102">
        <v>0.09</v>
      </c>
      <c r="AB1467" s="77"/>
      <c r="AC1467" s="78"/>
    </row>
    <row r="1468" spans="1:29" ht="105" customHeight="1" x14ac:dyDescent="0.2">
      <c r="A1468" s="117" t="s">
        <v>4828</v>
      </c>
      <c r="B1468" s="118" t="e">
        <f t="shared" ref="B1468:B1491" si="162">IF(COUNTIF(GIS,A1468),"YES","NO")</f>
        <v>#VALUE!</v>
      </c>
      <c r="C1468" s="118" t="s">
        <v>612</v>
      </c>
      <c r="D1468" s="113">
        <v>40983</v>
      </c>
      <c r="E1468" s="84">
        <v>41030</v>
      </c>
      <c r="F1468" s="84">
        <f t="shared" ref="F1468:F1491" si="163">DATE(YEAR(E1468)+10,MONTH(E1468),DAY(E1468))</f>
        <v>44682</v>
      </c>
      <c r="G1468" s="229">
        <v>1998.92</v>
      </c>
      <c r="H1468" s="71" t="s">
        <v>703</v>
      </c>
      <c r="I1468" s="71" t="s">
        <v>691</v>
      </c>
      <c r="J1468" s="248"/>
      <c r="K1468" s="55">
        <f t="shared" ref="K1468:K1491" si="164">YEAR(F1468)</f>
        <v>2022</v>
      </c>
      <c r="L1468" s="249"/>
      <c r="M1468" s="249"/>
      <c r="N1468" s="73" t="s">
        <v>4794</v>
      </c>
      <c r="O1468" s="73" t="s">
        <v>4829</v>
      </c>
      <c r="P1468" s="74"/>
      <c r="Q1468" s="75" t="s">
        <v>4830</v>
      </c>
      <c r="R1468" s="230">
        <v>7146.5</v>
      </c>
      <c r="S1468" s="230">
        <v>11994</v>
      </c>
      <c r="T1468" s="230">
        <v>19140.5</v>
      </c>
      <c r="U1468" s="231">
        <v>2998.5</v>
      </c>
      <c r="V1468" s="230"/>
      <c r="W1468" s="230"/>
      <c r="X1468" s="231"/>
      <c r="Y1468" s="85"/>
      <c r="Z1468" s="101">
        <v>0.1</v>
      </c>
      <c r="AA1468" s="102">
        <v>0.09</v>
      </c>
      <c r="AB1468" s="77"/>
      <c r="AC1468" s="78"/>
    </row>
    <row r="1469" spans="1:29" ht="66" customHeight="1" x14ac:dyDescent="0.2">
      <c r="A1469" s="117" t="s">
        <v>4831</v>
      </c>
      <c r="B1469" s="118" t="e">
        <f t="shared" si="162"/>
        <v>#VALUE!</v>
      </c>
      <c r="C1469" s="118" t="s">
        <v>612</v>
      </c>
      <c r="D1469" s="113">
        <v>40983</v>
      </c>
      <c r="E1469" s="84">
        <v>41030</v>
      </c>
      <c r="F1469" s="84">
        <f t="shared" si="163"/>
        <v>44682</v>
      </c>
      <c r="G1469" s="229">
        <v>151.75</v>
      </c>
      <c r="H1469" s="71" t="s">
        <v>906</v>
      </c>
      <c r="I1469" s="71" t="s">
        <v>691</v>
      </c>
      <c r="J1469" s="248"/>
      <c r="K1469" s="55">
        <f t="shared" si="164"/>
        <v>2022</v>
      </c>
      <c r="L1469" s="249"/>
      <c r="M1469" s="249"/>
      <c r="N1469" s="73" t="s">
        <v>4832</v>
      </c>
      <c r="O1469" s="73" t="s">
        <v>4833</v>
      </c>
      <c r="P1469" s="74"/>
      <c r="Q1469" s="75" t="s">
        <v>4834</v>
      </c>
      <c r="R1469" s="230">
        <v>682</v>
      </c>
      <c r="S1469" s="230">
        <v>17176</v>
      </c>
      <c r="T1469" s="230">
        <v>17858</v>
      </c>
      <c r="U1469" s="231">
        <v>228</v>
      </c>
      <c r="V1469" s="230"/>
      <c r="W1469" s="230"/>
      <c r="X1469" s="231"/>
      <c r="Y1469" s="85"/>
      <c r="Z1469" s="101">
        <v>0.1</v>
      </c>
      <c r="AA1469" s="102">
        <v>0.09</v>
      </c>
      <c r="AB1469" s="77"/>
      <c r="AC1469" s="78"/>
    </row>
    <row r="1470" spans="1:29" x14ac:dyDescent="0.2">
      <c r="A1470" s="117" t="s">
        <v>4835</v>
      </c>
      <c r="B1470" s="118" t="e">
        <f t="shared" si="162"/>
        <v>#VALUE!</v>
      </c>
      <c r="C1470" s="118" t="s">
        <v>612</v>
      </c>
      <c r="D1470" s="113">
        <v>40983</v>
      </c>
      <c r="E1470" s="84">
        <v>41030</v>
      </c>
      <c r="F1470" s="84">
        <f t="shared" si="163"/>
        <v>44682</v>
      </c>
      <c r="G1470" s="229">
        <v>482.28</v>
      </c>
      <c r="H1470" s="71" t="s">
        <v>906</v>
      </c>
      <c r="I1470" s="71" t="s">
        <v>691</v>
      </c>
      <c r="J1470" s="248"/>
      <c r="K1470" s="55">
        <f t="shared" si="164"/>
        <v>2022</v>
      </c>
      <c r="L1470" s="249"/>
      <c r="M1470" s="249"/>
      <c r="N1470" s="73" t="s">
        <v>4832</v>
      </c>
      <c r="O1470" s="73" t="s">
        <v>4836</v>
      </c>
      <c r="P1470" s="74"/>
      <c r="Q1470" s="75" t="s">
        <v>4837</v>
      </c>
      <c r="R1470" s="230">
        <v>1840.5</v>
      </c>
      <c r="S1470" s="230">
        <v>30429</v>
      </c>
      <c r="T1470" s="230">
        <v>32269.5</v>
      </c>
      <c r="U1470" s="231">
        <v>724.5</v>
      </c>
      <c r="V1470" s="230"/>
      <c r="W1470" s="230"/>
      <c r="X1470" s="231"/>
      <c r="Y1470" s="85"/>
      <c r="Z1470" s="101">
        <v>0.1</v>
      </c>
      <c r="AA1470" s="102">
        <v>0.09</v>
      </c>
      <c r="AB1470" s="77"/>
      <c r="AC1470" s="78"/>
    </row>
    <row r="1471" spans="1:29" ht="66" customHeight="1" x14ac:dyDescent="0.2">
      <c r="A1471" s="117" t="s">
        <v>4838</v>
      </c>
      <c r="B1471" s="118" t="e">
        <f t="shared" si="162"/>
        <v>#VALUE!</v>
      </c>
      <c r="C1471" s="118" t="s">
        <v>612</v>
      </c>
      <c r="D1471" s="113">
        <v>40983</v>
      </c>
      <c r="E1471" s="84">
        <v>41030</v>
      </c>
      <c r="F1471" s="84">
        <f t="shared" si="163"/>
        <v>44682</v>
      </c>
      <c r="G1471" s="229">
        <v>1986.42</v>
      </c>
      <c r="H1471" s="71" t="s">
        <v>4839</v>
      </c>
      <c r="I1471" s="71" t="s">
        <v>684</v>
      </c>
      <c r="J1471" s="248"/>
      <c r="K1471" s="55">
        <f t="shared" si="164"/>
        <v>2022</v>
      </c>
      <c r="L1471" s="249"/>
      <c r="M1471" s="249"/>
      <c r="N1471" s="73" t="s">
        <v>4840</v>
      </c>
      <c r="O1471" s="73" t="s">
        <v>4841</v>
      </c>
      <c r="P1471" s="74"/>
      <c r="Q1471" s="75" t="s">
        <v>4842</v>
      </c>
      <c r="R1471" s="230">
        <v>7104.5</v>
      </c>
      <c r="S1471" s="230">
        <v>19870</v>
      </c>
      <c r="T1471" s="230">
        <v>26974.5</v>
      </c>
      <c r="U1471" s="231">
        <v>2980.5</v>
      </c>
      <c r="V1471" s="230"/>
      <c r="W1471" s="230"/>
      <c r="X1471" s="231"/>
      <c r="Y1471" s="85"/>
      <c r="Z1471" s="101">
        <v>0.1</v>
      </c>
      <c r="AA1471" s="102">
        <v>0.09</v>
      </c>
      <c r="AB1471" s="77"/>
      <c r="AC1471" s="78"/>
    </row>
    <row r="1472" spans="1:29" ht="53" customHeight="1" x14ac:dyDescent="0.2">
      <c r="A1472" s="117" t="s">
        <v>4843</v>
      </c>
      <c r="B1472" s="118" t="e">
        <f t="shared" si="162"/>
        <v>#VALUE!</v>
      </c>
      <c r="C1472" s="118" t="s">
        <v>612</v>
      </c>
      <c r="D1472" s="113">
        <v>40983</v>
      </c>
      <c r="E1472" s="84">
        <v>41030</v>
      </c>
      <c r="F1472" s="84">
        <f t="shared" si="163"/>
        <v>44682</v>
      </c>
      <c r="G1472" s="229">
        <v>2071.2600000000002</v>
      </c>
      <c r="H1472" s="71" t="s">
        <v>4839</v>
      </c>
      <c r="I1472" s="71" t="s">
        <v>684</v>
      </c>
      <c r="J1472" s="248"/>
      <c r="K1472" s="55">
        <f t="shared" si="164"/>
        <v>2022</v>
      </c>
      <c r="L1472" s="249"/>
      <c r="M1472" s="249"/>
      <c r="N1472" s="73" t="s">
        <v>4844</v>
      </c>
      <c r="O1472" s="73" t="s">
        <v>4845</v>
      </c>
      <c r="P1472" s="74"/>
      <c r="Q1472" s="75" t="s">
        <v>4846</v>
      </c>
      <c r="R1472" s="230">
        <v>7402</v>
      </c>
      <c r="S1472" s="230">
        <v>20720</v>
      </c>
      <c r="T1472" s="230">
        <v>28122</v>
      </c>
      <c r="U1472" s="231">
        <v>3108</v>
      </c>
      <c r="V1472" s="230"/>
      <c r="W1472" s="230"/>
      <c r="X1472" s="231"/>
      <c r="Y1472" s="85"/>
      <c r="Z1472" s="101">
        <v>0.1</v>
      </c>
      <c r="AA1472" s="102">
        <v>0.09</v>
      </c>
      <c r="AB1472" s="77"/>
      <c r="AC1472" s="78"/>
    </row>
    <row r="1473" spans="1:29" x14ac:dyDescent="0.2">
      <c r="A1473" s="117" t="s">
        <v>4847</v>
      </c>
      <c r="B1473" s="118" t="e">
        <f t="shared" si="162"/>
        <v>#VALUE!</v>
      </c>
      <c r="C1473" s="118" t="s">
        <v>612</v>
      </c>
      <c r="D1473" s="113">
        <v>40983</v>
      </c>
      <c r="E1473" s="84">
        <v>41030</v>
      </c>
      <c r="F1473" s="84">
        <f t="shared" si="163"/>
        <v>44682</v>
      </c>
      <c r="G1473" s="229">
        <v>37.15</v>
      </c>
      <c r="H1473" s="71" t="s">
        <v>4839</v>
      </c>
      <c r="I1473" s="71" t="s">
        <v>684</v>
      </c>
      <c r="J1473" s="248"/>
      <c r="K1473" s="55">
        <f t="shared" si="164"/>
        <v>2022</v>
      </c>
      <c r="L1473" s="249"/>
      <c r="M1473" s="249"/>
      <c r="N1473" s="73" t="s">
        <v>4844</v>
      </c>
      <c r="O1473" s="73" t="s">
        <v>4848</v>
      </c>
      <c r="P1473" s="74"/>
      <c r="Q1473" s="75" t="s">
        <v>4849</v>
      </c>
      <c r="R1473" s="230">
        <v>283</v>
      </c>
      <c r="S1473" s="230">
        <v>380</v>
      </c>
      <c r="T1473" s="230">
        <v>663</v>
      </c>
      <c r="U1473" s="231">
        <v>57</v>
      </c>
      <c r="V1473" s="230"/>
      <c r="W1473" s="230"/>
      <c r="X1473" s="231"/>
      <c r="Y1473" s="85"/>
      <c r="Z1473" s="101">
        <v>0.1</v>
      </c>
      <c r="AA1473" s="102">
        <v>0.09</v>
      </c>
      <c r="AB1473" s="77"/>
      <c r="AC1473" s="78"/>
    </row>
    <row r="1474" spans="1:29" ht="29" x14ac:dyDescent="0.2">
      <c r="A1474" s="117" t="s">
        <v>4850</v>
      </c>
      <c r="B1474" s="118" t="e">
        <f t="shared" si="162"/>
        <v>#VALUE!</v>
      </c>
      <c r="C1474" s="118" t="s">
        <v>612</v>
      </c>
      <c r="D1474" s="113">
        <v>40983</v>
      </c>
      <c r="E1474" s="84">
        <v>41030</v>
      </c>
      <c r="F1474" s="84">
        <f t="shared" si="163"/>
        <v>44682</v>
      </c>
      <c r="G1474" s="229">
        <v>1707.98</v>
      </c>
      <c r="H1474" s="71" t="s">
        <v>4839</v>
      </c>
      <c r="I1474" s="71" t="s">
        <v>684</v>
      </c>
      <c r="J1474" s="248"/>
      <c r="K1474" s="55">
        <f t="shared" si="164"/>
        <v>2022</v>
      </c>
      <c r="L1474" s="249"/>
      <c r="M1474" s="249"/>
      <c r="N1474" s="73" t="s">
        <v>4844</v>
      </c>
      <c r="O1474" s="73" t="s">
        <v>4727</v>
      </c>
      <c r="P1474" s="74"/>
      <c r="Q1474" s="75" t="s">
        <v>4851</v>
      </c>
      <c r="R1474" s="230">
        <v>6128</v>
      </c>
      <c r="S1474" s="230">
        <v>17080</v>
      </c>
      <c r="T1474" s="230">
        <v>23208</v>
      </c>
      <c r="U1474" s="231">
        <v>2562</v>
      </c>
      <c r="V1474" s="230"/>
      <c r="W1474" s="230"/>
      <c r="X1474" s="231"/>
      <c r="Y1474" s="85"/>
      <c r="Z1474" s="101">
        <v>0.1</v>
      </c>
      <c r="AA1474" s="102">
        <v>0.09</v>
      </c>
      <c r="AB1474" s="77"/>
      <c r="AC1474" s="78"/>
    </row>
    <row r="1475" spans="1:29" ht="27" customHeight="1" x14ac:dyDescent="0.2">
      <c r="A1475" s="117" t="s">
        <v>4852</v>
      </c>
      <c r="B1475" s="118" t="e">
        <f t="shared" si="162"/>
        <v>#VALUE!</v>
      </c>
      <c r="C1475" s="118" t="s">
        <v>612</v>
      </c>
      <c r="D1475" s="113">
        <v>40983</v>
      </c>
      <c r="E1475" s="84">
        <v>41030</v>
      </c>
      <c r="F1475" s="84">
        <f t="shared" si="163"/>
        <v>44682</v>
      </c>
      <c r="G1475" s="229">
        <v>859.16</v>
      </c>
      <c r="H1475" s="71" t="s">
        <v>2174</v>
      </c>
      <c r="I1475" s="71" t="s">
        <v>684</v>
      </c>
      <c r="J1475" s="248"/>
      <c r="K1475" s="55">
        <f t="shared" si="164"/>
        <v>2022</v>
      </c>
      <c r="L1475" s="249"/>
      <c r="M1475" s="249"/>
      <c r="N1475" s="73" t="s">
        <v>4853</v>
      </c>
      <c r="O1475" s="73" t="s">
        <v>4854</v>
      </c>
      <c r="P1475" s="74"/>
      <c r="Q1475" s="75" t="s">
        <v>4855</v>
      </c>
      <c r="R1475" s="230">
        <v>3160</v>
      </c>
      <c r="S1475" s="230">
        <v>0</v>
      </c>
      <c r="T1475" s="230">
        <v>3160</v>
      </c>
      <c r="U1475" s="231">
        <v>1290</v>
      </c>
      <c r="V1475" s="230"/>
      <c r="W1475" s="230"/>
      <c r="X1475" s="231"/>
      <c r="Y1475" s="85"/>
      <c r="Z1475" s="101">
        <v>0.1</v>
      </c>
      <c r="AA1475" s="102">
        <v>0.09</v>
      </c>
      <c r="AB1475" s="77"/>
      <c r="AC1475" s="78"/>
    </row>
    <row r="1476" spans="1:29" ht="29" x14ac:dyDescent="0.2">
      <c r="A1476" s="117" t="s">
        <v>4856</v>
      </c>
      <c r="B1476" s="118" t="e">
        <f t="shared" si="162"/>
        <v>#VALUE!</v>
      </c>
      <c r="C1476" s="118" t="s">
        <v>612</v>
      </c>
      <c r="D1476" s="113">
        <v>40983</v>
      </c>
      <c r="E1476" s="84">
        <v>41030</v>
      </c>
      <c r="F1476" s="84">
        <f t="shared" si="163"/>
        <v>44682</v>
      </c>
      <c r="G1476" s="229">
        <v>2147.5100000000002</v>
      </c>
      <c r="H1476" s="71" t="s">
        <v>4839</v>
      </c>
      <c r="I1476" s="71" t="s">
        <v>684</v>
      </c>
      <c r="J1476" s="248"/>
      <c r="K1476" s="55">
        <f t="shared" si="164"/>
        <v>2022</v>
      </c>
      <c r="L1476" s="249"/>
      <c r="M1476" s="249"/>
      <c r="N1476" s="73" t="s">
        <v>4844</v>
      </c>
      <c r="O1476" s="73" t="s">
        <v>4727</v>
      </c>
      <c r="P1476" s="74"/>
      <c r="Q1476" s="75" t="s">
        <v>4857</v>
      </c>
      <c r="R1476" s="230">
        <v>7668</v>
      </c>
      <c r="S1476" s="230">
        <v>21480</v>
      </c>
      <c r="T1476" s="230">
        <v>29148</v>
      </c>
      <c r="U1476" s="231">
        <v>3222</v>
      </c>
      <c r="V1476" s="230"/>
      <c r="W1476" s="230"/>
      <c r="X1476" s="231"/>
      <c r="Y1476" s="85"/>
      <c r="Z1476" s="101">
        <v>0.1</v>
      </c>
      <c r="AA1476" s="102">
        <v>0.09</v>
      </c>
      <c r="AB1476" s="77"/>
      <c r="AC1476" s="78"/>
    </row>
    <row r="1477" spans="1:29" ht="27" customHeight="1" x14ac:dyDescent="0.2">
      <c r="A1477" s="117" t="s">
        <v>4858</v>
      </c>
      <c r="B1477" s="118" t="e">
        <f t="shared" si="162"/>
        <v>#VALUE!</v>
      </c>
      <c r="C1477" s="118" t="s">
        <v>612</v>
      </c>
      <c r="D1477" s="113">
        <v>40983</v>
      </c>
      <c r="E1477" s="84">
        <v>41030</v>
      </c>
      <c r="F1477" s="84">
        <f t="shared" si="163"/>
        <v>44682</v>
      </c>
      <c r="G1477" s="229">
        <v>2274.1</v>
      </c>
      <c r="H1477" s="71" t="s">
        <v>4839</v>
      </c>
      <c r="I1477" s="71" t="s">
        <v>684</v>
      </c>
      <c r="J1477" s="248"/>
      <c r="K1477" s="55">
        <f t="shared" si="164"/>
        <v>2022</v>
      </c>
      <c r="L1477" s="249"/>
      <c r="M1477" s="249"/>
      <c r="N1477" s="73" t="s">
        <v>4844</v>
      </c>
      <c r="O1477" s="73" t="s">
        <v>4859</v>
      </c>
      <c r="P1477" s="74"/>
      <c r="Q1477" s="75" t="s">
        <v>4860</v>
      </c>
      <c r="R1477" s="230">
        <v>8112.5</v>
      </c>
      <c r="S1477" s="230">
        <v>22750</v>
      </c>
      <c r="T1477" s="230">
        <v>30862.5</v>
      </c>
      <c r="U1477" s="231">
        <v>3412.5</v>
      </c>
      <c r="V1477" s="230"/>
      <c r="W1477" s="230"/>
      <c r="X1477" s="231"/>
      <c r="Y1477" s="85"/>
      <c r="Z1477" s="101">
        <v>0.1</v>
      </c>
      <c r="AA1477" s="102">
        <v>0.09</v>
      </c>
      <c r="AB1477" s="77"/>
      <c r="AC1477" s="78"/>
    </row>
    <row r="1478" spans="1:29" ht="53" customHeight="1" x14ac:dyDescent="0.2">
      <c r="A1478" s="117" t="s">
        <v>4861</v>
      </c>
      <c r="B1478" s="118" t="e">
        <f t="shared" si="162"/>
        <v>#VALUE!</v>
      </c>
      <c r="C1478" s="118" t="s">
        <v>612</v>
      </c>
      <c r="D1478" s="113">
        <v>40983</v>
      </c>
      <c r="E1478" s="84">
        <v>41030</v>
      </c>
      <c r="F1478" s="84">
        <f t="shared" si="163"/>
        <v>44682</v>
      </c>
      <c r="G1478" s="229">
        <v>1296.6099999999999</v>
      </c>
      <c r="H1478" s="71" t="s">
        <v>4839</v>
      </c>
      <c r="I1478" s="71" t="s">
        <v>684</v>
      </c>
      <c r="J1478" s="248"/>
      <c r="K1478" s="55">
        <f t="shared" si="164"/>
        <v>2022</v>
      </c>
      <c r="L1478" s="249"/>
      <c r="M1478" s="249"/>
      <c r="N1478" s="73" t="s">
        <v>4844</v>
      </c>
      <c r="O1478" s="73" t="s">
        <v>4862</v>
      </c>
      <c r="P1478" s="74"/>
      <c r="Q1478" s="75" t="s">
        <v>4863</v>
      </c>
      <c r="R1478" s="230">
        <v>4689.5</v>
      </c>
      <c r="S1478" s="230">
        <v>23346</v>
      </c>
      <c r="T1478" s="230">
        <v>28035.5</v>
      </c>
      <c r="U1478" s="231">
        <v>1945.5</v>
      </c>
      <c r="V1478" s="230"/>
      <c r="W1478" s="230"/>
      <c r="X1478" s="231"/>
      <c r="Y1478" s="85"/>
      <c r="Z1478" s="101">
        <v>0.1</v>
      </c>
      <c r="AA1478" s="102">
        <v>0.09</v>
      </c>
      <c r="AB1478" s="77"/>
      <c r="AC1478" s="78"/>
    </row>
    <row r="1479" spans="1:29" x14ac:dyDescent="0.2">
      <c r="A1479" s="117" t="s">
        <v>4864</v>
      </c>
      <c r="B1479" s="118" t="e">
        <f t="shared" si="162"/>
        <v>#VALUE!</v>
      </c>
      <c r="C1479" s="118" t="s">
        <v>612</v>
      </c>
      <c r="D1479" s="113">
        <v>40983</v>
      </c>
      <c r="E1479" s="84">
        <v>41030</v>
      </c>
      <c r="F1479" s="84">
        <f t="shared" si="163"/>
        <v>44682</v>
      </c>
      <c r="G1479" s="229">
        <v>1993.05</v>
      </c>
      <c r="H1479" s="71" t="s">
        <v>4839</v>
      </c>
      <c r="I1479" s="71" t="s">
        <v>684</v>
      </c>
      <c r="J1479" s="248"/>
      <c r="K1479" s="55">
        <f t="shared" si="164"/>
        <v>2022</v>
      </c>
      <c r="L1479" s="249"/>
      <c r="M1479" s="249"/>
      <c r="N1479" s="73" t="s">
        <v>4840</v>
      </c>
      <c r="O1479" s="73" t="s">
        <v>4865</v>
      </c>
      <c r="P1479" s="74"/>
      <c r="Q1479" s="75" t="s">
        <v>4866</v>
      </c>
      <c r="R1479" s="230">
        <v>7129</v>
      </c>
      <c r="S1479" s="230">
        <v>19940</v>
      </c>
      <c r="T1479" s="230">
        <v>27069</v>
      </c>
      <c r="U1479" s="231">
        <v>2991</v>
      </c>
      <c r="V1479" s="230"/>
      <c r="W1479" s="230"/>
      <c r="X1479" s="231"/>
      <c r="Y1479" s="85"/>
      <c r="Z1479" s="101">
        <v>0.1</v>
      </c>
      <c r="AA1479" s="102">
        <v>0.09</v>
      </c>
      <c r="AB1479" s="77"/>
      <c r="AC1479" s="78"/>
    </row>
    <row r="1480" spans="1:29" ht="27" customHeight="1" x14ac:dyDescent="0.2">
      <c r="A1480" s="117" t="s">
        <v>4867</v>
      </c>
      <c r="B1480" s="118" t="e">
        <f t="shared" si="162"/>
        <v>#VALUE!</v>
      </c>
      <c r="C1480" s="118" t="s">
        <v>612</v>
      </c>
      <c r="D1480" s="113">
        <v>40983</v>
      </c>
      <c r="E1480" s="84">
        <v>41030</v>
      </c>
      <c r="F1480" s="84">
        <f t="shared" si="163"/>
        <v>44682</v>
      </c>
      <c r="G1480" s="229">
        <v>1835.46</v>
      </c>
      <c r="H1480" s="71" t="s">
        <v>4839</v>
      </c>
      <c r="I1480" s="71" t="s">
        <v>684</v>
      </c>
      <c r="J1480" s="248"/>
      <c r="K1480" s="55">
        <f t="shared" si="164"/>
        <v>2022</v>
      </c>
      <c r="L1480" s="249"/>
      <c r="M1480" s="249"/>
      <c r="N1480" s="73" t="s">
        <v>4840</v>
      </c>
      <c r="O1480" s="73" t="s">
        <v>4868</v>
      </c>
      <c r="P1480" s="74"/>
      <c r="Q1480" s="75" t="s">
        <v>4869</v>
      </c>
      <c r="R1480" s="230">
        <v>6576</v>
      </c>
      <c r="S1480" s="230">
        <v>18360</v>
      </c>
      <c r="T1480" s="230">
        <v>24936</v>
      </c>
      <c r="U1480" s="231">
        <v>2754</v>
      </c>
      <c r="V1480" s="230"/>
      <c r="W1480" s="230"/>
      <c r="X1480" s="231"/>
      <c r="Y1480" s="85"/>
      <c r="Z1480" s="101">
        <v>0.1</v>
      </c>
      <c r="AA1480" s="102">
        <v>0.09</v>
      </c>
      <c r="AB1480" s="77"/>
      <c r="AC1480" s="78"/>
    </row>
    <row r="1481" spans="1:29" ht="40" customHeight="1" x14ac:dyDescent="0.2">
      <c r="A1481" s="117" t="s">
        <v>4870</v>
      </c>
      <c r="B1481" s="118" t="e">
        <f t="shared" si="162"/>
        <v>#VALUE!</v>
      </c>
      <c r="C1481" s="118" t="s">
        <v>612</v>
      </c>
      <c r="D1481" s="113">
        <v>40983</v>
      </c>
      <c r="E1481" s="84">
        <v>41030</v>
      </c>
      <c r="F1481" s="84">
        <f t="shared" si="163"/>
        <v>44682</v>
      </c>
      <c r="G1481" s="229">
        <v>2046.04</v>
      </c>
      <c r="H1481" s="71" t="s">
        <v>4839</v>
      </c>
      <c r="I1481" s="71" t="s">
        <v>684</v>
      </c>
      <c r="J1481" s="248"/>
      <c r="K1481" s="55">
        <f t="shared" si="164"/>
        <v>2022</v>
      </c>
      <c r="L1481" s="249"/>
      <c r="M1481" s="249"/>
      <c r="N1481" s="73" t="s">
        <v>4840</v>
      </c>
      <c r="O1481" s="73" t="s">
        <v>4871</v>
      </c>
      <c r="P1481" s="74"/>
      <c r="Q1481" s="75" t="s">
        <v>4872</v>
      </c>
      <c r="R1481" s="230">
        <v>7314.5</v>
      </c>
      <c r="S1481" s="230">
        <v>20470</v>
      </c>
      <c r="T1481" s="230">
        <v>27784.5</v>
      </c>
      <c r="U1481" s="231">
        <v>3070.5</v>
      </c>
      <c r="V1481" s="230"/>
      <c r="W1481" s="230"/>
      <c r="X1481" s="231"/>
      <c r="Y1481" s="85"/>
      <c r="Z1481" s="101">
        <v>0.1</v>
      </c>
      <c r="AA1481" s="102">
        <v>0.09</v>
      </c>
      <c r="AB1481" s="77"/>
      <c r="AC1481" s="78"/>
    </row>
    <row r="1482" spans="1:29" ht="27" customHeight="1" x14ac:dyDescent="0.2">
      <c r="A1482" s="117" t="s">
        <v>4873</v>
      </c>
      <c r="B1482" s="118" t="e">
        <f t="shared" si="162"/>
        <v>#VALUE!</v>
      </c>
      <c r="C1482" s="118" t="s">
        <v>612</v>
      </c>
      <c r="D1482" s="113">
        <v>40983</v>
      </c>
      <c r="E1482" s="84">
        <v>41030</v>
      </c>
      <c r="F1482" s="84">
        <f t="shared" si="163"/>
        <v>44682</v>
      </c>
      <c r="G1482" s="229">
        <v>2034.4</v>
      </c>
      <c r="H1482" s="71" t="s">
        <v>4839</v>
      </c>
      <c r="I1482" s="71" t="s">
        <v>684</v>
      </c>
      <c r="J1482" s="248"/>
      <c r="K1482" s="55">
        <f t="shared" si="164"/>
        <v>2022</v>
      </c>
      <c r="L1482" s="249"/>
      <c r="M1482" s="249"/>
      <c r="N1482" s="73" t="s">
        <v>4840</v>
      </c>
      <c r="O1482" s="73" t="s">
        <v>4874</v>
      </c>
      <c r="P1482" s="74"/>
      <c r="Q1482" s="75" t="s">
        <v>4875</v>
      </c>
      <c r="R1482" s="230">
        <v>7272.5</v>
      </c>
      <c r="S1482" s="230">
        <v>107855</v>
      </c>
      <c r="T1482" s="230">
        <v>115127.5</v>
      </c>
      <c r="U1482" s="231">
        <v>3052.5</v>
      </c>
      <c r="V1482" s="230"/>
      <c r="W1482" s="230"/>
      <c r="X1482" s="231"/>
      <c r="Y1482" s="85"/>
      <c r="Z1482" s="101">
        <v>0.1</v>
      </c>
      <c r="AA1482" s="102">
        <v>0.09</v>
      </c>
      <c r="AB1482" s="77"/>
      <c r="AC1482" s="78"/>
    </row>
    <row r="1483" spans="1:29" ht="53" customHeight="1" x14ac:dyDescent="0.2">
      <c r="A1483" s="117" t="s">
        <v>4876</v>
      </c>
      <c r="B1483" s="118" t="e">
        <f t="shared" si="162"/>
        <v>#VALUE!</v>
      </c>
      <c r="C1483" s="118" t="s">
        <v>612</v>
      </c>
      <c r="D1483" s="113">
        <v>40983</v>
      </c>
      <c r="E1483" s="84">
        <v>41030</v>
      </c>
      <c r="F1483" s="84">
        <f t="shared" si="163"/>
        <v>44682</v>
      </c>
      <c r="G1483" s="229">
        <v>1710.44</v>
      </c>
      <c r="H1483" s="71" t="s">
        <v>4839</v>
      </c>
      <c r="I1483" s="71" t="s">
        <v>684</v>
      </c>
      <c r="J1483" s="248"/>
      <c r="K1483" s="55">
        <f t="shared" si="164"/>
        <v>2022</v>
      </c>
      <c r="L1483" s="249"/>
      <c r="M1483" s="249"/>
      <c r="N1483" s="73" t="s">
        <v>4877</v>
      </c>
      <c r="O1483" s="73" t="s">
        <v>4878</v>
      </c>
      <c r="P1483" s="74"/>
      <c r="Q1483" s="75" t="s">
        <v>4879</v>
      </c>
      <c r="R1483" s="230">
        <v>6138.5</v>
      </c>
      <c r="S1483" s="230">
        <v>17110</v>
      </c>
      <c r="T1483" s="230">
        <v>23248.5</v>
      </c>
      <c r="U1483" s="231">
        <v>2566.5</v>
      </c>
      <c r="V1483" s="230"/>
      <c r="W1483" s="230"/>
      <c r="X1483" s="231"/>
      <c r="Y1483" s="85"/>
      <c r="Z1483" s="101">
        <v>0.1</v>
      </c>
      <c r="AA1483" s="102">
        <v>0.09</v>
      </c>
      <c r="AB1483" s="77"/>
      <c r="AC1483" s="78"/>
    </row>
    <row r="1484" spans="1:29" ht="40" customHeight="1" x14ac:dyDescent="0.2">
      <c r="A1484" s="117" t="s">
        <v>4880</v>
      </c>
      <c r="B1484" s="118" t="e">
        <f t="shared" si="162"/>
        <v>#VALUE!</v>
      </c>
      <c r="C1484" s="118" t="s">
        <v>612</v>
      </c>
      <c r="D1484" s="113">
        <v>40983</v>
      </c>
      <c r="E1484" s="84">
        <v>41030</v>
      </c>
      <c r="F1484" s="84">
        <f t="shared" si="163"/>
        <v>44682</v>
      </c>
      <c r="G1484" s="229">
        <v>1984.97</v>
      </c>
      <c r="H1484" s="71" t="s">
        <v>4839</v>
      </c>
      <c r="I1484" s="71" t="s">
        <v>684</v>
      </c>
      <c r="J1484" s="248"/>
      <c r="K1484" s="55">
        <f t="shared" si="164"/>
        <v>2022</v>
      </c>
      <c r="L1484" s="249"/>
      <c r="M1484" s="249"/>
      <c r="N1484" s="73" t="s">
        <v>4877</v>
      </c>
      <c r="O1484" s="73" t="s">
        <v>4881</v>
      </c>
      <c r="P1484" s="74"/>
      <c r="Q1484" s="75" t="s">
        <v>4882</v>
      </c>
      <c r="R1484" s="230">
        <v>7097.5</v>
      </c>
      <c r="S1484" s="230">
        <v>19850</v>
      </c>
      <c r="T1484" s="230">
        <v>26947.5</v>
      </c>
      <c r="U1484" s="231">
        <v>2977.5</v>
      </c>
      <c r="V1484" s="230"/>
      <c r="W1484" s="230"/>
      <c r="X1484" s="231"/>
      <c r="Y1484" s="85"/>
      <c r="Z1484" s="101">
        <v>0.1</v>
      </c>
      <c r="AA1484" s="102">
        <v>0.09</v>
      </c>
      <c r="AB1484" s="77"/>
      <c r="AC1484" s="78"/>
    </row>
    <row r="1485" spans="1:29" ht="53" customHeight="1" x14ac:dyDescent="0.2">
      <c r="A1485" s="117" t="s">
        <v>4883</v>
      </c>
      <c r="B1485" s="118" t="e">
        <f t="shared" si="162"/>
        <v>#VALUE!</v>
      </c>
      <c r="C1485" s="118" t="s">
        <v>612</v>
      </c>
      <c r="D1485" s="113">
        <v>40983</v>
      </c>
      <c r="E1485" s="84">
        <v>41030</v>
      </c>
      <c r="F1485" s="84">
        <f t="shared" si="163"/>
        <v>44682</v>
      </c>
      <c r="G1485" s="229">
        <v>2007.17</v>
      </c>
      <c r="H1485" s="71" t="s">
        <v>4839</v>
      </c>
      <c r="I1485" s="71" t="s">
        <v>684</v>
      </c>
      <c r="J1485" s="248"/>
      <c r="K1485" s="55">
        <f t="shared" si="164"/>
        <v>2022</v>
      </c>
      <c r="L1485" s="249"/>
      <c r="M1485" s="249"/>
      <c r="N1485" s="73" t="s">
        <v>4877</v>
      </c>
      <c r="O1485" s="73" t="s">
        <v>4884</v>
      </c>
      <c r="P1485" s="74"/>
      <c r="Q1485" s="75" t="s">
        <v>4885</v>
      </c>
      <c r="R1485" s="230">
        <v>7178</v>
      </c>
      <c r="S1485" s="230">
        <v>20080</v>
      </c>
      <c r="T1485" s="230">
        <v>27258</v>
      </c>
      <c r="U1485" s="231">
        <v>3012</v>
      </c>
      <c r="V1485" s="230"/>
      <c r="W1485" s="230"/>
      <c r="X1485" s="231"/>
      <c r="Y1485" s="85"/>
      <c r="Z1485" s="101">
        <v>0.1</v>
      </c>
      <c r="AA1485" s="102">
        <v>0.09</v>
      </c>
      <c r="AB1485" s="77"/>
      <c r="AC1485" s="78"/>
    </row>
    <row r="1486" spans="1:29" x14ac:dyDescent="0.2">
      <c r="A1486" s="117" t="s">
        <v>4886</v>
      </c>
      <c r="B1486" s="118" t="e">
        <f t="shared" si="162"/>
        <v>#VALUE!</v>
      </c>
      <c r="C1486" s="118" t="s">
        <v>612</v>
      </c>
      <c r="D1486" s="113">
        <v>40983</v>
      </c>
      <c r="E1486" s="84">
        <v>41030</v>
      </c>
      <c r="F1486" s="84">
        <f t="shared" si="163"/>
        <v>44682</v>
      </c>
      <c r="G1486" s="229">
        <v>1911.26</v>
      </c>
      <c r="H1486" s="71" t="s">
        <v>4839</v>
      </c>
      <c r="I1486" s="71" t="s">
        <v>684</v>
      </c>
      <c r="J1486" s="248"/>
      <c r="K1486" s="55">
        <f t="shared" si="164"/>
        <v>2022</v>
      </c>
      <c r="L1486" s="249"/>
      <c r="M1486" s="249"/>
      <c r="N1486" s="73" t="s">
        <v>4877</v>
      </c>
      <c r="O1486" s="73" t="s">
        <v>4865</v>
      </c>
      <c r="P1486" s="74"/>
      <c r="Q1486" s="75" t="s">
        <v>4887</v>
      </c>
      <c r="R1486" s="230">
        <v>6842</v>
      </c>
      <c r="S1486" s="230">
        <v>19120</v>
      </c>
      <c r="T1486" s="230">
        <v>25962</v>
      </c>
      <c r="U1486" s="231">
        <v>2868</v>
      </c>
      <c r="V1486" s="230"/>
      <c r="W1486" s="230"/>
      <c r="X1486" s="231"/>
      <c r="Y1486" s="85"/>
      <c r="Z1486" s="101">
        <v>0.1</v>
      </c>
      <c r="AA1486" s="102">
        <v>0.09</v>
      </c>
      <c r="AB1486" s="77"/>
      <c r="AC1486" s="78"/>
    </row>
    <row r="1487" spans="1:29" ht="53" customHeight="1" x14ac:dyDescent="0.2">
      <c r="A1487" s="117" t="s">
        <v>4888</v>
      </c>
      <c r="B1487" s="118" t="e">
        <f t="shared" si="162"/>
        <v>#VALUE!</v>
      </c>
      <c r="C1487" s="118" t="s">
        <v>612</v>
      </c>
      <c r="D1487" s="113">
        <v>40983</v>
      </c>
      <c r="E1487" s="84">
        <v>41030</v>
      </c>
      <c r="F1487" s="84">
        <f t="shared" si="163"/>
        <v>44682</v>
      </c>
      <c r="G1487" s="229">
        <v>2333.66</v>
      </c>
      <c r="H1487" s="71" t="s">
        <v>4839</v>
      </c>
      <c r="I1487" s="71" t="s">
        <v>684</v>
      </c>
      <c r="J1487" s="248"/>
      <c r="K1487" s="55">
        <f t="shared" si="164"/>
        <v>2022</v>
      </c>
      <c r="L1487" s="249"/>
      <c r="M1487" s="249"/>
      <c r="N1487" s="73" t="s">
        <v>4877</v>
      </c>
      <c r="O1487" s="73" t="s">
        <v>4889</v>
      </c>
      <c r="P1487" s="74"/>
      <c r="Q1487" s="75" t="s">
        <v>4890</v>
      </c>
      <c r="R1487" s="230">
        <v>8319</v>
      </c>
      <c r="S1487" s="230">
        <v>18672</v>
      </c>
      <c r="T1487" s="230">
        <v>26991</v>
      </c>
      <c r="U1487" s="231">
        <v>3501</v>
      </c>
      <c r="V1487" s="230"/>
      <c r="W1487" s="230"/>
      <c r="X1487" s="231"/>
      <c r="Y1487" s="85"/>
      <c r="Z1487" s="101">
        <v>0.1</v>
      </c>
      <c r="AA1487" s="102">
        <v>0.09</v>
      </c>
      <c r="AB1487" s="77"/>
      <c r="AC1487" s="78"/>
    </row>
    <row r="1488" spans="1:29" ht="66" customHeight="1" x14ac:dyDescent="0.2">
      <c r="A1488" s="117" t="s">
        <v>4891</v>
      </c>
      <c r="B1488" s="118" t="e">
        <f t="shared" si="162"/>
        <v>#VALUE!</v>
      </c>
      <c r="C1488" s="118" t="s">
        <v>612</v>
      </c>
      <c r="D1488" s="113">
        <v>40983</v>
      </c>
      <c r="E1488" s="84">
        <v>41030</v>
      </c>
      <c r="F1488" s="84">
        <f t="shared" si="163"/>
        <v>44682</v>
      </c>
      <c r="G1488" s="229">
        <v>1829.57</v>
      </c>
      <c r="H1488" s="71" t="s">
        <v>4839</v>
      </c>
      <c r="I1488" s="71" t="s">
        <v>684</v>
      </c>
      <c r="J1488" s="248"/>
      <c r="K1488" s="55">
        <f t="shared" si="164"/>
        <v>2022</v>
      </c>
      <c r="L1488" s="249"/>
      <c r="M1488" s="249"/>
      <c r="N1488" s="73" t="s">
        <v>4840</v>
      </c>
      <c r="O1488" s="73" t="s">
        <v>4892</v>
      </c>
      <c r="P1488" s="74"/>
      <c r="Q1488" s="75" t="s">
        <v>4893</v>
      </c>
      <c r="R1488" s="230">
        <v>6555</v>
      </c>
      <c r="S1488" s="230">
        <v>18300</v>
      </c>
      <c r="T1488" s="230">
        <v>24855</v>
      </c>
      <c r="U1488" s="231">
        <v>2745</v>
      </c>
      <c r="V1488" s="230"/>
      <c r="W1488" s="230"/>
      <c r="X1488" s="231"/>
      <c r="Y1488" s="85"/>
      <c r="Z1488" s="101">
        <v>0.1</v>
      </c>
      <c r="AA1488" s="102">
        <v>0.09</v>
      </c>
      <c r="AB1488" s="77"/>
      <c r="AC1488" s="78"/>
    </row>
    <row r="1489" spans="1:29" ht="40" customHeight="1" x14ac:dyDescent="0.2">
      <c r="A1489" s="117" t="s">
        <v>4894</v>
      </c>
      <c r="B1489" s="118" t="e">
        <f t="shared" si="162"/>
        <v>#VALUE!</v>
      </c>
      <c r="C1489" s="118" t="s">
        <v>612</v>
      </c>
      <c r="D1489" s="113">
        <v>40983</v>
      </c>
      <c r="E1489" s="84">
        <v>41030</v>
      </c>
      <c r="F1489" s="84">
        <f t="shared" si="163"/>
        <v>44682</v>
      </c>
      <c r="G1489" s="229">
        <v>1912.8</v>
      </c>
      <c r="H1489" s="71" t="s">
        <v>4839</v>
      </c>
      <c r="I1489" s="71" t="s">
        <v>684</v>
      </c>
      <c r="J1489" s="248"/>
      <c r="K1489" s="55">
        <f t="shared" si="164"/>
        <v>2022</v>
      </c>
      <c r="L1489" s="249"/>
      <c r="M1489" s="249"/>
      <c r="N1489" s="73" t="s">
        <v>4840</v>
      </c>
      <c r="O1489" s="73" t="s">
        <v>4895</v>
      </c>
      <c r="P1489" s="74"/>
      <c r="Q1489" s="75" t="s">
        <v>4896</v>
      </c>
      <c r="R1489" s="230">
        <v>6845.5</v>
      </c>
      <c r="S1489" s="230">
        <v>91824</v>
      </c>
      <c r="T1489" s="230">
        <v>98669.5</v>
      </c>
      <c r="U1489" s="231">
        <v>2869.5</v>
      </c>
      <c r="V1489" s="230"/>
      <c r="W1489" s="230"/>
      <c r="X1489" s="231"/>
      <c r="Y1489" s="85"/>
      <c r="Z1489" s="101">
        <v>0.1</v>
      </c>
      <c r="AA1489" s="102">
        <v>0.09</v>
      </c>
      <c r="AB1489" s="77"/>
      <c r="AC1489" s="78"/>
    </row>
    <row r="1490" spans="1:29" ht="27" customHeight="1" x14ac:dyDescent="0.2">
      <c r="A1490" s="117" t="s">
        <v>4897</v>
      </c>
      <c r="B1490" s="118" t="e">
        <f t="shared" si="162"/>
        <v>#VALUE!</v>
      </c>
      <c r="C1490" s="118" t="s">
        <v>612</v>
      </c>
      <c r="D1490" s="113">
        <v>40983</v>
      </c>
      <c r="E1490" s="84">
        <v>41030</v>
      </c>
      <c r="F1490" s="84">
        <f t="shared" si="163"/>
        <v>44682</v>
      </c>
      <c r="G1490" s="229">
        <v>2013.8</v>
      </c>
      <c r="H1490" s="71" t="s">
        <v>4839</v>
      </c>
      <c r="I1490" s="71" t="s">
        <v>684</v>
      </c>
      <c r="J1490" s="248"/>
      <c r="K1490" s="55">
        <f t="shared" si="164"/>
        <v>2022</v>
      </c>
      <c r="L1490" s="249"/>
      <c r="M1490" s="249"/>
      <c r="N1490" s="73" t="s">
        <v>4840</v>
      </c>
      <c r="O1490" s="73" t="s">
        <v>4898</v>
      </c>
      <c r="P1490" s="74"/>
      <c r="Q1490" s="75" t="s">
        <v>4899</v>
      </c>
      <c r="R1490" s="230">
        <v>7199</v>
      </c>
      <c r="S1490" s="230">
        <v>96672</v>
      </c>
      <c r="T1490" s="230">
        <v>103871</v>
      </c>
      <c r="U1490" s="231">
        <v>3021</v>
      </c>
      <c r="V1490" s="230"/>
      <c r="W1490" s="230"/>
      <c r="X1490" s="231"/>
      <c r="Y1490" s="85"/>
      <c r="Z1490" s="101">
        <v>0.1</v>
      </c>
      <c r="AA1490" s="102">
        <v>0.09</v>
      </c>
      <c r="AB1490" s="77"/>
      <c r="AC1490" s="78"/>
    </row>
    <row r="1491" spans="1:29" ht="27" customHeight="1" x14ac:dyDescent="0.2">
      <c r="A1491" s="117" t="s">
        <v>4900</v>
      </c>
      <c r="B1491" s="118" t="e">
        <f t="shared" si="162"/>
        <v>#VALUE!</v>
      </c>
      <c r="C1491" s="118" t="s">
        <v>612</v>
      </c>
      <c r="D1491" s="113">
        <v>40983</v>
      </c>
      <c r="E1491" s="84">
        <v>41030</v>
      </c>
      <c r="F1491" s="84">
        <f t="shared" si="163"/>
        <v>44682</v>
      </c>
      <c r="G1491" s="229">
        <v>1846.31</v>
      </c>
      <c r="H1491" s="71" t="s">
        <v>4839</v>
      </c>
      <c r="I1491" s="71" t="s">
        <v>684</v>
      </c>
      <c r="J1491" s="248"/>
      <c r="K1491" s="55">
        <f t="shared" si="164"/>
        <v>2022</v>
      </c>
      <c r="L1491" s="249"/>
      <c r="M1491" s="249"/>
      <c r="N1491" s="73" t="s">
        <v>4877</v>
      </c>
      <c r="O1491" s="73" t="s">
        <v>4901</v>
      </c>
      <c r="P1491" s="74"/>
      <c r="Q1491" s="75" t="s">
        <v>4902</v>
      </c>
      <c r="R1491" s="230">
        <v>6614.5</v>
      </c>
      <c r="S1491" s="230">
        <v>18470</v>
      </c>
      <c r="T1491" s="230">
        <v>25084.5</v>
      </c>
      <c r="U1491" s="231">
        <v>2770.5</v>
      </c>
      <c r="V1491" s="230"/>
      <c r="W1491" s="230"/>
      <c r="X1491" s="231"/>
      <c r="Y1491" s="85"/>
      <c r="Z1491" s="101">
        <v>0.1</v>
      </c>
      <c r="AA1491" s="102">
        <v>0.09</v>
      </c>
      <c r="AB1491" s="77"/>
      <c r="AC1491" s="78"/>
    </row>
    <row r="1492" spans="1:29" ht="15" hidden="1" customHeight="1" thickBot="1" x14ac:dyDescent="0.25">
      <c r="A1492" s="117"/>
      <c r="D1492" s="113"/>
      <c r="E1492" s="84"/>
      <c r="F1492" s="84"/>
      <c r="G1492" s="229"/>
      <c r="H1492" s="71"/>
      <c r="I1492" s="71"/>
      <c r="J1492" s="79"/>
      <c r="K1492" s="79"/>
      <c r="L1492" s="80"/>
      <c r="M1492" s="80"/>
      <c r="N1492" s="73"/>
      <c r="O1492" s="73"/>
      <c r="P1492" s="74"/>
      <c r="Q1492" s="75"/>
      <c r="R1492" s="241">
        <v>273798</v>
      </c>
      <c r="S1492" s="241">
        <v>1839742</v>
      </c>
      <c r="T1492" s="241">
        <v>2113540</v>
      </c>
      <c r="U1492" s="231"/>
      <c r="V1492" s="230"/>
      <c r="W1492" s="230"/>
      <c r="X1492" s="231"/>
      <c r="Y1492" s="85"/>
      <c r="Z1492" s="110"/>
      <c r="AA1492" s="111"/>
      <c r="AB1492" s="77"/>
      <c r="AC1492" s="78"/>
    </row>
    <row r="1493" spans="1:29" hidden="1" x14ac:dyDescent="0.2">
      <c r="A1493" s="117"/>
      <c r="D1493" s="113"/>
      <c r="E1493" s="84"/>
      <c r="F1493" s="84"/>
      <c r="G1493" s="229"/>
      <c r="H1493" s="71"/>
      <c r="I1493" s="71"/>
      <c r="J1493" s="79"/>
      <c r="K1493" s="79"/>
      <c r="L1493" s="80"/>
      <c r="M1493" s="80"/>
      <c r="N1493" s="73"/>
      <c r="O1493" s="73"/>
      <c r="P1493" s="74"/>
      <c r="Q1493" s="75"/>
      <c r="R1493" s="230"/>
      <c r="S1493" s="230"/>
      <c r="T1493" s="230"/>
      <c r="U1493" s="231"/>
      <c r="V1493" s="230"/>
      <c r="W1493" s="230"/>
      <c r="X1493" s="231"/>
      <c r="Y1493" s="85"/>
      <c r="Z1493" s="110"/>
      <c r="AA1493" s="111"/>
      <c r="AB1493" s="77"/>
      <c r="AC1493" s="78"/>
    </row>
    <row r="1494" spans="1:29" ht="27" customHeight="1" x14ac:dyDescent="0.2">
      <c r="A1494" s="117" t="s">
        <v>4903</v>
      </c>
      <c r="B1494" s="118" t="e">
        <f>IF(COUNTIF(GIS,A1494),"YES","NO")</f>
        <v>#VALUE!</v>
      </c>
      <c r="C1494" s="118" t="s">
        <v>612</v>
      </c>
      <c r="D1494" s="113">
        <v>41017</v>
      </c>
      <c r="E1494" s="84">
        <v>41091</v>
      </c>
      <c r="F1494" s="84">
        <f>DATE(YEAR(E1494)+10,MONTH(E1494),DAY(E1494))</f>
        <v>44743</v>
      </c>
      <c r="G1494" s="229">
        <v>480</v>
      </c>
      <c r="H1494" s="71" t="s">
        <v>1548</v>
      </c>
      <c r="I1494" s="71" t="s">
        <v>1147</v>
      </c>
      <c r="J1494" s="72" t="s">
        <v>4904</v>
      </c>
      <c r="K1494" s="55">
        <f>YEAR(F1494)</f>
        <v>2022</v>
      </c>
      <c r="L1494" s="81"/>
      <c r="M1494" s="81"/>
      <c r="N1494" s="73" t="s">
        <v>4905</v>
      </c>
      <c r="O1494" s="73" t="s">
        <v>4906</v>
      </c>
      <c r="P1494" s="74"/>
      <c r="Q1494" s="75" t="s">
        <v>4907</v>
      </c>
      <c r="R1494" s="230">
        <v>1830</v>
      </c>
      <c r="S1494" s="230">
        <v>483840</v>
      </c>
      <c r="T1494" s="230">
        <v>485670</v>
      </c>
      <c r="U1494" s="231">
        <v>720</v>
      </c>
      <c r="V1494" s="230"/>
      <c r="W1494" s="230"/>
      <c r="X1494" s="231"/>
      <c r="Y1494" s="85"/>
      <c r="Z1494" s="101">
        <v>0.1</v>
      </c>
      <c r="AA1494" s="102">
        <v>0.09</v>
      </c>
      <c r="AB1494" s="77"/>
      <c r="AC1494" s="78"/>
    </row>
    <row r="1495" spans="1:29" ht="27" customHeight="1" x14ac:dyDescent="0.2">
      <c r="A1495" s="117" t="s">
        <v>4908</v>
      </c>
      <c r="B1495" s="118" t="e">
        <f>IF(COUNTIF(GIS,A1495),"YES","NO")</f>
        <v>#VALUE!</v>
      </c>
      <c r="C1495" s="118" t="s">
        <v>612</v>
      </c>
      <c r="D1495" s="113">
        <v>41017</v>
      </c>
      <c r="E1495" s="84">
        <v>41091</v>
      </c>
      <c r="F1495" s="84">
        <f>DATE(YEAR(E1495)+10,MONTH(E1495),DAY(E1495))</f>
        <v>44743</v>
      </c>
      <c r="G1495" s="229">
        <v>160</v>
      </c>
      <c r="H1495" s="71" t="s">
        <v>1548</v>
      </c>
      <c r="I1495" s="71" t="s">
        <v>1147</v>
      </c>
      <c r="J1495" s="72" t="s">
        <v>4904</v>
      </c>
      <c r="K1495" s="55">
        <f>YEAR(F1495)</f>
        <v>2022</v>
      </c>
      <c r="L1495" s="81"/>
      <c r="M1495" s="81"/>
      <c r="N1495" s="73" t="s">
        <v>4905</v>
      </c>
      <c r="O1495" s="73" t="s">
        <v>4909</v>
      </c>
      <c r="P1495" s="74"/>
      <c r="Q1495" s="75" t="s">
        <v>4910</v>
      </c>
      <c r="R1495" s="230">
        <v>710</v>
      </c>
      <c r="S1495" s="230">
        <v>167680</v>
      </c>
      <c r="T1495" s="230">
        <v>168390</v>
      </c>
      <c r="U1495" s="231">
        <v>240</v>
      </c>
      <c r="V1495" s="230"/>
      <c r="W1495" s="230"/>
      <c r="X1495" s="231"/>
      <c r="Y1495" s="85"/>
      <c r="Z1495" s="101">
        <v>0.1</v>
      </c>
      <c r="AA1495" s="102">
        <v>0.09</v>
      </c>
      <c r="AB1495" s="77"/>
      <c r="AC1495" s="78"/>
    </row>
    <row r="1496" spans="1:29" x14ac:dyDescent="0.2">
      <c r="A1496" s="117" t="s">
        <v>4911</v>
      </c>
      <c r="B1496" s="118" t="e">
        <f>IF(COUNTIF(GIS,A1496),"YES","NO")</f>
        <v>#VALUE!</v>
      </c>
      <c r="C1496" s="118" t="s">
        <v>612</v>
      </c>
      <c r="D1496" s="113">
        <v>41017</v>
      </c>
      <c r="E1496" s="84">
        <v>41091</v>
      </c>
      <c r="F1496" s="84">
        <f>DATE(YEAR(E1496)+10,MONTH(E1496),DAY(E1496))</f>
        <v>44743</v>
      </c>
      <c r="G1496" s="229">
        <v>20</v>
      </c>
      <c r="H1496" s="71" t="s">
        <v>4912</v>
      </c>
      <c r="I1496" s="71" t="s">
        <v>812</v>
      </c>
      <c r="J1496" s="79"/>
      <c r="K1496" s="55">
        <f>YEAR(F1496)</f>
        <v>2022</v>
      </c>
      <c r="L1496" s="80"/>
      <c r="M1496" s="80"/>
      <c r="N1496" s="73" t="s">
        <v>4913</v>
      </c>
      <c r="O1496" s="73" t="s">
        <v>4914</v>
      </c>
      <c r="P1496" s="74"/>
      <c r="Q1496" s="75" t="s">
        <v>4915</v>
      </c>
      <c r="R1496" s="230">
        <v>220</v>
      </c>
      <c r="S1496" s="230">
        <v>0</v>
      </c>
      <c r="T1496" s="230">
        <v>220</v>
      </c>
      <c r="U1496" s="231">
        <v>30</v>
      </c>
      <c r="V1496" s="230"/>
      <c r="W1496" s="230"/>
      <c r="X1496" s="231"/>
      <c r="Y1496" s="85"/>
      <c r="Z1496" s="101">
        <v>0.1</v>
      </c>
      <c r="AA1496" s="102">
        <v>0.09</v>
      </c>
      <c r="AB1496" s="77"/>
      <c r="AC1496" s="78"/>
    </row>
    <row r="1497" spans="1:29" ht="15" hidden="1" customHeight="1" thickBot="1" x14ac:dyDescent="0.25">
      <c r="A1497" s="117"/>
      <c r="D1497" s="71"/>
      <c r="E1497" s="78"/>
      <c r="F1497" s="84"/>
      <c r="G1497" s="229"/>
      <c r="H1497" s="71"/>
      <c r="I1497" s="71"/>
      <c r="J1497" s="79"/>
      <c r="K1497" s="79"/>
      <c r="L1497" s="80"/>
      <c r="M1497" s="80"/>
      <c r="N1497" s="73"/>
      <c r="O1497" s="73"/>
      <c r="P1497" s="74"/>
      <c r="Q1497" s="75"/>
      <c r="R1497" s="241">
        <v>2760</v>
      </c>
      <c r="S1497" s="241">
        <v>651520</v>
      </c>
      <c r="T1497" s="241">
        <v>654280</v>
      </c>
      <c r="U1497" s="231"/>
      <c r="V1497" s="230"/>
      <c r="W1497" s="230"/>
      <c r="X1497" s="231"/>
      <c r="Y1497" s="85"/>
      <c r="Z1497" s="85"/>
      <c r="AA1497" s="76"/>
      <c r="AB1497" s="77"/>
      <c r="AC1497" s="78"/>
    </row>
    <row r="1498" spans="1:29" hidden="1" x14ac:dyDescent="0.2">
      <c r="A1498" s="117"/>
      <c r="D1498" s="71"/>
      <c r="E1498" s="78"/>
      <c r="F1498" s="84"/>
      <c r="G1498" s="71"/>
      <c r="H1498" s="71"/>
      <c r="I1498" s="71"/>
      <c r="J1498" s="79"/>
      <c r="K1498" s="79"/>
      <c r="L1498" s="80"/>
      <c r="M1498" s="80"/>
      <c r="N1498" s="73"/>
      <c r="O1498" s="73"/>
      <c r="P1498" s="74"/>
      <c r="Q1498" s="75"/>
      <c r="R1498" s="230"/>
      <c r="S1498" s="230"/>
      <c r="T1498" s="230"/>
      <c r="U1498" s="231"/>
      <c r="V1498" s="230"/>
      <c r="W1498" s="230"/>
      <c r="X1498" s="231"/>
      <c r="Y1498" s="85"/>
      <c r="Z1498" s="85"/>
      <c r="AA1498" s="76"/>
      <c r="AB1498" s="77"/>
      <c r="AC1498" s="78"/>
    </row>
    <row r="1499" spans="1:29" ht="27" customHeight="1" x14ac:dyDescent="0.2">
      <c r="A1499" s="117" t="s">
        <v>4916</v>
      </c>
      <c r="B1499" s="118" t="e">
        <f t="shared" ref="B1499:B1538" si="165">IF(COUNTIF(GIS,A1499),"YES","NO")</f>
        <v>#VALUE!</v>
      </c>
      <c r="C1499" s="118" t="s">
        <v>612</v>
      </c>
      <c r="D1499" s="113">
        <v>41074</v>
      </c>
      <c r="E1499" s="84">
        <v>41122</v>
      </c>
      <c r="F1499" s="84">
        <f t="shared" ref="F1499:F1538" si="166">DATE(YEAR(E1499)+10,MONTH(E1499),DAY(E1499))</f>
        <v>44774</v>
      </c>
      <c r="G1499" s="106">
        <v>233.29</v>
      </c>
      <c r="H1499" s="71" t="s">
        <v>906</v>
      </c>
      <c r="I1499" s="71" t="s">
        <v>691</v>
      </c>
      <c r="J1499" s="79"/>
      <c r="K1499" s="55">
        <f t="shared" ref="K1499:K1538" si="167">YEAR(F1499)</f>
        <v>2022</v>
      </c>
      <c r="L1499" s="80"/>
      <c r="M1499" s="80"/>
      <c r="N1499" s="73" t="s">
        <v>4917</v>
      </c>
      <c r="O1499" s="73" t="s">
        <v>4918</v>
      </c>
      <c r="P1499" s="74"/>
      <c r="Q1499" s="75" t="s">
        <v>4919</v>
      </c>
      <c r="R1499" s="230">
        <v>969</v>
      </c>
      <c r="S1499" s="230">
        <v>98982</v>
      </c>
      <c r="T1499" s="230">
        <v>99951</v>
      </c>
      <c r="U1499" s="231">
        <v>351</v>
      </c>
      <c r="V1499" s="230"/>
      <c r="W1499" s="230"/>
      <c r="X1499" s="231"/>
      <c r="Y1499" s="71"/>
      <c r="Z1499" s="101">
        <v>0.1</v>
      </c>
      <c r="AA1499" s="102">
        <v>0.09</v>
      </c>
      <c r="AB1499" s="77"/>
      <c r="AC1499" s="78"/>
    </row>
    <row r="1500" spans="1:29" x14ac:dyDescent="0.2">
      <c r="A1500" s="117" t="s">
        <v>4920</v>
      </c>
      <c r="B1500" s="118" t="e">
        <f t="shared" si="165"/>
        <v>#VALUE!</v>
      </c>
      <c r="C1500" s="118" t="s">
        <v>612</v>
      </c>
      <c r="D1500" s="113">
        <v>41074</v>
      </c>
      <c r="E1500" s="84">
        <v>41122</v>
      </c>
      <c r="F1500" s="84">
        <f t="shared" si="166"/>
        <v>44774</v>
      </c>
      <c r="G1500" s="106">
        <v>471.91</v>
      </c>
      <c r="H1500" s="71" t="s">
        <v>906</v>
      </c>
      <c r="I1500" s="71" t="s">
        <v>691</v>
      </c>
      <c r="J1500" s="79"/>
      <c r="K1500" s="55">
        <f t="shared" si="167"/>
        <v>2022</v>
      </c>
      <c r="L1500" s="80"/>
      <c r="M1500" s="80"/>
      <c r="N1500" s="73" t="s">
        <v>4832</v>
      </c>
      <c r="O1500" s="73" t="s">
        <v>4921</v>
      </c>
      <c r="P1500" s="74"/>
      <c r="Q1500" s="75" t="s">
        <v>4922</v>
      </c>
      <c r="R1500" s="230">
        <v>1802</v>
      </c>
      <c r="S1500" s="230">
        <v>15576</v>
      </c>
      <c r="T1500" s="230">
        <v>17378</v>
      </c>
      <c r="U1500" s="231">
        <v>708</v>
      </c>
      <c r="V1500" s="230"/>
      <c r="W1500" s="230"/>
      <c r="X1500" s="231"/>
      <c r="Y1500" s="71"/>
      <c r="Z1500" s="101">
        <v>0.1</v>
      </c>
      <c r="AA1500" s="102">
        <v>0.09</v>
      </c>
      <c r="AB1500" s="77"/>
      <c r="AC1500" s="78"/>
    </row>
    <row r="1501" spans="1:29" x14ac:dyDescent="0.2">
      <c r="A1501" s="117" t="s">
        <v>4923</v>
      </c>
      <c r="B1501" s="118" t="e">
        <f t="shared" si="165"/>
        <v>#VALUE!</v>
      </c>
      <c r="C1501" s="118" t="s">
        <v>612</v>
      </c>
      <c r="D1501" s="113">
        <v>41074</v>
      </c>
      <c r="E1501" s="84">
        <v>41122</v>
      </c>
      <c r="F1501" s="84">
        <f t="shared" si="166"/>
        <v>44774</v>
      </c>
      <c r="G1501" s="106">
        <v>160</v>
      </c>
      <c r="H1501" s="71" t="s">
        <v>4924</v>
      </c>
      <c r="I1501" s="71" t="s">
        <v>691</v>
      </c>
      <c r="J1501" s="79"/>
      <c r="K1501" s="55">
        <f t="shared" si="167"/>
        <v>2022</v>
      </c>
      <c r="L1501" s="80"/>
      <c r="M1501" s="80"/>
      <c r="N1501" s="73" t="s">
        <v>4925</v>
      </c>
      <c r="O1501" s="73" t="s">
        <v>4926</v>
      </c>
      <c r="P1501" s="74"/>
      <c r="Q1501" s="75" t="s">
        <v>4927</v>
      </c>
      <c r="R1501" s="230">
        <v>710</v>
      </c>
      <c r="S1501" s="230">
        <v>8480</v>
      </c>
      <c r="T1501" s="230">
        <v>9190</v>
      </c>
      <c r="U1501" s="231">
        <v>240</v>
      </c>
      <c r="V1501" s="230"/>
      <c r="W1501" s="230"/>
      <c r="X1501" s="231"/>
      <c r="Y1501" s="71"/>
      <c r="Z1501" s="101">
        <v>0.1</v>
      </c>
      <c r="AA1501" s="102">
        <v>0.09</v>
      </c>
      <c r="AB1501" s="77"/>
      <c r="AC1501" s="78"/>
    </row>
    <row r="1502" spans="1:29" x14ac:dyDescent="0.2">
      <c r="A1502" s="117" t="s">
        <v>4928</v>
      </c>
      <c r="B1502" s="118" t="e">
        <f t="shared" si="165"/>
        <v>#VALUE!</v>
      </c>
      <c r="C1502" s="118" t="s">
        <v>612</v>
      </c>
      <c r="D1502" s="113">
        <v>41074</v>
      </c>
      <c r="E1502" s="84">
        <v>41122</v>
      </c>
      <c r="F1502" s="84">
        <f t="shared" si="166"/>
        <v>44774</v>
      </c>
      <c r="G1502" s="106">
        <v>1285.44</v>
      </c>
      <c r="H1502" s="71" t="s">
        <v>4924</v>
      </c>
      <c r="I1502" s="71" t="s">
        <v>691</v>
      </c>
      <c r="J1502" s="79"/>
      <c r="K1502" s="55">
        <f t="shared" si="167"/>
        <v>2022</v>
      </c>
      <c r="L1502" s="80"/>
      <c r="M1502" s="80"/>
      <c r="N1502" s="73" t="s">
        <v>4925</v>
      </c>
      <c r="O1502" s="73" t="s">
        <v>4929</v>
      </c>
      <c r="P1502" s="74"/>
      <c r="Q1502" s="75" t="s">
        <v>4930</v>
      </c>
      <c r="R1502" s="230">
        <v>4651</v>
      </c>
      <c r="S1502" s="230">
        <v>46296</v>
      </c>
      <c r="T1502" s="230">
        <v>50947</v>
      </c>
      <c r="U1502" s="231">
        <v>1929</v>
      </c>
      <c r="V1502" s="230"/>
      <c r="W1502" s="230"/>
      <c r="X1502" s="231"/>
      <c r="Y1502" s="71"/>
      <c r="Z1502" s="101">
        <v>0.1</v>
      </c>
      <c r="AA1502" s="102">
        <v>0.09</v>
      </c>
      <c r="AB1502" s="77"/>
      <c r="AC1502" s="78"/>
    </row>
    <row r="1503" spans="1:29" x14ac:dyDescent="0.2">
      <c r="A1503" s="117" t="s">
        <v>4931</v>
      </c>
      <c r="B1503" s="118" t="e">
        <f t="shared" si="165"/>
        <v>#VALUE!</v>
      </c>
      <c r="C1503" s="118" t="s">
        <v>612</v>
      </c>
      <c r="D1503" s="113">
        <v>41074</v>
      </c>
      <c r="E1503" s="84">
        <v>41122</v>
      </c>
      <c r="F1503" s="84">
        <f t="shared" si="166"/>
        <v>44774</v>
      </c>
      <c r="G1503" s="106">
        <v>210.3</v>
      </c>
      <c r="H1503" s="71" t="s">
        <v>4924</v>
      </c>
      <c r="I1503" s="71" t="s">
        <v>691</v>
      </c>
      <c r="J1503" s="79"/>
      <c r="K1503" s="55">
        <f t="shared" si="167"/>
        <v>2022</v>
      </c>
      <c r="L1503" s="80"/>
      <c r="M1503" s="80"/>
      <c r="N1503" s="73" t="s">
        <v>4925</v>
      </c>
      <c r="O1503" s="73" t="s">
        <v>4932</v>
      </c>
      <c r="P1503" s="74"/>
      <c r="Q1503" s="75" t="s">
        <v>4933</v>
      </c>
      <c r="R1503" s="230">
        <v>888.5</v>
      </c>
      <c r="S1503" s="230">
        <v>11816</v>
      </c>
      <c r="T1503" s="230">
        <v>12704.5</v>
      </c>
      <c r="U1503" s="231">
        <v>316.5</v>
      </c>
      <c r="V1503" s="230"/>
      <c r="W1503" s="230"/>
      <c r="X1503" s="231"/>
      <c r="Y1503" s="71"/>
      <c r="Z1503" s="101">
        <v>0.1</v>
      </c>
      <c r="AA1503" s="102">
        <v>0.09</v>
      </c>
      <c r="AB1503" s="77"/>
      <c r="AC1503" s="78"/>
    </row>
    <row r="1504" spans="1:29" x14ac:dyDescent="0.2">
      <c r="A1504" s="117" t="s">
        <v>4934</v>
      </c>
      <c r="B1504" s="118" t="e">
        <f t="shared" si="165"/>
        <v>#VALUE!</v>
      </c>
      <c r="C1504" s="118" t="s">
        <v>612</v>
      </c>
      <c r="D1504" s="113">
        <v>41074</v>
      </c>
      <c r="E1504" s="84">
        <v>41122</v>
      </c>
      <c r="F1504" s="84">
        <f t="shared" si="166"/>
        <v>44774</v>
      </c>
      <c r="G1504" s="106">
        <v>639.55999999999995</v>
      </c>
      <c r="H1504" s="71" t="s">
        <v>4924</v>
      </c>
      <c r="I1504" s="71" t="s">
        <v>691</v>
      </c>
      <c r="J1504" s="79"/>
      <c r="K1504" s="55">
        <f t="shared" si="167"/>
        <v>2022</v>
      </c>
      <c r="L1504" s="80"/>
      <c r="M1504" s="80"/>
      <c r="N1504" s="73" t="s">
        <v>4925</v>
      </c>
      <c r="O1504" s="73" t="s">
        <v>4935</v>
      </c>
      <c r="P1504" s="74"/>
      <c r="Q1504" s="75" t="s">
        <v>4936</v>
      </c>
      <c r="R1504" s="230">
        <v>2390</v>
      </c>
      <c r="S1504" s="230">
        <v>32000</v>
      </c>
      <c r="T1504" s="230">
        <v>34390</v>
      </c>
      <c r="U1504" s="231">
        <v>960</v>
      </c>
      <c r="V1504" s="230"/>
      <c r="W1504" s="230"/>
      <c r="X1504" s="231"/>
      <c r="Y1504" s="71"/>
      <c r="Z1504" s="101">
        <v>0.1</v>
      </c>
      <c r="AA1504" s="102">
        <v>0.09</v>
      </c>
      <c r="AB1504" s="77"/>
      <c r="AC1504" s="78"/>
    </row>
    <row r="1505" spans="1:29" x14ac:dyDescent="0.2">
      <c r="A1505" s="117" t="s">
        <v>4937</v>
      </c>
      <c r="B1505" s="118" t="e">
        <f t="shared" si="165"/>
        <v>#VALUE!</v>
      </c>
      <c r="C1505" s="118" t="s">
        <v>612</v>
      </c>
      <c r="D1505" s="113">
        <v>41074</v>
      </c>
      <c r="E1505" s="84">
        <v>41122</v>
      </c>
      <c r="F1505" s="84">
        <f t="shared" si="166"/>
        <v>44774</v>
      </c>
      <c r="G1505" s="106">
        <v>637.4</v>
      </c>
      <c r="H1505" s="71" t="s">
        <v>4839</v>
      </c>
      <c r="I1505" s="71" t="s">
        <v>684</v>
      </c>
      <c r="J1505" s="79"/>
      <c r="K1505" s="55">
        <f t="shared" si="167"/>
        <v>2022</v>
      </c>
      <c r="L1505" s="80"/>
      <c r="M1505" s="80"/>
      <c r="N1505" s="73" t="s">
        <v>4938</v>
      </c>
      <c r="O1505" s="73" t="s">
        <v>4939</v>
      </c>
      <c r="P1505" s="74"/>
      <c r="Q1505" s="75" t="s">
        <v>4940</v>
      </c>
      <c r="R1505" s="230">
        <v>2383</v>
      </c>
      <c r="S1505" s="230">
        <v>0</v>
      </c>
      <c r="T1505" s="230">
        <v>2383</v>
      </c>
      <c r="U1505" s="231">
        <v>957</v>
      </c>
      <c r="V1505" s="230"/>
      <c r="W1505" s="230"/>
      <c r="X1505" s="231"/>
      <c r="Y1505" s="71"/>
      <c r="Z1505" s="101">
        <v>0.1</v>
      </c>
      <c r="AA1505" s="102">
        <v>0.09</v>
      </c>
      <c r="AB1505" s="77"/>
      <c r="AC1505" s="78"/>
    </row>
    <row r="1506" spans="1:29" x14ac:dyDescent="0.2">
      <c r="A1506" s="117" t="s">
        <v>4941</v>
      </c>
      <c r="B1506" s="118" t="e">
        <f t="shared" si="165"/>
        <v>#VALUE!</v>
      </c>
      <c r="C1506" s="118" t="s">
        <v>612</v>
      </c>
      <c r="D1506" s="113">
        <v>41074</v>
      </c>
      <c r="E1506" s="84">
        <v>41122</v>
      </c>
      <c r="F1506" s="84">
        <f t="shared" si="166"/>
        <v>44774</v>
      </c>
      <c r="G1506" s="106">
        <v>1274</v>
      </c>
      <c r="H1506" s="71" t="s">
        <v>4839</v>
      </c>
      <c r="I1506" s="71" t="s">
        <v>684</v>
      </c>
      <c r="J1506" s="79"/>
      <c r="K1506" s="55">
        <f t="shared" si="167"/>
        <v>2022</v>
      </c>
      <c r="L1506" s="80"/>
      <c r="M1506" s="80"/>
      <c r="N1506" s="73" t="s">
        <v>4938</v>
      </c>
      <c r="O1506" s="73" t="s">
        <v>4942</v>
      </c>
      <c r="P1506" s="74"/>
      <c r="Q1506" s="75" t="s">
        <v>4943</v>
      </c>
      <c r="R1506" s="230">
        <v>4609</v>
      </c>
      <c r="S1506" s="230">
        <v>5096</v>
      </c>
      <c r="T1506" s="230">
        <v>9705</v>
      </c>
      <c r="U1506" s="231">
        <v>1911</v>
      </c>
      <c r="V1506" s="230"/>
      <c r="W1506" s="230"/>
      <c r="X1506" s="231"/>
      <c r="Y1506" s="71"/>
      <c r="Z1506" s="101">
        <v>0.1</v>
      </c>
      <c r="AA1506" s="102">
        <v>0.09</v>
      </c>
      <c r="AB1506" s="77"/>
      <c r="AC1506" s="78"/>
    </row>
    <row r="1507" spans="1:29" ht="27" customHeight="1" x14ac:dyDescent="0.2">
      <c r="A1507" s="117" t="s">
        <v>4944</v>
      </c>
      <c r="B1507" s="118" t="e">
        <f t="shared" si="165"/>
        <v>#VALUE!</v>
      </c>
      <c r="C1507" s="118" t="s">
        <v>612</v>
      </c>
      <c r="D1507" s="113">
        <v>41074</v>
      </c>
      <c r="E1507" s="84">
        <v>41122</v>
      </c>
      <c r="F1507" s="84">
        <f t="shared" si="166"/>
        <v>44774</v>
      </c>
      <c r="G1507" s="106">
        <v>2054.08</v>
      </c>
      <c r="H1507" s="71" t="s">
        <v>4839</v>
      </c>
      <c r="I1507" s="71" t="s">
        <v>684</v>
      </c>
      <c r="J1507" s="79"/>
      <c r="K1507" s="55">
        <f t="shared" si="167"/>
        <v>2022</v>
      </c>
      <c r="L1507" s="80"/>
      <c r="M1507" s="80"/>
      <c r="N1507" s="73" t="s">
        <v>4938</v>
      </c>
      <c r="O1507" s="73" t="s">
        <v>4945</v>
      </c>
      <c r="P1507" s="74"/>
      <c r="Q1507" s="75" t="s">
        <v>4946</v>
      </c>
      <c r="R1507" s="230">
        <v>7342.5</v>
      </c>
      <c r="S1507" s="230">
        <v>16440</v>
      </c>
      <c r="T1507" s="230">
        <v>23782.5</v>
      </c>
      <c r="U1507" s="231">
        <v>3082.5</v>
      </c>
      <c r="V1507" s="230"/>
      <c r="W1507" s="230"/>
      <c r="X1507" s="231"/>
      <c r="Y1507" s="71"/>
      <c r="Z1507" s="101">
        <v>0.1</v>
      </c>
      <c r="AA1507" s="102">
        <v>0.09</v>
      </c>
      <c r="AB1507" s="77"/>
      <c r="AC1507" s="78"/>
    </row>
    <row r="1508" spans="1:29" x14ac:dyDescent="0.2">
      <c r="A1508" s="117" t="s">
        <v>4947</v>
      </c>
      <c r="B1508" s="118" t="e">
        <f t="shared" si="165"/>
        <v>#VALUE!</v>
      </c>
      <c r="C1508" s="118" t="s">
        <v>612</v>
      </c>
      <c r="D1508" s="113">
        <v>41074</v>
      </c>
      <c r="E1508" s="84">
        <v>41122</v>
      </c>
      <c r="F1508" s="84">
        <f t="shared" si="166"/>
        <v>44774</v>
      </c>
      <c r="G1508" s="106">
        <v>1911.48</v>
      </c>
      <c r="H1508" s="71" t="s">
        <v>4839</v>
      </c>
      <c r="I1508" s="71" t="s">
        <v>684</v>
      </c>
      <c r="J1508" s="79"/>
      <c r="K1508" s="55">
        <f t="shared" si="167"/>
        <v>2022</v>
      </c>
      <c r="L1508" s="80"/>
      <c r="M1508" s="80"/>
      <c r="N1508" s="73" t="s">
        <v>4938</v>
      </c>
      <c r="O1508" s="73" t="s">
        <v>4948</v>
      </c>
      <c r="P1508" s="74"/>
      <c r="Q1508" s="75" t="s">
        <v>4949</v>
      </c>
      <c r="R1508" s="230">
        <v>6842</v>
      </c>
      <c r="S1508" s="230">
        <v>15296</v>
      </c>
      <c r="T1508" s="230">
        <v>22138</v>
      </c>
      <c r="U1508" s="231">
        <v>2868</v>
      </c>
      <c r="V1508" s="230"/>
      <c r="W1508" s="230"/>
      <c r="X1508" s="231"/>
      <c r="Y1508" s="71"/>
      <c r="Z1508" s="101">
        <v>0.1</v>
      </c>
      <c r="AA1508" s="102">
        <v>0.09</v>
      </c>
      <c r="AB1508" s="77"/>
      <c r="AC1508" s="78"/>
    </row>
    <row r="1509" spans="1:29" x14ac:dyDescent="0.2">
      <c r="A1509" s="117" t="s">
        <v>4950</v>
      </c>
      <c r="B1509" s="118" t="e">
        <f t="shared" si="165"/>
        <v>#VALUE!</v>
      </c>
      <c r="C1509" s="118" t="s">
        <v>612</v>
      </c>
      <c r="D1509" s="113">
        <v>41074</v>
      </c>
      <c r="E1509" s="84">
        <v>41122</v>
      </c>
      <c r="F1509" s="84">
        <f t="shared" si="166"/>
        <v>44774</v>
      </c>
      <c r="G1509" s="106">
        <v>642.53</v>
      </c>
      <c r="H1509" s="71" t="s">
        <v>4924</v>
      </c>
      <c r="I1509" s="71" t="s">
        <v>691</v>
      </c>
      <c r="J1509" s="79"/>
      <c r="K1509" s="55">
        <f t="shared" si="167"/>
        <v>2022</v>
      </c>
      <c r="L1509" s="80"/>
      <c r="M1509" s="80"/>
      <c r="N1509" s="73" t="s">
        <v>4925</v>
      </c>
      <c r="O1509" s="73" t="s">
        <v>4646</v>
      </c>
      <c r="P1509" s="74"/>
      <c r="Q1509" s="75" t="s">
        <v>4951</v>
      </c>
      <c r="R1509" s="230">
        <v>2400.5</v>
      </c>
      <c r="S1509" s="230">
        <v>30864</v>
      </c>
      <c r="T1509" s="230">
        <v>33264.5</v>
      </c>
      <c r="U1509" s="231">
        <v>964.5</v>
      </c>
      <c r="V1509" s="230"/>
      <c r="W1509" s="230"/>
      <c r="X1509" s="231"/>
      <c r="Y1509" s="71"/>
      <c r="Z1509" s="101">
        <v>0.1</v>
      </c>
      <c r="AA1509" s="102">
        <v>0.09</v>
      </c>
      <c r="AB1509" s="77"/>
      <c r="AC1509" s="78"/>
    </row>
    <row r="1510" spans="1:29" x14ac:dyDescent="0.2">
      <c r="A1510" s="117" t="s">
        <v>4952</v>
      </c>
      <c r="B1510" s="118" t="e">
        <f t="shared" si="165"/>
        <v>#VALUE!</v>
      </c>
      <c r="C1510" s="118" t="s">
        <v>612</v>
      </c>
      <c r="D1510" s="113">
        <v>41074</v>
      </c>
      <c r="E1510" s="84">
        <v>41122</v>
      </c>
      <c r="F1510" s="84">
        <f t="shared" si="166"/>
        <v>44774</v>
      </c>
      <c r="G1510" s="106">
        <v>1273.8</v>
      </c>
      <c r="H1510" s="71" t="s">
        <v>4839</v>
      </c>
      <c r="I1510" s="71" t="s">
        <v>684</v>
      </c>
      <c r="J1510" s="79"/>
      <c r="K1510" s="55">
        <f t="shared" si="167"/>
        <v>2022</v>
      </c>
      <c r="L1510" s="80"/>
      <c r="M1510" s="80"/>
      <c r="N1510" s="73" t="s">
        <v>4938</v>
      </c>
      <c r="O1510" s="73" t="s">
        <v>4953</v>
      </c>
      <c r="P1510" s="74"/>
      <c r="Q1510" s="75" t="s">
        <v>4954</v>
      </c>
      <c r="R1510" s="230">
        <v>4609</v>
      </c>
      <c r="S1510" s="230">
        <v>0</v>
      </c>
      <c r="T1510" s="230">
        <v>4609</v>
      </c>
      <c r="U1510" s="231">
        <v>1911</v>
      </c>
      <c r="V1510" s="230"/>
      <c r="W1510" s="230"/>
      <c r="X1510" s="231"/>
      <c r="Y1510" s="71"/>
      <c r="Z1510" s="101">
        <v>0.1</v>
      </c>
      <c r="AA1510" s="102">
        <v>0.09</v>
      </c>
      <c r="AB1510" s="77"/>
      <c r="AC1510" s="78"/>
    </row>
    <row r="1511" spans="1:29" ht="40" customHeight="1" x14ac:dyDescent="0.2">
      <c r="A1511" s="117" t="s">
        <v>4955</v>
      </c>
      <c r="B1511" s="118" t="e">
        <f t="shared" si="165"/>
        <v>#VALUE!</v>
      </c>
      <c r="C1511" s="118" t="s">
        <v>612</v>
      </c>
      <c r="D1511" s="113">
        <v>41074</v>
      </c>
      <c r="E1511" s="84">
        <v>41122</v>
      </c>
      <c r="F1511" s="84">
        <f t="shared" si="166"/>
        <v>44774</v>
      </c>
      <c r="G1511" s="106">
        <v>251.13</v>
      </c>
      <c r="H1511" s="71" t="s">
        <v>906</v>
      </c>
      <c r="I1511" s="71" t="s">
        <v>691</v>
      </c>
      <c r="J1511" s="79"/>
      <c r="K1511" s="55">
        <f t="shared" si="167"/>
        <v>2022</v>
      </c>
      <c r="L1511" s="80"/>
      <c r="M1511" s="80"/>
      <c r="N1511" s="73" t="s">
        <v>4825</v>
      </c>
      <c r="O1511" s="73" t="s">
        <v>4956</v>
      </c>
      <c r="P1511" s="74"/>
      <c r="Q1511" s="75" t="s">
        <v>4957</v>
      </c>
      <c r="R1511" s="230">
        <v>1032</v>
      </c>
      <c r="S1511" s="230">
        <v>9576</v>
      </c>
      <c r="T1511" s="230">
        <v>10608</v>
      </c>
      <c r="U1511" s="231">
        <v>378</v>
      </c>
      <c r="V1511" s="230"/>
      <c r="W1511" s="230"/>
      <c r="X1511" s="231"/>
      <c r="Y1511" s="71"/>
      <c r="Z1511" s="101">
        <v>0.1</v>
      </c>
      <c r="AA1511" s="102">
        <v>0.09</v>
      </c>
      <c r="AB1511" s="77"/>
      <c r="AC1511" s="78"/>
    </row>
    <row r="1512" spans="1:29" x14ac:dyDescent="0.2">
      <c r="A1512" s="117" t="s">
        <v>4958</v>
      </c>
      <c r="B1512" s="118" t="e">
        <f t="shared" si="165"/>
        <v>#VALUE!</v>
      </c>
      <c r="C1512" s="118" t="s">
        <v>612</v>
      </c>
      <c r="D1512" s="113">
        <v>41074</v>
      </c>
      <c r="E1512" s="84">
        <v>41122</v>
      </c>
      <c r="F1512" s="84">
        <f t="shared" si="166"/>
        <v>44774</v>
      </c>
      <c r="G1512" s="106">
        <v>1998.57</v>
      </c>
      <c r="H1512" s="71" t="s">
        <v>4839</v>
      </c>
      <c r="I1512" s="71" t="s">
        <v>684</v>
      </c>
      <c r="J1512" s="79"/>
      <c r="K1512" s="55">
        <f t="shared" si="167"/>
        <v>2022</v>
      </c>
      <c r="L1512" s="80"/>
      <c r="M1512" s="80"/>
      <c r="N1512" s="73" t="s">
        <v>4938</v>
      </c>
      <c r="O1512" s="73" t="s">
        <v>4959</v>
      </c>
      <c r="P1512" s="74"/>
      <c r="Q1512" s="75" t="s">
        <v>4960</v>
      </c>
      <c r="R1512" s="230">
        <v>7146.5</v>
      </c>
      <c r="S1512" s="230">
        <v>0</v>
      </c>
      <c r="T1512" s="230">
        <v>7146.5</v>
      </c>
      <c r="U1512" s="231">
        <v>2998.5</v>
      </c>
      <c r="V1512" s="230"/>
      <c r="W1512" s="230"/>
      <c r="X1512" s="231"/>
      <c r="Y1512" s="71"/>
      <c r="Z1512" s="101">
        <v>0.1</v>
      </c>
      <c r="AA1512" s="102">
        <v>0.09</v>
      </c>
      <c r="AB1512" s="77"/>
      <c r="AC1512" s="78"/>
    </row>
    <row r="1513" spans="1:29" x14ac:dyDescent="0.2">
      <c r="A1513" s="117" t="s">
        <v>4961</v>
      </c>
      <c r="B1513" s="118" t="e">
        <f t="shared" si="165"/>
        <v>#VALUE!</v>
      </c>
      <c r="C1513" s="118" t="s">
        <v>612</v>
      </c>
      <c r="D1513" s="113">
        <v>41074</v>
      </c>
      <c r="E1513" s="84">
        <v>41122</v>
      </c>
      <c r="F1513" s="84">
        <f t="shared" si="166"/>
        <v>44774</v>
      </c>
      <c r="G1513" s="106">
        <v>233</v>
      </c>
      <c r="H1513" s="71" t="s">
        <v>906</v>
      </c>
      <c r="I1513" s="71" t="s">
        <v>691</v>
      </c>
      <c r="J1513" s="79"/>
      <c r="K1513" s="55">
        <f t="shared" si="167"/>
        <v>2022</v>
      </c>
      <c r="L1513" s="80"/>
      <c r="M1513" s="80"/>
      <c r="N1513" s="73" t="s">
        <v>4832</v>
      </c>
      <c r="O1513" s="73" t="s">
        <v>4962</v>
      </c>
      <c r="P1513" s="74"/>
      <c r="Q1513" s="75" t="s">
        <v>4963</v>
      </c>
      <c r="R1513" s="230">
        <v>965.5</v>
      </c>
      <c r="S1513" s="230">
        <v>1864</v>
      </c>
      <c r="T1513" s="230">
        <v>2829.5</v>
      </c>
      <c r="U1513" s="231">
        <v>349.5</v>
      </c>
      <c r="V1513" s="230"/>
      <c r="W1513" s="230"/>
      <c r="X1513" s="231"/>
      <c r="Y1513" s="85"/>
      <c r="Z1513" s="101">
        <v>0.1</v>
      </c>
      <c r="AA1513" s="102">
        <v>0.09</v>
      </c>
      <c r="AB1513" s="77"/>
      <c r="AC1513" s="78"/>
    </row>
    <row r="1514" spans="1:29" ht="40" customHeight="1" x14ac:dyDescent="0.2">
      <c r="A1514" s="117" t="s">
        <v>4964</v>
      </c>
      <c r="B1514" s="118" t="e">
        <f t="shared" si="165"/>
        <v>#VALUE!</v>
      </c>
      <c r="C1514" s="118" t="s">
        <v>612</v>
      </c>
      <c r="D1514" s="113">
        <v>41074</v>
      </c>
      <c r="E1514" s="84">
        <v>41122</v>
      </c>
      <c r="F1514" s="84">
        <f t="shared" si="166"/>
        <v>44774</v>
      </c>
      <c r="G1514" s="106">
        <v>1501.96</v>
      </c>
      <c r="H1514" s="71" t="s">
        <v>4924</v>
      </c>
      <c r="I1514" s="71" t="s">
        <v>691</v>
      </c>
      <c r="J1514" s="79"/>
      <c r="K1514" s="55">
        <f t="shared" si="167"/>
        <v>2022</v>
      </c>
      <c r="L1514" s="80"/>
      <c r="M1514" s="80"/>
      <c r="N1514" s="73" t="s">
        <v>4925</v>
      </c>
      <c r="O1514" s="73" t="s">
        <v>4965</v>
      </c>
      <c r="P1514" s="74"/>
      <c r="Q1514" s="75" t="s">
        <v>4966</v>
      </c>
      <c r="R1514" s="230">
        <v>5407</v>
      </c>
      <c r="S1514" s="230">
        <v>54072</v>
      </c>
      <c r="T1514" s="230">
        <v>59479</v>
      </c>
      <c r="U1514" s="231">
        <v>2253</v>
      </c>
      <c r="V1514" s="230"/>
      <c r="W1514" s="230"/>
      <c r="X1514" s="231"/>
      <c r="Y1514" s="85"/>
      <c r="Z1514" s="101">
        <v>0.1</v>
      </c>
      <c r="AA1514" s="102">
        <v>0.09</v>
      </c>
      <c r="AB1514" s="77"/>
      <c r="AC1514" s="78"/>
    </row>
    <row r="1515" spans="1:29" x14ac:dyDescent="0.2">
      <c r="A1515" s="117" t="s">
        <v>4967</v>
      </c>
      <c r="B1515" s="118" t="e">
        <f t="shared" si="165"/>
        <v>#VALUE!</v>
      </c>
      <c r="C1515" s="118" t="s">
        <v>612</v>
      </c>
      <c r="D1515" s="113">
        <v>41074</v>
      </c>
      <c r="E1515" s="84">
        <v>41122</v>
      </c>
      <c r="F1515" s="84">
        <f t="shared" si="166"/>
        <v>44774</v>
      </c>
      <c r="G1515" s="106">
        <v>1154.67</v>
      </c>
      <c r="H1515" s="71" t="s">
        <v>4839</v>
      </c>
      <c r="I1515" s="71" t="s">
        <v>684</v>
      </c>
      <c r="J1515" s="79"/>
      <c r="K1515" s="55">
        <f t="shared" si="167"/>
        <v>2022</v>
      </c>
      <c r="L1515" s="80"/>
      <c r="M1515" s="80"/>
      <c r="N1515" s="73" t="s">
        <v>4938</v>
      </c>
      <c r="O1515" s="73" t="s">
        <v>4968</v>
      </c>
      <c r="P1515" s="74"/>
      <c r="Q1515" s="75" t="s">
        <v>4969</v>
      </c>
      <c r="R1515" s="230">
        <v>4192.5</v>
      </c>
      <c r="S1515" s="230">
        <v>0</v>
      </c>
      <c r="T1515" s="230">
        <v>4192.5</v>
      </c>
      <c r="U1515" s="231">
        <v>1732.5</v>
      </c>
      <c r="V1515" s="230"/>
      <c r="W1515" s="230"/>
      <c r="X1515" s="231"/>
      <c r="Y1515" s="85"/>
      <c r="Z1515" s="101">
        <v>0.1</v>
      </c>
      <c r="AA1515" s="102">
        <v>0.09</v>
      </c>
      <c r="AB1515" s="77"/>
      <c r="AC1515" s="78"/>
    </row>
    <row r="1516" spans="1:29" x14ac:dyDescent="0.2">
      <c r="A1516" s="117" t="s">
        <v>4970</v>
      </c>
      <c r="B1516" s="118" t="e">
        <f t="shared" si="165"/>
        <v>#VALUE!</v>
      </c>
      <c r="C1516" s="118" t="s">
        <v>612</v>
      </c>
      <c r="D1516" s="113">
        <v>41074</v>
      </c>
      <c r="E1516" s="84">
        <v>41122</v>
      </c>
      <c r="F1516" s="84">
        <f t="shared" si="166"/>
        <v>44774</v>
      </c>
      <c r="G1516" s="106">
        <v>636.63</v>
      </c>
      <c r="H1516" s="71" t="s">
        <v>4839</v>
      </c>
      <c r="I1516" s="71" t="s">
        <v>684</v>
      </c>
      <c r="J1516" s="79"/>
      <c r="K1516" s="55">
        <f t="shared" si="167"/>
        <v>2022</v>
      </c>
      <c r="L1516" s="80"/>
      <c r="M1516" s="80"/>
      <c r="N1516" s="73" t="s">
        <v>4938</v>
      </c>
      <c r="O1516" s="73" t="s">
        <v>4971</v>
      </c>
      <c r="P1516" s="74"/>
      <c r="Q1516" s="75" t="s">
        <v>4972</v>
      </c>
      <c r="R1516" s="230">
        <v>2379.5</v>
      </c>
      <c r="S1516" s="230">
        <v>0</v>
      </c>
      <c r="T1516" s="230">
        <v>2379.5</v>
      </c>
      <c r="U1516" s="231">
        <v>955.5</v>
      </c>
      <c r="V1516" s="230"/>
      <c r="W1516" s="230"/>
      <c r="X1516" s="231"/>
      <c r="Y1516" s="85"/>
      <c r="Z1516" s="101">
        <v>0.1</v>
      </c>
      <c r="AA1516" s="102">
        <v>0.09</v>
      </c>
      <c r="AB1516" s="77"/>
      <c r="AC1516" s="78"/>
    </row>
    <row r="1517" spans="1:29" x14ac:dyDescent="0.2">
      <c r="A1517" s="117" t="s">
        <v>4973</v>
      </c>
      <c r="B1517" s="118" t="e">
        <f t="shared" si="165"/>
        <v>#VALUE!</v>
      </c>
      <c r="C1517" s="118" t="s">
        <v>612</v>
      </c>
      <c r="D1517" s="113">
        <v>41074</v>
      </c>
      <c r="E1517" s="84">
        <v>41122</v>
      </c>
      <c r="F1517" s="84">
        <f t="shared" si="166"/>
        <v>44774</v>
      </c>
      <c r="G1517" s="106">
        <v>636.32000000000005</v>
      </c>
      <c r="H1517" s="71" t="s">
        <v>4839</v>
      </c>
      <c r="I1517" s="71" t="s">
        <v>684</v>
      </c>
      <c r="J1517" s="79"/>
      <c r="K1517" s="55">
        <f t="shared" si="167"/>
        <v>2022</v>
      </c>
      <c r="L1517" s="80"/>
      <c r="M1517" s="80"/>
      <c r="N1517" s="73" t="s">
        <v>4938</v>
      </c>
      <c r="O1517" s="73" t="s">
        <v>4974</v>
      </c>
      <c r="P1517" s="74"/>
      <c r="Q1517" s="75" t="s">
        <v>4975</v>
      </c>
      <c r="R1517" s="230">
        <v>2379.5</v>
      </c>
      <c r="S1517" s="230">
        <v>0</v>
      </c>
      <c r="T1517" s="230">
        <v>2379.5</v>
      </c>
      <c r="U1517" s="231">
        <v>955.5</v>
      </c>
      <c r="V1517" s="230"/>
      <c r="W1517" s="230"/>
      <c r="X1517" s="231"/>
      <c r="Y1517" s="85"/>
      <c r="Z1517" s="101">
        <v>0.1</v>
      </c>
      <c r="AA1517" s="102">
        <v>0.09</v>
      </c>
      <c r="AB1517" s="77"/>
      <c r="AC1517" s="78"/>
    </row>
    <row r="1518" spans="1:29" ht="40" customHeight="1" x14ac:dyDescent="0.2">
      <c r="A1518" s="117" t="s">
        <v>4976</v>
      </c>
      <c r="B1518" s="118" t="e">
        <f t="shared" si="165"/>
        <v>#VALUE!</v>
      </c>
      <c r="C1518" s="118" t="s">
        <v>612</v>
      </c>
      <c r="D1518" s="113">
        <v>41074</v>
      </c>
      <c r="E1518" s="84">
        <v>41122</v>
      </c>
      <c r="F1518" s="84">
        <f t="shared" si="166"/>
        <v>44774</v>
      </c>
      <c r="G1518" s="106">
        <v>2022.78</v>
      </c>
      <c r="H1518" s="71" t="s">
        <v>4839</v>
      </c>
      <c r="I1518" s="71" t="s">
        <v>684</v>
      </c>
      <c r="J1518" s="79"/>
      <c r="K1518" s="55">
        <f t="shared" si="167"/>
        <v>2022</v>
      </c>
      <c r="L1518" s="80"/>
      <c r="M1518" s="80"/>
      <c r="N1518" s="73" t="s">
        <v>4938</v>
      </c>
      <c r="O1518" s="73" t="s">
        <v>4977</v>
      </c>
      <c r="P1518" s="74"/>
      <c r="Q1518" s="75" t="s">
        <v>4978</v>
      </c>
      <c r="R1518" s="230">
        <v>7230.5</v>
      </c>
      <c r="S1518" s="230">
        <v>0</v>
      </c>
      <c r="T1518" s="230">
        <v>7230.5</v>
      </c>
      <c r="U1518" s="231">
        <v>3034.5</v>
      </c>
      <c r="V1518" s="230"/>
      <c r="W1518" s="230"/>
      <c r="X1518" s="231"/>
      <c r="Y1518" s="85"/>
      <c r="Z1518" s="101">
        <v>0.1</v>
      </c>
      <c r="AA1518" s="102">
        <v>0.09</v>
      </c>
      <c r="AB1518" s="77"/>
      <c r="AC1518" s="78"/>
    </row>
    <row r="1519" spans="1:29" x14ac:dyDescent="0.2">
      <c r="A1519" s="117" t="s">
        <v>4979</v>
      </c>
      <c r="B1519" s="118" t="e">
        <f t="shared" si="165"/>
        <v>#VALUE!</v>
      </c>
      <c r="C1519" s="118" t="s">
        <v>612</v>
      </c>
      <c r="D1519" s="113">
        <v>41074</v>
      </c>
      <c r="E1519" s="84">
        <v>41122</v>
      </c>
      <c r="F1519" s="84">
        <f t="shared" si="166"/>
        <v>44774</v>
      </c>
      <c r="G1519" s="106">
        <v>40</v>
      </c>
      <c r="H1519" s="71" t="s">
        <v>690</v>
      </c>
      <c r="I1519" s="71" t="s">
        <v>691</v>
      </c>
      <c r="J1519" s="72" t="s">
        <v>1414</v>
      </c>
      <c r="K1519" s="55">
        <f t="shared" si="167"/>
        <v>2022</v>
      </c>
      <c r="L1519" s="81"/>
      <c r="M1519" s="81"/>
      <c r="N1519" s="73" t="s">
        <v>4980</v>
      </c>
      <c r="O1519" s="73" t="s">
        <v>4981</v>
      </c>
      <c r="P1519" s="74"/>
      <c r="Q1519" s="75" t="s">
        <v>4982</v>
      </c>
      <c r="R1519" s="230">
        <v>290</v>
      </c>
      <c r="S1519" s="230">
        <v>0</v>
      </c>
      <c r="T1519" s="230">
        <v>290</v>
      </c>
      <c r="U1519" s="231">
        <v>60</v>
      </c>
      <c r="V1519" s="230"/>
      <c r="W1519" s="230"/>
      <c r="X1519" s="231"/>
      <c r="Y1519" s="85"/>
      <c r="Z1519" s="101">
        <v>0.1</v>
      </c>
      <c r="AA1519" s="102">
        <v>0.09</v>
      </c>
      <c r="AB1519" s="77"/>
      <c r="AC1519" s="78"/>
    </row>
    <row r="1520" spans="1:29" x14ac:dyDescent="0.2">
      <c r="A1520" s="117" t="s">
        <v>4983</v>
      </c>
      <c r="B1520" s="118" t="e">
        <f t="shared" si="165"/>
        <v>#VALUE!</v>
      </c>
      <c r="C1520" s="118" t="s">
        <v>612</v>
      </c>
      <c r="D1520" s="113">
        <v>41074</v>
      </c>
      <c r="E1520" s="84">
        <v>41122</v>
      </c>
      <c r="F1520" s="84">
        <f t="shared" si="166"/>
        <v>44774</v>
      </c>
      <c r="G1520" s="106">
        <v>1588.4</v>
      </c>
      <c r="H1520" s="71" t="s">
        <v>4839</v>
      </c>
      <c r="I1520" s="71" t="s">
        <v>684</v>
      </c>
      <c r="J1520" s="79"/>
      <c r="K1520" s="55">
        <f t="shared" si="167"/>
        <v>2022</v>
      </c>
      <c r="L1520" s="80"/>
      <c r="M1520" s="80"/>
      <c r="N1520" s="73" t="s">
        <v>4938</v>
      </c>
      <c r="O1520" s="73" t="s">
        <v>4921</v>
      </c>
      <c r="P1520" s="74"/>
      <c r="Q1520" s="75" t="s">
        <v>4984</v>
      </c>
      <c r="R1520" s="230">
        <v>5711.5</v>
      </c>
      <c r="S1520" s="230">
        <v>0</v>
      </c>
      <c r="T1520" s="230">
        <v>5711.5</v>
      </c>
      <c r="U1520" s="231">
        <v>2383.5</v>
      </c>
      <c r="V1520" s="230"/>
      <c r="W1520" s="230"/>
      <c r="X1520" s="231"/>
      <c r="Y1520" s="85"/>
      <c r="Z1520" s="101">
        <v>0.1</v>
      </c>
      <c r="AA1520" s="102">
        <v>0.09</v>
      </c>
      <c r="AB1520" s="77"/>
      <c r="AC1520" s="78"/>
    </row>
    <row r="1521" spans="1:29" x14ac:dyDescent="0.2">
      <c r="A1521" s="117" t="s">
        <v>4985</v>
      </c>
      <c r="B1521" s="118" t="e">
        <f t="shared" si="165"/>
        <v>#VALUE!</v>
      </c>
      <c r="C1521" s="118" t="s">
        <v>612</v>
      </c>
      <c r="D1521" s="113">
        <v>41074</v>
      </c>
      <c r="E1521" s="84">
        <v>41122</v>
      </c>
      <c r="F1521" s="84">
        <f t="shared" si="166"/>
        <v>44774</v>
      </c>
      <c r="G1521" s="106">
        <v>637.76</v>
      </c>
      <c r="H1521" s="71" t="s">
        <v>4839</v>
      </c>
      <c r="I1521" s="71" t="s">
        <v>684</v>
      </c>
      <c r="J1521" s="79"/>
      <c r="K1521" s="55">
        <f t="shared" si="167"/>
        <v>2022</v>
      </c>
      <c r="L1521" s="80"/>
      <c r="M1521" s="80"/>
      <c r="N1521" s="73" t="s">
        <v>4938</v>
      </c>
      <c r="O1521" s="73" t="s">
        <v>4986</v>
      </c>
      <c r="P1521" s="74"/>
      <c r="Q1521" s="75" t="s">
        <v>4987</v>
      </c>
      <c r="R1521" s="230">
        <v>2383</v>
      </c>
      <c r="S1521" s="230">
        <v>0</v>
      </c>
      <c r="T1521" s="230">
        <v>2383</v>
      </c>
      <c r="U1521" s="231">
        <v>957</v>
      </c>
      <c r="V1521" s="230"/>
      <c r="W1521" s="230"/>
      <c r="X1521" s="231"/>
      <c r="Y1521" s="85"/>
      <c r="Z1521" s="101">
        <v>0.1</v>
      </c>
      <c r="AA1521" s="102">
        <v>0.09</v>
      </c>
      <c r="AB1521" s="77"/>
      <c r="AC1521" s="78"/>
    </row>
    <row r="1522" spans="1:29" ht="27" customHeight="1" x14ac:dyDescent="0.2">
      <c r="A1522" s="117" t="s">
        <v>4988</v>
      </c>
      <c r="B1522" s="118" t="e">
        <f t="shared" si="165"/>
        <v>#VALUE!</v>
      </c>
      <c r="C1522" s="118" t="s">
        <v>612</v>
      </c>
      <c r="D1522" s="113">
        <v>41074</v>
      </c>
      <c r="E1522" s="84">
        <v>41122</v>
      </c>
      <c r="F1522" s="84">
        <f t="shared" si="166"/>
        <v>44774</v>
      </c>
      <c r="G1522" s="106">
        <v>591.1</v>
      </c>
      <c r="H1522" s="71" t="s">
        <v>4839</v>
      </c>
      <c r="I1522" s="71" t="s">
        <v>684</v>
      </c>
      <c r="J1522" s="79"/>
      <c r="K1522" s="55">
        <f t="shared" si="167"/>
        <v>2022</v>
      </c>
      <c r="L1522" s="80"/>
      <c r="M1522" s="80"/>
      <c r="N1522" s="73" t="s">
        <v>4938</v>
      </c>
      <c r="O1522" s="73" t="s">
        <v>4989</v>
      </c>
      <c r="P1522" s="74"/>
      <c r="Q1522" s="75" t="s">
        <v>4990</v>
      </c>
      <c r="R1522" s="230">
        <v>2222</v>
      </c>
      <c r="S1522" s="230">
        <v>0</v>
      </c>
      <c r="T1522" s="230">
        <v>2222</v>
      </c>
      <c r="U1522" s="231">
        <v>888</v>
      </c>
      <c r="V1522" s="230"/>
      <c r="W1522" s="230"/>
      <c r="X1522" s="231"/>
      <c r="Y1522" s="85"/>
      <c r="Z1522" s="101">
        <v>0.1</v>
      </c>
      <c r="AA1522" s="102">
        <v>0.09</v>
      </c>
      <c r="AB1522" s="77"/>
      <c r="AC1522" s="78"/>
    </row>
    <row r="1523" spans="1:29" x14ac:dyDescent="0.2">
      <c r="A1523" s="117" t="s">
        <v>4991</v>
      </c>
      <c r="B1523" s="118" t="e">
        <f t="shared" si="165"/>
        <v>#VALUE!</v>
      </c>
      <c r="C1523" s="118" t="s">
        <v>612</v>
      </c>
      <c r="D1523" s="113">
        <v>41074</v>
      </c>
      <c r="E1523" s="84">
        <v>41122</v>
      </c>
      <c r="F1523" s="84">
        <f t="shared" si="166"/>
        <v>44774</v>
      </c>
      <c r="G1523" s="106">
        <v>636.52</v>
      </c>
      <c r="H1523" s="71" t="s">
        <v>4839</v>
      </c>
      <c r="I1523" s="71" t="s">
        <v>684</v>
      </c>
      <c r="J1523" s="79"/>
      <c r="K1523" s="55">
        <f t="shared" si="167"/>
        <v>2022</v>
      </c>
      <c r="L1523" s="80"/>
      <c r="M1523" s="80"/>
      <c r="N1523" s="73" t="s">
        <v>4938</v>
      </c>
      <c r="O1523" s="73" t="s">
        <v>4992</v>
      </c>
      <c r="P1523" s="74"/>
      <c r="Q1523" s="75" t="s">
        <v>4993</v>
      </c>
      <c r="R1523" s="230">
        <v>2379.5</v>
      </c>
      <c r="S1523" s="230">
        <v>0</v>
      </c>
      <c r="T1523" s="230">
        <v>2379.5</v>
      </c>
      <c r="U1523" s="231">
        <v>955.5</v>
      </c>
      <c r="V1523" s="230"/>
      <c r="W1523" s="230"/>
      <c r="X1523" s="231"/>
      <c r="Y1523" s="85"/>
      <c r="Z1523" s="101">
        <v>0.1</v>
      </c>
      <c r="AA1523" s="102">
        <v>0.09</v>
      </c>
      <c r="AB1523" s="77"/>
      <c r="AC1523" s="78"/>
    </row>
    <row r="1524" spans="1:29" x14ac:dyDescent="0.2">
      <c r="A1524" s="117" t="s">
        <v>4994</v>
      </c>
      <c r="B1524" s="118" t="e">
        <f t="shared" si="165"/>
        <v>#VALUE!</v>
      </c>
      <c r="C1524" s="118" t="s">
        <v>612</v>
      </c>
      <c r="D1524" s="113">
        <v>41074</v>
      </c>
      <c r="E1524" s="84">
        <v>41122</v>
      </c>
      <c r="F1524" s="84">
        <f t="shared" si="166"/>
        <v>44774</v>
      </c>
      <c r="G1524" s="106">
        <v>89.1</v>
      </c>
      <c r="H1524" s="71" t="s">
        <v>4839</v>
      </c>
      <c r="I1524" s="71" t="s">
        <v>684</v>
      </c>
      <c r="J1524" s="79"/>
      <c r="K1524" s="55">
        <f t="shared" si="167"/>
        <v>2022</v>
      </c>
      <c r="L1524" s="80"/>
      <c r="M1524" s="80"/>
      <c r="N1524" s="73" t="s">
        <v>4938</v>
      </c>
      <c r="O1524" s="73" t="s">
        <v>4995</v>
      </c>
      <c r="P1524" s="74"/>
      <c r="Q1524" s="75" t="s">
        <v>4996</v>
      </c>
      <c r="R1524" s="230">
        <v>465</v>
      </c>
      <c r="S1524" s="230">
        <v>0</v>
      </c>
      <c r="T1524" s="230">
        <v>465</v>
      </c>
      <c r="U1524" s="231">
        <v>135</v>
      </c>
      <c r="V1524" s="230"/>
      <c r="W1524" s="230"/>
      <c r="X1524" s="231"/>
      <c r="Y1524" s="85"/>
      <c r="Z1524" s="101">
        <v>0.1</v>
      </c>
      <c r="AA1524" s="102">
        <v>0.09</v>
      </c>
      <c r="AB1524" s="77"/>
      <c r="AC1524" s="78"/>
    </row>
    <row r="1525" spans="1:29" x14ac:dyDescent="0.2">
      <c r="A1525" s="117" t="s">
        <v>4997</v>
      </c>
      <c r="B1525" s="118" t="e">
        <f t="shared" si="165"/>
        <v>#VALUE!</v>
      </c>
      <c r="C1525" s="118" t="s">
        <v>612</v>
      </c>
      <c r="D1525" s="113">
        <v>41074</v>
      </c>
      <c r="E1525" s="84">
        <v>41122</v>
      </c>
      <c r="F1525" s="84">
        <f t="shared" si="166"/>
        <v>44774</v>
      </c>
      <c r="G1525" s="106">
        <v>2498.37</v>
      </c>
      <c r="H1525" s="71" t="s">
        <v>4839</v>
      </c>
      <c r="I1525" s="71" t="s">
        <v>684</v>
      </c>
      <c r="J1525" s="79"/>
      <c r="K1525" s="55">
        <f t="shared" si="167"/>
        <v>2022</v>
      </c>
      <c r="L1525" s="80"/>
      <c r="M1525" s="80"/>
      <c r="N1525" s="73" t="s">
        <v>4938</v>
      </c>
      <c r="O1525" s="73" t="s">
        <v>4921</v>
      </c>
      <c r="P1525" s="74"/>
      <c r="Q1525" s="75" t="s">
        <v>4998</v>
      </c>
      <c r="R1525" s="230">
        <v>8896.5</v>
      </c>
      <c r="S1525" s="230">
        <v>0</v>
      </c>
      <c r="T1525" s="230">
        <v>8896.5</v>
      </c>
      <c r="U1525" s="231">
        <v>3748.5</v>
      </c>
      <c r="V1525" s="230"/>
      <c r="W1525" s="230"/>
      <c r="X1525" s="231"/>
      <c r="Y1525" s="85"/>
      <c r="Z1525" s="101">
        <v>0.1</v>
      </c>
      <c r="AA1525" s="102">
        <v>0.09</v>
      </c>
      <c r="AB1525" s="77"/>
      <c r="AC1525" s="78"/>
    </row>
    <row r="1526" spans="1:29" x14ac:dyDescent="0.2">
      <c r="A1526" s="117" t="s">
        <v>4999</v>
      </c>
      <c r="B1526" s="118" t="e">
        <f t="shared" si="165"/>
        <v>#VALUE!</v>
      </c>
      <c r="C1526" s="118" t="s">
        <v>612</v>
      </c>
      <c r="D1526" s="113">
        <v>41074</v>
      </c>
      <c r="E1526" s="84">
        <v>41122</v>
      </c>
      <c r="F1526" s="84">
        <f t="shared" si="166"/>
        <v>44774</v>
      </c>
      <c r="G1526" s="106">
        <v>636.67999999999995</v>
      </c>
      <c r="H1526" s="71" t="s">
        <v>4839</v>
      </c>
      <c r="I1526" s="71" t="s">
        <v>684</v>
      </c>
      <c r="J1526" s="79"/>
      <c r="K1526" s="55">
        <f t="shared" si="167"/>
        <v>2022</v>
      </c>
      <c r="L1526" s="80"/>
      <c r="M1526" s="80"/>
      <c r="N1526" s="73" t="s">
        <v>4938</v>
      </c>
      <c r="O1526" s="73" t="s">
        <v>4553</v>
      </c>
      <c r="P1526" s="74"/>
      <c r="Q1526" s="75" t="s">
        <v>5000</v>
      </c>
      <c r="R1526" s="230">
        <v>2379.5</v>
      </c>
      <c r="S1526" s="230">
        <v>0</v>
      </c>
      <c r="T1526" s="230">
        <v>2379.5</v>
      </c>
      <c r="U1526" s="231">
        <v>955.5</v>
      </c>
      <c r="V1526" s="230"/>
      <c r="W1526" s="230"/>
      <c r="X1526" s="231"/>
      <c r="Y1526" s="85"/>
      <c r="Z1526" s="101">
        <v>0.1</v>
      </c>
      <c r="AA1526" s="102">
        <v>0.09</v>
      </c>
      <c r="AB1526" s="77"/>
      <c r="AC1526" s="78"/>
    </row>
    <row r="1527" spans="1:29" x14ac:dyDescent="0.2">
      <c r="A1527" s="117" t="s">
        <v>5001</v>
      </c>
      <c r="B1527" s="118" t="e">
        <f t="shared" si="165"/>
        <v>#VALUE!</v>
      </c>
      <c r="C1527" s="118" t="s">
        <v>612</v>
      </c>
      <c r="D1527" s="113">
        <v>41074</v>
      </c>
      <c r="E1527" s="84">
        <v>41122</v>
      </c>
      <c r="F1527" s="84">
        <f t="shared" si="166"/>
        <v>44774</v>
      </c>
      <c r="G1527" s="106">
        <v>636.72</v>
      </c>
      <c r="H1527" s="71" t="s">
        <v>4839</v>
      </c>
      <c r="I1527" s="71" t="s">
        <v>684</v>
      </c>
      <c r="J1527" s="79"/>
      <c r="K1527" s="55">
        <f t="shared" si="167"/>
        <v>2022</v>
      </c>
      <c r="L1527" s="80"/>
      <c r="M1527" s="80"/>
      <c r="N1527" s="73" t="s">
        <v>4938</v>
      </c>
      <c r="O1527" s="73" t="s">
        <v>5002</v>
      </c>
      <c r="P1527" s="74"/>
      <c r="Q1527" s="75" t="s">
        <v>5003</v>
      </c>
      <c r="R1527" s="230">
        <v>2379.5</v>
      </c>
      <c r="S1527" s="230">
        <v>0</v>
      </c>
      <c r="T1527" s="230">
        <v>2379.5</v>
      </c>
      <c r="U1527" s="231">
        <v>955.5</v>
      </c>
      <c r="V1527" s="230"/>
      <c r="W1527" s="230"/>
      <c r="X1527" s="231"/>
      <c r="Y1527" s="85"/>
      <c r="Z1527" s="101">
        <v>0.1</v>
      </c>
      <c r="AA1527" s="102">
        <v>0.09</v>
      </c>
      <c r="AB1527" s="77"/>
      <c r="AC1527" s="78"/>
    </row>
    <row r="1528" spans="1:29" x14ac:dyDescent="0.2">
      <c r="A1528" s="117" t="s">
        <v>5004</v>
      </c>
      <c r="B1528" s="118" t="e">
        <f t="shared" si="165"/>
        <v>#VALUE!</v>
      </c>
      <c r="C1528" s="118" t="s">
        <v>612</v>
      </c>
      <c r="D1528" s="113">
        <v>41074</v>
      </c>
      <c r="E1528" s="84">
        <v>41122</v>
      </c>
      <c r="F1528" s="84">
        <f t="shared" si="166"/>
        <v>44774</v>
      </c>
      <c r="G1528" s="106">
        <v>636.67999999999995</v>
      </c>
      <c r="H1528" s="71" t="s">
        <v>4839</v>
      </c>
      <c r="I1528" s="71" t="s">
        <v>684</v>
      </c>
      <c r="J1528" s="79"/>
      <c r="K1528" s="55">
        <f t="shared" si="167"/>
        <v>2022</v>
      </c>
      <c r="L1528" s="80"/>
      <c r="M1528" s="80"/>
      <c r="N1528" s="73" t="s">
        <v>4938</v>
      </c>
      <c r="O1528" s="73" t="s">
        <v>5005</v>
      </c>
      <c r="P1528" s="74"/>
      <c r="Q1528" s="75" t="s">
        <v>5006</v>
      </c>
      <c r="R1528" s="230">
        <v>2379.5</v>
      </c>
      <c r="S1528" s="230">
        <v>0</v>
      </c>
      <c r="T1528" s="230">
        <v>2379.5</v>
      </c>
      <c r="U1528" s="231">
        <v>955.5</v>
      </c>
      <c r="V1528" s="230"/>
      <c r="W1528" s="230"/>
      <c r="X1528" s="231"/>
      <c r="Y1528" s="85"/>
      <c r="Z1528" s="101">
        <v>0.1</v>
      </c>
      <c r="AA1528" s="102">
        <v>0.09</v>
      </c>
      <c r="AB1528" s="77"/>
      <c r="AC1528" s="78"/>
    </row>
    <row r="1529" spans="1:29" x14ac:dyDescent="0.2">
      <c r="A1529" s="117" t="s">
        <v>5007</v>
      </c>
      <c r="B1529" s="118" t="e">
        <f t="shared" si="165"/>
        <v>#VALUE!</v>
      </c>
      <c r="C1529" s="118" t="s">
        <v>612</v>
      </c>
      <c r="D1529" s="113">
        <v>41074</v>
      </c>
      <c r="E1529" s="84">
        <v>41122</v>
      </c>
      <c r="F1529" s="84">
        <f t="shared" si="166"/>
        <v>44774</v>
      </c>
      <c r="G1529" s="106">
        <v>638.47</v>
      </c>
      <c r="H1529" s="71" t="s">
        <v>4839</v>
      </c>
      <c r="I1529" s="71" t="s">
        <v>684</v>
      </c>
      <c r="J1529" s="79"/>
      <c r="K1529" s="55">
        <f t="shared" si="167"/>
        <v>2022</v>
      </c>
      <c r="L1529" s="80"/>
      <c r="M1529" s="80"/>
      <c r="N1529" s="73" t="s">
        <v>4938</v>
      </c>
      <c r="O1529" s="73" t="s">
        <v>5008</v>
      </c>
      <c r="P1529" s="74"/>
      <c r="Q1529" s="75" t="s">
        <v>5009</v>
      </c>
      <c r="R1529" s="230">
        <v>2386.5</v>
      </c>
      <c r="S1529" s="230">
        <v>0</v>
      </c>
      <c r="T1529" s="230">
        <v>2386.5</v>
      </c>
      <c r="U1529" s="231">
        <v>958.5</v>
      </c>
      <c r="V1529" s="230"/>
      <c r="W1529" s="230"/>
      <c r="X1529" s="231"/>
      <c r="Y1529" s="85"/>
      <c r="Z1529" s="101">
        <v>0.1</v>
      </c>
      <c r="AA1529" s="102">
        <v>0.09</v>
      </c>
      <c r="AB1529" s="77"/>
      <c r="AC1529" s="78"/>
    </row>
    <row r="1530" spans="1:29" x14ac:dyDescent="0.2">
      <c r="A1530" s="117" t="s">
        <v>5010</v>
      </c>
      <c r="B1530" s="118" t="e">
        <f t="shared" si="165"/>
        <v>#VALUE!</v>
      </c>
      <c r="C1530" s="118" t="s">
        <v>612</v>
      </c>
      <c r="D1530" s="113">
        <v>41074</v>
      </c>
      <c r="E1530" s="84">
        <v>41122</v>
      </c>
      <c r="F1530" s="84">
        <f t="shared" si="166"/>
        <v>44774</v>
      </c>
      <c r="G1530" s="106">
        <v>2414.88</v>
      </c>
      <c r="H1530" s="71" t="s">
        <v>690</v>
      </c>
      <c r="I1530" s="71" t="s">
        <v>691</v>
      </c>
      <c r="J1530" s="72" t="s">
        <v>1414</v>
      </c>
      <c r="K1530" s="55">
        <f t="shared" si="167"/>
        <v>2022</v>
      </c>
      <c r="L1530" s="81"/>
      <c r="M1530" s="81"/>
      <c r="N1530" s="73" t="s">
        <v>4980</v>
      </c>
      <c r="O1530" s="73" t="s">
        <v>5011</v>
      </c>
      <c r="P1530" s="74"/>
      <c r="Q1530" s="75" t="s">
        <v>5012</v>
      </c>
      <c r="R1530" s="230">
        <v>8602.5</v>
      </c>
      <c r="S1530" s="230">
        <v>0</v>
      </c>
      <c r="T1530" s="230">
        <v>8602.5</v>
      </c>
      <c r="U1530" s="231">
        <v>3622.5</v>
      </c>
      <c r="V1530" s="230"/>
      <c r="W1530" s="230"/>
      <c r="X1530" s="231"/>
      <c r="Y1530" s="85"/>
      <c r="Z1530" s="101">
        <v>0.1</v>
      </c>
      <c r="AA1530" s="102">
        <v>0.09</v>
      </c>
      <c r="AB1530" s="77"/>
      <c r="AC1530" s="78"/>
    </row>
    <row r="1531" spans="1:29" ht="53" customHeight="1" x14ac:dyDescent="0.2">
      <c r="A1531" s="117" t="s">
        <v>5013</v>
      </c>
      <c r="B1531" s="118" t="e">
        <f t="shared" si="165"/>
        <v>#VALUE!</v>
      </c>
      <c r="C1531" s="118" t="s">
        <v>612</v>
      </c>
      <c r="D1531" s="113">
        <v>41074</v>
      </c>
      <c r="E1531" s="84">
        <v>41122</v>
      </c>
      <c r="F1531" s="84">
        <f t="shared" si="166"/>
        <v>44774</v>
      </c>
      <c r="G1531" s="106">
        <v>1640.72</v>
      </c>
      <c r="H1531" s="71" t="s">
        <v>690</v>
      </c>
      <c r="I1531" s="71" t="s">
        <v>691</v>
      </c>
      <c r="J1531" s="72" t="s">
        <v>1414</v>
      </c>
      <c r="K1531" s="55">
        <f t="shared" si="167"/>
        <v>2022</v>
      </c>
      <c r="L1531" s="81"/>
      <c r="M1531" s="81"/>
      <c r="N1531" s="73" t="s">
        <v>4980</v>
      </c>
      <c r="O1531" s="73" t="s">
        <v>5014</v>
      </c>
      <c r="P1531" s="74"/>
      <c r="Q1531" s="75" t="s">
        <v>5015</v>
      </c>
      <c r="R1531" s="230">
        <v>5893.5</v>
      </c>
      <c r="S1531" s="230">
        <v>0</v>
      </c>
      <c r="T1531" s="230">
        <v>5893.5</v>
      </c>
      <c r="U1531" s="231">
        <v>2461.5</v>
      </c>
      <c r="V1531" s="230"/>
      <c r="W1531" s="230"/>
      <c r="X1531" s="231"/>
      <c r="Y1531" s="85"/>
      <c r="Z1531" s="101">
        <v>0.1</v>
      </c>
      <c r="AA1531" s="102">
        <v>0.09</v>
      </c>
      <c r="AB1531" s="77"/>
      <c r="AC1531" s="78"/>
    </row>
    <row r="1532" spans="1:29" x14ac:dyDescent="0.2">
      <c r="A1532" s="117" t="s">
        <v>5016</v>
      </c>
      <c r="B1532" s="118" t="e">
        <f t="shared" si="165"/>
        <v>#VALUE!</v>
      </c>
      <c r="C1532" s="118" t="s">
        <v>612</v>
      </c>
      <c r="D1532" s="113">
        <v>41074</v>
      </c>
      <c r="E1532" s="84">
        <v>41122</v>
      </c>
      <c r="F1532" s="84">
        <f t="shared" si="166"/>
        <v>44774</v>
      </c>
      <c r="G1532" s="106">
        <v>80</v>
      </c>
      <c r="H1532" s="71" t="s">
        <v>690</v>
      </c>
      <c r="I1532" s="71" t="s">
        <v>691</v>
      </c>
      <c r="J1532" s="72" t="s">
        <v>1414</v>
      </c>
      <c r="K1532" s="55">
        <f t="shared" si="167"/>
        <v>2022</v>
      </c>
      <c r="L1532" s="81"/>
      <c r="M1532" s="81"/>
      <c r="N1532" s="73" t="s">
        <v>4980</v>
      </c>
      <c r="O1532" s="73" t="s">
        <v>5017</v>
      </c>
      <c r="P1532" s="74"/>
      <c r="Q1532" s="75" t="s">
        <v>5018</v>
      </c>
      <c r="R1532" s="230">
        <v>430</v>
      </c>
      <c r="S1532" s="230">
        <v>0</v>
      </c>
      <c r="T1532" s="230">
        <v>430</v>
      </c>
      <c r="U1532" s="231">
        <v>120</v>
      </c>
      <c r="V1532" s="230"/>
      <c r="W1532" s="230"/>
      <c r="X1532" s="231"/>
      <c r="Y1532" s="85"/>
      <c r="Z1532" s="101">
        <v>0.1</v>
      </c>
      <c r="AA1532" s="102">
        <v>0.09</v>
      </c>
      <c r="AB1532" s="77"/>
      <c r="AC1532" s="78"/>
    </row>
    <row r="1533" spans="1:29" x14ac:dyDescent="0.2">
      <c r="A1533" s="117" t="s">
        <v>5019</v>
      </c>
      <c r="B1533" s="118" t="e">
        <f t="shared" si="165"/>
        <v>#VALUE!</v>
      </c>
      <c r="C1533" s="118" t="s">
        <v>612</v>
      </c>
      <c r="D1533" s="113">
        <v>41074</v>
      </c>
      <c r="E1533" s="84">
        <v>41122</v>
      </c>
      <c r="F1533" s="84">
        <f t="shared" si="166"/>
        <v>44774</v>
      </c>
      <c r="G1533" s="106">
        <v>200</v>
      </c>
      <c r="H1533" s="71" t="s">
        <v>690</v>
      </c>
      <c r="I1533" s="71" t="s">
        <v>691</v>
      </c>
      <c r="J1533" s="72" t="s">
        <v>1414</v>
      </c>
      <c r="K1533" s="55">
        <f t="shared" si="167"/>
        <v>2022</v>
      </c>
      <c r="L1533" s="81"/>
      <c r="M1533" s="81"/>
      <c r="N1533" s="73" t="s">
        <v>4980</v>
      </c>
      <c r="O1533" s="73" t="s">
        <v>5020</v>
      </c>
      <c r="P1533" s="74"/>
      <c r="Q1533" s="75" t="s">
        <v>5021</v>
      </c>
      <c r="R1533" s="230">
        <v>850</v>
      </c>
      <c r="S1533" s="230">
        <v>0</v>
      </c>
      <c r="T1533" s="230">
        <v>850</v>
      </c>
      <c r="U1533" s="231">
        <v>300</v>
      </c>
      <c r="V1533" s="230"/>
      <c r="W1533" s="230"/>
      <c r="X1533" s="231"/>
      <c r="Y1533" s="85"/>
      <c r="Z1533" s="101">
        <v>0.1</v>
      </c>
      <c r="AA1533" s="102">
        <v>0.09</v>
      </c>
      <c r="AB1533" s="77"/>
      <c r="AC1533" s="78"/>
    </row>
    <row r="1534" spans="1:29" ht="27" customHeight="1" x14ac:dyDescent="0.2">
      <c r="A1534" s="117" t="s">
        <v>5022</v>
      </c>
      <c r="B1534" s="118" t="e">
        <f t="shared" si="165"/>
        <v>#VALUE!</v>
      </c>
      <c r="C1534" s="118" t="s">
        <v>612</v>
      </c>
      <c r="D1534" s="113">
        <v>41074</v>
      </c>
      <c r="E1534" s="84">
        <v>41122</v>
      </c>
      <c r="F1534" s="84">
        <f t="shared" si="166"/>
        <v>44774</v>
      </c>
      <c r="G1534" s="106">
        <v>207.09</v>
      </c>
      <c r="H1534" s="71" t="s">
        <v>3532</v>
      </c>
      <c r="I1534" s="71" t="s">
        <v>684</v>
      </c>
      <c r="J1534" s="79"/>
      <c r="K1534" s="55">
        <f t="shared" si="167"/>
        <v>2022</v>
      </c>
      <c r="L1534" s="80"/>
      <c r="M1534" s="80"/>
      <c r="N1534" s="73" t="s">
        <v>5023</v>
      </c>
      <c r="O1534" s="73" t="s">
        <v>5024</v>
      </c>
      <c r="P1534" s="74"/>
      <c r="Q1534" s="75" t="s">
        <v>5025</v>
      </c>
      <c r="R1534" s="230">
        <v>878</v>
      </c>
      <c r="S1534" s="230">
        <v>0</v>
      </c>
      <c r="T1534" s="230">
        <v>878</v>
      </c>
      <c r="U1534" s="231">
        <v>312</v>
      </c>
      <c r="V1534" s="230"/>
      <c r="W1534" s="230"/>
      <c r="X1534" s="231"/>
      <c r="Y1534" s="85"/>
      <c r="Z1534" s="101">
        <v>0.1</v>
      </c>
      <c r="AA1534" s="102">
        <v>0.09</v>
      </c>
      <c r="AB1534" s="77"/>
      <c r="AC1534" s="78"/>
    </row>
    <row r="1535" spans="1:29" ht="40" customHeight="1" x14ac:dyDescent="0.2">
      <c r="A1535" s="117" t="s">
        <v>5026</v>
      </c>
      <c r="B1535" s="118" t="e">
        <f t="shared" si="165"/>
        <v>#VALUE!</v>
      </c>
      <c r="C1535" s="118" t="s">
        <v>612</v>
      </c>
      <c r="D1535" s="113">
        <v>41074</v>
      </c>
      <c r="E1535" s="84">
        <v>41122</v>
      </c>
      <c r="F1535" s="84">
        <f t="shared" si="166"/>
        <v>44774</v>
      </c>
      <c r="G1535" s="106">
        <v>742.56</v>
      </c>
      <c r="H1535" s="71" t="s">
        <v>3532</v>
      </c>
      <c r="I1535" s="71" t="s">
        <v>684</v>
      </c>
      <c r="J1535" s="79"/>
      <c r="K1535" s="55">
        <f t="shared" si="167"/>
        <v>2022</v>
      </c>
      <c r="L1535" s="80"/>
      <c r="M1535" s="80"/>
      <c r="N1535" s="73" t="s">
        <v>5023</v>
      </c>
      <c r="O1535" s="73" t="s">
        <v>5027</v>
      </c>
      <c r="P1535" s="74"/>
      <c r="Q1535" s="75" t="s">
        <v>5028</v>
      </c>
      <c r="R1535" s="230">
        <v>2750.5</v>
      </c>
      <c r="S1535" s="230">
        <v>0</v>
      </c>
      <c r="T1535" s="230">
        <v>2750.5</v>
      </c>
      <c r="U1535" s="231">
        <v>1114.5</v>
      </c>
      <c r="V1535" s="230"/>
      <c r="W1535" s="230"/>
      <c r="X1535" s="231"/>
      <c r="Y1535" s="85"/>
      <c r="Z1535" s="101">
        <v>0.1</v>
      </c>
      <c r="AA1535" s="102">
        <v>0.09</v>
      </c>
      <c r="AB1535" s="77"/>
      <c r="AC1535" s="78"/>
    </row>
    <row r="1536" spans="1:29" ht="27" customHeight="1" x14ac:dyDescent="0.2">
      <c r="A1536" s="117" t="s">
        <v>5029</v>
      </c>
      <c r="B1536" s="118" t="e">
        <f t="shared" si="165"/>
        <v>#VALUE!</v>
      </c>
      <c r="C1536" s="118" t="s">
        <v>612</v>
      </c>
      <c r="D1536" s="113">
        <v>41074</v>
      </c>
      <c r="E1536" s="84">
        <v>41122</v>
      </c>
      <c r="F1536" s="84">
        <f t="shared" si="166"/>
        <v>44774</v>
      </c>
      <c r="G1536" s="106">
        <v>236.53</v>
      </c>
      <c r="H1536" s="71" t="s">
        <v>3532</v>
      </c>
      <c r="I1536" s="71" t="s">
        <v>684</v>
      </c>
      <c r="J1536" s="79"/>
      <c r="K1536" s="55">
        <f t="shared" si="167"/>
        <v>2022</v>
      </c>
      <c r="L1536" s="80"/>
      <c r="M1536" s="80"/>
      <c r="N1536" s="73" t="s">
        <v>5023</v>
      </c>
      <c r="O1536" s="73" t="s">
        <v>5030</v>
      </c>
      <c r="P1536" s="74"/>
      <c r="Q1536" s="75" t="s">
        <v>5031</v>
      </c>
      <c r="R1536" s="230">
        <v>979.5</v>
      </c>
      <c r="S1536" s="230">
        <v>0</v>
      </c>
      <c r="T1536" s="230">
        <v>979.5</v>
      </c>
      <c r="U1536" s="231">
        <v>355.5</v>
      </c>
      <c r="V1536" s="230"/>
      <c r="W1536" s="230"/>
      <c r="X1536" s="231"/>
      <c r="Y1536" s="85"/>
      <c r="Z1536" s="101">
        <v>0.1</v>
      </c>
      <c r="AA1536" s="102">
        <v>0.09</v>
      </c>
      <c r="AB1536" s="77"/>
      <c r="AC1536" s="78"/>
    </row>
    <row r="1537" spans="1:29" x14ac:dyDescent="0.2">
      <c r="A1537" s="117" t="s">
        <v>5032</v>
      </c>
      <c r="B1537" s="118" t="e">
        <f t="shared" si="165"/>
        <v>#VALUE!</v>
      </c>
      <c r="C1537" s="118" t="s">
        <v>612</v>
      </c>
      <c r="D1537" s="113">
        <v>41074</v>
      </c>
      <c r="E1537" s="84">
        <v>41122</v>
      </c>
      <c r="F1537" s="84">
        <f t="shared" si="166"/>
        <v>44774</v>
      </c>
      <c r="G1537" s="106">
        <v>2532.17</v>
      </c>
      <c r="H1537" s="71" t="s">
        <v>906</v>
      </c>
      <c r="I1537" s="71" t="s">
        <v>691</v>
      </c>
      <c r="J1537" s="79"/>
      <c r="K1537" s="55">
        <f t="shared" si="167"/>
        <v>2022</v>
      </c>
      <c r="L1537" s="80"/>
      <c r="M1537" s="80"/>
      <c r="N1537" s="73" t="s">
        <v>5033</v>
      </c>
      <c r="O1537" s="73" t="s">
        <v>5011</v>
      </c>
      <c r="P1537" s="74"/>
      <c r="Q1537" s="75" t="s">
        <v>5034</v>
      </c>
      <c r="R1537" s="230">
        <v>9015.5</v>
      </c>
      <c r="S1537" s="230">
        <v>0</v>
      </c>
      <c r="T1537" s="230">
        <v>9015.5</v>
      </c>
      <c r="U1537" s="231">
        <v>3799.5</v>
      </c>
      <c r="V1537" s="230"/>
      <c r="W1537" s="230"/>
      <c r="X1537" s="231"/>
      <c r="Y1537" s="85"/>
      <c r="Z1537" s="101">
        <v>0.1</v>
      </c>
      <c r="AA1537" s="102">
        <v>0.09</v>
      </c>
      <c r="AB1537" s="77"/>
      <c r="AC1537" s="78"/>
    </row>
    <row r="1538" spans="1:29" x14ac:dyDescent="0.2">
      <c r="A1538" s="117" t="s">
        <v>5035</v>
      </c>
      <c r="B1538" s="118" t="e">
        <f t="shared" si="165"/>
        <v>#VALUE!</v>
      </c>
      <c r="C1538" s="118" t="s">
        <v>612</v>
      </c>
      <c r="D1538" s="113">
        <v>41074</v>
      </c>
      <c r="E1538" s="84">
        <v>41122</v>
      </c>
      <c r="F1538" s="84">
        <f t="shared" si="166"/>
        <v>44774</v>
      </c>
      <c r="G1538" s="106">
        <v>1245.75</v>
      </c>
      <c r="H1538" s="71" t="s">
        <v>906</v>
      </c>
      <c r="I1538" s="71" t="s">
        <v>691</v>
      </c>
      <c r="J1538" s="79"/>
      <c r="K1538" s="55">
        <f t="shared" si="167"/>
        <v>2022</v>
      </c>
      <c r="L1538" s="80"/>
      <c r="M1538" s="80"/>
      <c r="N1538" s="73" t="s">
        <v>5033</v>
      </c>
      <c r="O1538" s="73" t="s">
        <v>5011</v>
      </c>
      <c r="P1538" s="74"/>
      <c r="Q1538" s="75" t="s">
        <v>5036</v>
      </c>
      <c r="R1538" s="230">
        <v>4511</v>
      </c>
      <c r="S1538" s="230">
        <v>0</v>
      </c>
      <c r="T1538" s="230">
        <v>4511</v>
      </c>
      <c r="U1538" s="231">
        <v>1869</v>
      </c>
      <c r="V1538" s="230"/>
      <c r="W1538" s="230"/>
      <c r="X1538" s="231"/>
      <c r="Y1538" s="85"/>
      <c r="Z1538" s="101">
        <v>0.1</v>
      </c>
      <c r="AA1538" s="102">
        <v>0.09</v>
      </c>
      <c r="AB1538" s="77"/>
      <c r="AC1538" s="78"/>
    </row>
    <row r="1539" spans="1:29" ht="15" hidden="1" customHeight="1" thickBot="1" x14ac:dyDescent="0.25">
      <c r="A1539" s="117"/>
      <c r="D1539" s="71"/>
      <c r="E1539" s="78"/>
      <c r="F1539" s="84"/>
      <c r="G1539" s="229"/>
      <c r="H1539" s="71"/>
      <c r="I1539" s="71"/>
      <c r="J1539" s="79"/>
      <c r="K1539" s="79"/>
      <c r="L1539" s="80"/>
      <c r="M1539" s="80"/>
      <c r="N1539" s="73"/>
      <c r="O1539" s="73"/>
      <c r="P1539" s="74"/>
      <c r="Q1539" s="75"/>
      <c r="R1539" s="241">
        <v>136112.5</v>
      </c>
      <c r="S1539" s="241">
        <v>346358</v>
      </c>
      <c r="T1539" s="241">
        <v>482470.5</v>
      </c>
      <c r="U1539" s="231"/>
      <c r="V1539" s="230"/>
      <c r="W1539" s="230"/>
      <c r="X1539" s="231"/>
      <c r="Y1539" s="85"/>
      <c r="Z1539" s="85"/>
      <c r="AA1539" s="76"/>
      <c r="AB1539" s="77"/>
      <c r="AC1539" s="78"/>
    </row>
    <row r="1540" spans="1:29" hidden="1" x14ac:dyDescent="0.2">
      <c r="A1540" s="117"/>
      <c r="D1540" s="71"/>
      <c r="E1540" s="78"/>
      <c r="F1540" s="84"/>
      <c r="G1540" s="229"/>
      <c r="H1540" s="71"/>
      <c r="I1540" s="71"/>
      <c r="J1540" s="79"/>
      <c r="K1540" s="79"/>
      <c r="L1540" s="80"/>
      <c r="M1540" s="80"/>
      <c r="N1540" s="73"/>
      <c r="O1540" s="73"/>
      <c r="P1540" s="74"/>
      <c r="Q1540" s="75"/>
      <c r="R1540" s="230"/>
      <c r="S1540" s="230"/>
      <c r="T1540" s="230"/>
      <c r="U1540" s="231"/>
      <c r="V1540" s="230"/>
      <c r="W1540" s="230"/>
      <c r="X1540" s="231"/>
      <c r="Y1540" s="85"/>
      <c r="Z1540" s="85"/>
      <c r="AA1540" s="76"/>
      <c r="AB1540" s="77"/>
      <c r="AC1540" s="78"/>
    </row>
    <row r="1541" spans="1:29" ht="27" customHeight="1" x14ac:dyDescent="0.2">
      <c r="A1541" s="117" t="s">
        <v>5037</v>
      </c>
      <c r="B1541" s="118" t="e">
        <f t="shared" ref="B1541:B1553" si="168">IF(COUNTIF(GIS,A1541),"YES","NO")</f>
        <v>#VALUE!</v>
      </c>
      <c r="C1541" s="118" t="s">
        <v>612</v>
      </c>
      <c r="D1541" s="113">
        <v>41108</v>
      </c>
      <c r="E1541" s="84">
        <v>41214</v>
      </c>
      <c r="F1541" s="84">
        <f t="shared" ref="F1541:F1553" si="169">DATE(YEAR(E1541)+10,MONTH(E1541),DAY(E1541))</f>
        <v>44866</v>
      </c>
      <c r="G1541" s="229">
        <v>2398.6</v>
      </c>
      <c r="H1541" s="71" t="s">
        <v>5038</v>
      </c>
      <c r="I1541" s="71" t="s">
        <v>1147</v>
      </c>
      <c r="J1541" s="79"/>
      <c r="K1541" s="55">
        <f t="shared" ref="K1541:K1553" si="170">YEAR(F1541)</f>
        <v>2022</v>
      </c>
      <c r="L1541" s="80"/>
      <c r="M1541" s="80"/>
      <c r="N1541" s="73" t="s">
        <v>5039</v>
      </c>
      <c r="O1541" s="73" t="s">
        <v>5040</v>
      </c>
      <c r="P1541" s="74"/>
      <c r="Q1541" s="75">
        <v>201207009</v>
      </c>
      <c r="R1541" s="230">
        <v>8546.5</v>
      </c>
      <c r="S1541" s="230">
        <v>0</v>
      </c>
      <c r="T1541" s="230">
        <v>8546.5</v>
      </c>
      <c r="U1541" s="231">
        <v>3598.5</v>
      </c>
      <c r="V1541" s="230"/>
      <c r="W1541" s="230"/>
      <c r="X1541" s="231"/>
      <c r="Y1541" s="85"/>
      <c r="Z1541" s="101">
        <v>0.1</v>
      </c>
      <c r="AA1541" s="102">
        <v>0.09</v>
      </c>
      <c r="AB1541" s="77"/>
      <c r="AC1541" s="78"/>
    </row>
    <row r="1542" spans="1:29" x14ac:dyDescent="0.2">
      <c r="A1542" s="117" t="s">
        <v>5041</v>
      </c>
      <c r="B1542" s="118" t="e">
        <f t="shared" si="168"/>
        <v>#VALUE!</v>
      </c>
      <c r="C1542" s="118" t="s">
        <v>612</v>
      </c>
      <c r="D1542" s="113">
        <v>41108</v>
      </c>
      <c r="E1542" s="84">
        <v>41214</v>
      </c>
      <c r="F1542" s="84">
        <f t="shared" si="169"/>
        <v>44866</v>
      </c>
      <c r="G1542" s="229">
        <v>2560</v>
      </c>
      <c r="H1542" s="71" t="s">
        <v>5038</v>
      </c>
      <c r="I1542" s="71" t="s">
        <v>1147</v>
      </c>
      <c r="J1542" s="79"/>
      <c r="K1542" s="55">
        <f t="shared" si="170"/>
        <v>2022</v>
      </c>
      <c r="L1542" s="80"/>
      <c r="M1542" s="80"/>
      <c r="N1542" s="73" t="s">
        <v>5039</v>
      </c>
      <c r="O1542" s="73" t="s">
        <v>5042</v>
      </c>
      <c r="P1542" s="74"/>
      <c r="Q1542" s="75">
        <v>201207010</v>
      </c>
      <c r="R1542" s="230">
        <v>9110</v>
      </c>
      <c r="S1542" s="230">
        <v>0</v>
      </c>
      <c r="T1542" s="230">
        <v>9110</v>
      </c>
      <c r="U1542" s="231">
        <v>3840</v>
      </c>
      <c r="V1542" s="230"/>
      <c r="W1542" s="230"/>
      <c r="X1542" s="231"/>
      <c r="Y1542" s="85"/>
      <c r="Z1542" s="101">
        <v>0.1</v>
      </c>
      <c r="AA1542" s="102">
        <v>0.09</v>
      </c>
      <c r="AB1542" s="77"/>
      <c r="AC1542" s="78"/>
    </row>
    <row r="1543" spans="1:29" ht="27" customHeight="1" x14ac:dyDescent="0.2">
      <c r="A1543" s="117" t="s">
        <v>5043</v>
      </c>
      <c r="B1543" s="118" t="e">
        <f t="shared" si="168"/>
        <v>#VALUE!</v>
      </c>
      <c r="C1543" s="118" t="s">
        <v>612</v>
      </c>
      <c r="D1543" s="113">
        <v>41108</v>
      </c>
      <c r="E1543" s="84">
        <v>41214</v>
      </c>
      <c r="F1543" s="84">
        <f t="shared" si="169"/>
        <v>44866</v>
      </c>
      <c r="G1543" s="229">
        <v>1384.56</v>
      </c>
      <c r="H1543" s="71" t="s">
        <v>5038</v>
      </c>
      <c r="I1543" s="71" t="s">
        <v>1147</v>
      </c>
      <c r="J1543" s="79"/>
      <c r="K1543" s="55">
        <f t="shared" si="170"/>
        <v>2022</v>
      </c>
      <c r="L1543" s="80"/>
      <c r="M1543" s="80"/>
      <c r="N1543" s="73" t="s">
        <v>5044</v>
      </c>
      <c r="O1543" s="73" t="s">
        <v>5045</v>
      </c>
      <c r="P1543" s="74"/>
      <c r="Q1543" s="75">
        <v>201207011</v>
      </c>
      <c r="R1543" s="230">
        <v>4997.5</v>
      </c>
      <c r="S1543" s="230">
        <v>0</v>
      </c>
      <c r="T1543" s="230">
        <v>4997.5</v>
      </c>
      <c r="U1543" s="231">
        <v>2077.5</v>
      </c>
      <c r="V1543" s="230"/>
      <c r="W1543" s="230"/>
      <c r="X1543" s="231"/>
      <c r="Y1543" s="85"/>
      <c r="Z1543" s="101">
        <v>0.1</v>
      </c>
      <c r="AA1543" s="102">
        <v>0.09</v>
      </c>
      <c r="AB1543" s="77"/>
      <c r="AC1543" s="78"/>
    </row>
    <row r="1544" spans="1:29" x14ac:dyDescent="0.2">
      <c r="A1544" s="117" t="s">
        <v>5046</v>
      </c>
      <c r="B1544" s="118" t="e">
        <f t="shared" si="168"/>
        <v>#VALUE!</v>
      </c>
      <c r="C1544" s="118" t="s">
        <v>612</v>
      </c>
      <c r="D1544" s="113">
        <v>41108</v>
      </c>
      <c r="E1544" s="84">
        <v>41214</v>
      </c>
      <c r="F1544" s="84">
        <f t="shared" si="169"/>
        <v>44866</v>
      </c>
      <c r="G1544" s="229">
        <v>1394.36</v>
      </c>
      <c r="H1544" s="71" t="s">
        <v>5038</v>
      </c>
      <c r="I1544" s="71" t="s">
        <v>1147</v>
      </c>
      <c r="J1544" s="79"/>
      <c r="K1544" s="55">
        <f t="shared" si="170"/>
        <v>2022</v>
      </c>
      <c r="L1544" s="80"/>
      <c r="M1544" s="80"/>
      <c r="N1544" s="73" t="s">
        <v>5044</v>
      </c>
      <c r="O1544" s="73" t="s">
        <v>5047</v>
      </c>
      <c r="P1544" s="74"/>
      <c r="Q1544" s="75">
        <v>201207012</v>
      </c>
      <c r="R1544" s="230">
        <v>5032.5</v>
      </c>
      <c r="S1544" s="230">
        <v>0</v>
      </c>
      <c r="T1544" s="230">
        <v>5032.5</v>
      </c>
      <c r="U1544" s="231">
        <v>2092.5</v>
      </c>
      <c r="V1544" s="230"/>
      <c r="W1544" s="230"/>
      <c r="X1544" s="231"/>
      <c r="Y1544" s="85"/>
      <c r="Z1544" s="101">
        <v>0.1</v>
      </c>
      <c r="AA1544" s="102">
        <v>0.09</v>
      </c>
      <c r="AB1544" s="77"/>
      <c r="AC1544" s="78"/>
    </row>
    <row r="1545" spans="1:29" x14ac:dyDescent="0.2">
      <c r="A1545" s="117" t="s">
        <v>5048</v>
      </c>
      <c r="B1545" s="118" t="e">
        <f t="shared" si="168"/>
        <v>#VALUE!</v>
      </c>
      <c r="C1545" s="118" t="s">
        <v>612</v>
      </c>
      <c r="D1545" s="113">
        <v>41108</v>
      </c>
      <c r="E1545" s="84">
        <v>41214</v>
      </c>
      <c r="F1545" s="84">
        <f t="shared" si="169"/>
        <v>44866</v>
      </c>
      <c r="G1545" s="229">
        <v>1920</v>
      </c>
      <c r="H1545" s="71" t="s">
        <v>5038</v>
      </c>
      <c r="I1545" s="71" t="s">
        <v>1147</v>
      </c>
      <c r="J1545" s="79"/>
      <c r="K1545" s="55">
        <f t="shared" si="170"/>
        <v>2022</v>
      </c>
      <c r="L1545" s="80"/>
      <c r="M1545" s="80"/>
      <c r="N1545" s="73" t="s">
        <v>5044</v>
      </c>
      <c r="O1545" s="73" t="s">
        <v>5049</v>
      </c>
      <c r="P1545" s="74"/>
      <c r="Q1545" s="75">
        <v>201207013</v>
      </c>
      <c r="R1545" s="230">
        <v>6870</v>
      </c>
      <c r="S1545" s="230">
        <v>0</v>
      </c>
      <c r="T1545" s="230">
        <v>6870</v>
      </c>
      <c r="U1545" s="231">
        <v>2880</v>
      </c>
      <c r="V1545" s="230"/>
      <c r="W1545" s="230"/>
      <c r="X1545" s="231"/>
      <c r="Y1545" s="85"/>
      <c r="Z1545" s="101">
        <v>0.1</v>
      </c>
      <c r="AA1545" s="102">
        <v>0.09</v>
      </c>
      <c r="AB1545" s="77"/>
      <c r="AC1545" s="78"/>
    </row>
    <row r="1546" spans="1:29" x14ac:dyDescent="0.2">
      <c r="A1546" s="117" t="s">
        <v>5050</v>
      </c>
      <c r="B1546" s="118" t="e">
        <f t="shared" si="168"/>
        <v>#VALUE!</v>
      </c>
      <c r="C1546" s="118" t="s">
        <v>612</v>
      </c>
      <c r="D1546" s="113">
        <v>41108</v>
      </c>
      <c r="E1546" s="84">
        <v>41214</v>
      </c>
      <c r="F1546" s="84">
        <f t="shared" si="169"/>
        <v>44866</v>
      </c>
      <c r="G1546" s="229">
        <v>160</v>
      </c>
      <c r="H1546" s="71" t="s">
        <v>5038</v>
      </c>
      <c r="I1546" s="71" t="s">
        <v>1147</v>
      </c>
      <c r="J1546" s="79"/>
      <c r="K1546" s="55">
        <f t="shared" si="170"/>
        <v>2022</v>
      </c>
      <c r="L1546" s="80"/>
      <c r="M1546" s="80"/>
      <c r="N1546" s="73" t="s">
        <v>5044</v>
      </c>
      <c r="O1546" s="73" t="s">
        <v>5051</v>
      </c>
      <c r="P1546" s="74"/>
      <c r="Q1546" s="75">
        <v>201207014</v>
      </c>
      <c r="R1546" s="230">
        <v>710</v>
      </c>
      <c r="S1546" s="230">
        <v>0</v>
      </c>
      <c r="T1546" s="230">
        <v>710</v>
      </c>
      <c r="U1546" s="231">
        <v>240</v>
      </c>
      <c r="V1546" s="230"/>
      <c r="W1546" s="230"/>
      <c r="X1546" s="231"/>
      <c r="Y1546" s="85"/>
      <c r="Z1546" s="101">
        <v>0.1</v>
      </c>
      <c r="AA1546" s="102">
        <v>0.09</v>
      </c>
      <c r="AB1546" s="77"/>
      <c r="AC1546" s="78"/>
    </row>
    <row r="1547" spans="1:29" x14ac:dyDescent="0.2">
      <c r="A1547" s="117" t="s">
        <v>5052</v>
      </c>
      <c r="B1547" s="118" t="e">
        <f t="shared" si="168"/>
        <v>#VALUE!</v>
      </c>
      <c r="C1547" s="118" t="s">
        <v>612</v>
      </c>
      <c r="D1547" s="113">
        <v>41108</v>
      </c>
      <c r="E1547" s="84">
        <v>41214</v>
      </c>
      <c r="F1547" s="84">
        <f t="shared" si="169"/>
        <v>44866</v>
      </c>
      <c r="G1547" s="229">
        <v>160</v>
      </c>
      <c r="H1547" s="71" t="s">
        <v>5053</v>
      </c>
      <c r="I1547" s="71" t="s">
        <v>812</v>
      </c>
      <c r="J1547" s="79"/>
      <c r="K1547" s="55">
        <f t="shared" si="170"/>
        <v>2022</v>
      </c>
      <c r="L1547" s="80"/>
      <c r="M1547" s="80"/>
      <c r="N1547" s="73" t="s">
        <v>5054</v>
      </c>
      <c r="O1547" s="73" t="s">
        <v>5055</v>
      </c>
      <c r="P1547" s="74"/>
      <c r="Q1547" s="75">
        <v>201207019</v>
      </c>
      <c r="R1547" s="230">
        <v>710</v>
      </c>
      <c r="S1547" s="230">
        <v>12480</v>
      </c>
      <c r="T1547" s="230">
        <v>13190</v>
      </c>
      <c r="U1547" s="231">
        <v>240</v>
      </c>
      <c r="V1547" s="230"/>
      <c r="W1547" s="230"/>
      <c r="X1547" s="231"/>
      <c r="Y1547" s="85"/>
      <c r="Z1547" s="101">
        <v>0.1</v>
      </c>
      <c r="AA1547" s="102">
        <v>0.09</v>
      </c>
      <c r="AB1547" s="77"/>
      <c r="AC1547" s="78"/>
    </row>
    <row r="1548" spans="1:29" ht="27" customHeight="1" x14ac:dyDescent="0.2">
      <c r="A1548" s="117" t="s">
        <v>5056</v>
      </c>
      <c r="B1548" s="118" t="e">
        <f t="shared" si="168"/>
        <v>#VALUE!</v>
      </c>
      <c r="C1548" s="118" t="s">
        <v>612</v>
      </c>
      <c r="D1548" s="113">
        <v>41108</v>
      </c>
      <c r="E1548" s="84">
        <v>41214</v>
      </c>
      <c r="F1548" s="84">
        <f t="shared" si="169"/>
        <v>44866</v>
      </c>
      <c r="G1548" s="229">
        <v>276.12</v>
      </c>
      <c r="H1548" s="71" t="s">
        <v>5053</v>
      </c>
      <c r="I1548" s="71" t="s">
        <v>812</v>
      </c>
      <c r="J1548" s="79"/>
      <c r="K1548" s="55">
        <f t="shared" si="170"/>
        <v>2022</v>
      </c>
      <c r="L1548" s="80"/>
      <c r="M1548" s="80"/>
      <c r="N1548" s="73" t="s">
        <v>5057</v>
      </c>
      <c r="O1548" s="73" t="s">
        <v>5058</v>
      </c>
      <c r="P1548" s="74"/>
      <c r="Q1548" s="75">
        <v>201207020</v>
      </c>
      <c r="R1548" s="230">
        <v>1119.5</v>
      </c>
      <c r="S1548" s="230">
        <v>24376</v>
      </c>
      <c r="T1548" s="230">
        <v>25495.5</v>
      </c>
      <c r="U1548" s="231">
        <v>415.5</v>
      </c>
      <c r="V1548" s="230"/>
      <c r="W1548" s="230"/>
      <c r="X1548" s="231"/>
      <c r="Y1548" s="85"/>
      <c r="Z1548" s="101">
        <v>0.1</v>
      </c>
      <c r="AA1548" s="102">
        <v>0.09</v>
      </c>
      <c r="AB1548" s="77"/>
      <c r="AC1548" s="78"/>
    </row>
    <row r="1549" spans="1:29" ht="27" customHeight="1" x14ac:dyDescent="0.2">
      <c r="A1549" s="117" t="s">
        <v>5059</v>
      </c>
      <c r="B1549" s="118" t="e">
        <f t="shared" si="168"/>
        <v>#VALUE!</v>
      </c>
      <c r="C1549" s="118" t="s">
        <v>612</v>
      </c>
      <c r="D1549" s="113">
        <v>41108</v>
      </c>
      <c r="E1549" s="84">
        <v>41214</v>
      </c>
      <c r="F1549" s="84">
        <f t="shared" si="169"/>
        <v>44866</v>
      </c>
      <c r="G1549" s="229">
        <v>2066.9899999999998</v>
      </c>
      <c r="H1549" s="71" t="s">
        <v>5060</v>
      </c>
      <c r="I1549" s="71" t="s">
        <v>614</v>
      </c>
      <c r="J1549" s="79"/>
      <c r="K1549" s="55">
        <f t="shared" si="170"/>
        <v>2022</v>
      </c>
      <c r="L1549" s="80"/>
      <c r="M1549" s="80"/>
      <c r="N1549" s="73" t="s">
        <v>5061</v>
      </c>
      <c r="O1549" s="73" t="s">
        <v>5062</v>
      </c>
      <c r="P1549" s="74"/>
      <c r="Q1549" s="75">
        <v>201207021</v>
      </c>
      <c r="R1549" s="230">
        <v>7384.5</v>
      </c>
      <c r="S1549" s="230">
        <v>0</v>
      </c>
      <c r="T1549" s="230">
        <v>7384.5</v>
      </c>
      <c r="U1549" s="231">
        <v>3100.5</v>
      </c>
      <c r="V1549" s="230"/>
      <c r="W1549" s="230"/>
      <c r="X1549" s="231"/>
      <c r="Y1549" s="85"/>
      <c r="Z1549" s="101">
        <v>0.1</v>
      </c>
      <c r="AA1549" s="102">
        <v>0.09</v>
      </c>
      <c r="AB1549" s="77"/>
      <c r="AC1549" s="78"/>
    </row>
    <row r="1550" spans="1:29" ht="40" customHeight="1" x14ac:dyDescent="0.2">
      <c r="A1550" s="117" t="s">
        <v>5063</v>
      </c>
      <c r="B1550" s="118" t="e">
        <f t="shared" si="168"/>
        <v>#VALUE!</v>
      </c>
      <c r="C1550" s="118" t="s">
        <v>612</v>
      </c>
      <c r="D1550" s="113">
        <v>41108</v>
      </c>
      <c r="E1550" s="84">
        <v>41214</v>
      </c>
      <c r="F1550" s="84">
        <f t="shared" si="169"/>
        <v>44866</v>
      </c>
      <c r="G1550" s="229">
        <v>1892.89</v>
      </c>
      <c r="H1550" s="71" t="s">
        <v>5060</v>
      </c>
      <c r="I1550" s="71" t="s">
        <v>614</v>
      </c>
      <c r="J1550" s="79"/>
      <c r="K1550" s="55">
        <f t="shared" si="170"/>
        <v>2022</v>
      </c>
      <c r="L1550" s="80"/>
      <c r="M1550" s="80"/>
      <c r="N1550" s="73" t="s">
        <v>5061</v>
      </c>
      <c r="O1550" s="73" t="s">
        <v>5064</v>
      </c>
      <c r="P1550" s="74"/>
      <c r="Q1550" s="75">
        <v>201207022</v>
      </c>
      <c r="R1550" s="230">
        <v>6775.5</v>
      </c>
      <c r="S1550" s="230">
        <v>0</v>
      </c>
      <c r="T1550" s="230">
        <v>6775.5</v>
      </c>
      <c r="U1550" s="231">
        <v>2839.5</v>
      </c>
      <c r="V1550" s="230"/>
      <c r="W1550" s="230"/>
      <c r="X1550" s="231"/>
      <c r="Y1550" s="85"/>
      <c r="Z1550" s="101">
        <v>0.1</v>
      </c>
      <c r="AA1550" s="102">
        <v>0.09</v>
      </c>
      <c r="AB1550" s="77"/>
      <c r="AC1550" s="78"/>
    </row>
    <row r="1551" spans="1:29" ht="40" customHeight="1" x14ac:dyDescent="0.2">
      <c r="A1551" s="117" t="s">
        <v>5065</v>
      </c>
      <c r="B1551" s="118" t="e">
        <f t="shared" si="168"/>
        <v>#VALUE!</v>
      </c>
      <c r="C1551" s="118" t="s">
        <v>612</v>
      </c>
      <c r="D1551" s="113">
        <v>41108</v>
      </c>
      <c r="E1551" s="84">
        <v>41214</v>
      </c>
      <c r="F1551" s="84">
        <f t="shared" si="169"/>
        <v>44866</v>
      </c>
      <c r="G1551" s="229">
        <v>2123.91</v>
      </c>
      <c r="H1551" s="71" t="s">
        <v>5060</v>
      </c>
      <c r="I1551" s="71" t="s">
        <v>614</v>
      </c>
      <c r="J1551" s="79"/>
      <c r="K1551" s="55">
        <f t="shared" si="170"/>
        <v>2022</v>
      </c>
      <c r="L1551" s="80"/>
      <c r="M1551" s="80"/>
      <c r="N1551" s="73" t="s">
        <v>5061</v>
      </c>
      <c r="O1551" s="73" t="s">
        <v>5066</v>
      </c>
      <c r="P1551" s="74"/>
      <c r="Q1551" s="75">
        <v>201207023</v>
      </c>
      <c r="R1551" s="230">
        <v>7584</v>
      </c>
      <c r="S1551" s="230">
        <v>0</v>
      </c>
      <c r="T1551" s="230">
        <v>7584</v>
      </c>
      <c r="U1551" s="231">
        <v>3186</v>
      </c>
      <c r="V1551" s="230"/>
      <c r="W1551" s="230"/>
      <c r="X1551" s="231"/>
      <c r="Y1551" s="85"/>
      <c r="Z1551" s="101">
        <v>0.1</v>
      </c>
      <c r="AA1551" s="102">
        <v>0.09</v>
      </c>
      <c r="AB1551" s="77"/>
      <c r="AC1551" s="78"/>
    </row>
    <row r="1552" spans="1:29" x14ac:dyDescent="0.2">
      <c r="A1552" s="117" t="s">
        <v>5067</v>
      </c>
      <c r="B1552" s="118" t="e">
        <f t="shared" si="168"/>
        <v>#VALUE!</v>
      </c>
      <c r="C1552" s="118" t="s">
        <v>612</v>
      </c>
      <c r="D1552" s="113">
        <v>41108</v>
      </c>
      <c r="E1552" s="84">
        <v>41214</v>
      </c>
      <c r="F1552" s="84">
        <f t="shared" si="169"/>
        <v>44866</v>
      </c>
      <c r="G1552" s="229">
        <v>124</v>
      </c>
      <c r="H1552" s="71" t="s">
        <v>1503</v>
      </c>
      <c r="I1552" s="71" t="s">
        <v>614</v>
      </c>
      <c r="J1552" s="79"/>
      <c r="K1552" s="55">
        <f t="shared" si="170"/>
        <v>2022</v>
      </c>
      <c r="L1552" s="80"/>
      <c r="M1552" s="80"/>
      <c r="N1552" s="73" t="s">
        <v>5068</v>
      </c>
      <c r="O1552" s="73" t="s">
        <v>5069</v>
      </c>
      <c r="P1552" s="74"/>
      <c r="Q1552" s="75">
        <v>201207027</v>
      </c>
      <c r="R1552" s="230">
        <v>584</v>
      </c>
      <c r="S1552" s="230">
        <v>7192</v>
      </c>
      <c r="T1552" s="230">
        <v>7776</v>
      </c>
      <c r="U1552" s="231">
        <v>186</v>
      </c>
      <c r="V1552" s="230"/>
      <c r="W1552" s="230"/>
      <c r="X1552" s="231"/>
      <c r="Y1552" s="85"/>
      <c r="Z1552" s="101">
        <v>0.1</v>
      </c>
      <c r="AA1552" s="102">
        <v>0.09</v>
      </c>
      <c r="AB1552" s="77"/>
      <c r="AC1552" s="78"/>
    </row>
    <row r="1553" spans="1:29" ht="40" customHeight="1" x14ac:dyDescent="0.2">
      <c r="A1553" s="117" t="s">
        <v>5070</v>
      </c>
      <c r="B1553" s="118" t="e">
        <f t="shared" si="168"/>
        <v>#VALUE!</v>
      </c>
      <c r="C1553" s="118" t="s">
        <v>612</v>
      </c>
      <c r="D1553" s="113">
        <v>41108</v>
      </c>
      <c r="E1553" s="84">
        <v>41214</v>
      </c>
      <c r="F1553" s="84">
        <f t="shared" si="169"/>
        <v>44866</v>
      </c>
      <c r="G1553" s="229">
        <v>2100.9299999999998</v>
      </c>
      <c r="H1553" s="71" t="s">
        <v>5071</v>
      </c>
      <c r="I1553" s="71" t="s">
        <v>614</v>
      </c>
      <c r="J1553" s="79"/>
      <c r="K1553" s="55">
        <f t="shared" si="170"/>
        <v>2022</v>
      </c>
      <c r="L1553" s="80"/>
      <c r="M1553" s="80"/>
      <c r="N1553" s="73" t="s">
        <v>5068</v>
      </c>
      <c r="O1553" s="73" t="s">
        <v>5072</v>
      </c>
      <c r="P1553" s="74"/>
      <c r="Q1553" s="75">
        <v>201207028</v>
      </c>
      <c r="R1553" s="230">
        <v>7503.5</v>
      </c>
      <c r="S1553" s="230">
        <v>542058</v>
      </c>
      <c r="T1553" s="230">
        <v>549561.5</v>
      </c>
      <c r="U1553" s="231">
        <v>3151.5</v>
      </c>
      <c r="V1553" s="230"/>
      <c r="W1553" s="230"/>
      <c r="X1553" s="231"/>
      <c r="Y1553" s="85"/>
      <c r="Z1553" s="101">
        <v>0.1</v>
      </c>
      <c r="AA1553" s="102">
        <v>0.09</v>
      </c>
      <c r="AB1553" s="77"/>
      <c r="AC1553" s="78"/>
    </row>
    <row r="1554" spans="1:29" ht="15" hidden="1" customHeight="1" thickBot="1" x14ac:dyDescent="0.25">
      <c r="A1554" s="117"/>
      <c r="D1554" s="71"/>
      <c r="E1554" s="78"/>
      <c r="F1554" s="84"/>
      <c r="G1554" s="229"/>
      <c r="H1554" s="71"/>
      <c r="I1554" s="71"/>
      <c r="J1554" s="79"/>
      <c r="K1554" s="79"/>
      <c r="L1554" s="80"/>
      <c r="M1554" s="80"/>
      <c r="N1554" s="73"/>
      <c r="O1554" s="73"/>
      <c r="P1554" s="74"/>
      <c r="Q1554" s="75"/>
      <c r="R1554" s="241">
        <v>66927.5</v>
      </c>
      <c r="S1554" s="241">
        <v>586106</v>
      </c>
      <c r="T1554" s="241">
        <v>653033.5</v>
      </c>
      <c r="U1554" s="231"/>
      <c r="V1554" s="230"/>
      <c r="W1554" s="230"/>
      <c r="X1554" s="231"/>
      <c r="Y1554" s="85"/>
      <c r="Z1554" s="85"/>
      <c r="AA1554" s="76"/>
      <c r="AB1554" s="77"/>
      <c r="AC1554" s="78"/>
    </row>
    <row r="1555" spans="1:29" hidden="1" x14ac:dyDescent="0.2">
      <c r="A1555" s="117"/>
      <c r="D1555" s="71"/>
      <c r="E1555" s="78"/>
      <c r="F1555" s="84"/>
      <c r="G1555" s="229"/>
      <c r="H1555" s="71"/>
      <c r="I1555" s="71"/>
      <c r="J1555" s="79"/>
      <c r="K1555" s="79"/>
      <c r="L1555" s="80"/>
      <c r="M1555" s="80"/>
      <c r="N1555" s="73"/>
      <c r="O1555" s="73"/>
      <c r="P1555" s="74"/>
      <c r="Q1555" s="75"/>
      <c r="R1555" s="230"/>
      <c r="S1555" s="230"/>
      <c r="T1555" s="230"/>
      <c r="U1555" s="231"/>
      <c r="V1555" s="230"/>
      <c r="W1555" s="230"/>
      <c r="X1555" s="231"/>
      <c r="Y1555" s="85"/>
      <c r="Z1555" s="85"/>
      <c r="AA1555" s="76"/>
      <c r="AB1555" s="77"/>
      <c r="AC1555" s="78"/>
    </row>
    <row r="1556" spans="1:29" x14ac:dyDescent="0.2">
      <c r="A1556" s="117" t="s">
        <v>5073</v>
      </c>
      <c r="B1556" s="118" t="e">
        <f t="shared" ref="B1556:B1587" si="171">IF(COUNTIF(GIS,A1556),"YES","NO")</f>
        <v>#VALUE!</v>
      </c>
      <c r="C1556" s="118" t="s">
        <v>612</v>
      </c>
      <c r="D1556" s="113">
        <v>41165</v>
      </c>
      <c r="E1556" s="84">
        <v>41518</v>
      </c>
      <c r="F1556" s="84">
        <f t="shared" ref="F1556:F1587" si="172">DATE(YEAR(E1556)+10,MONTH(E1556),DAY(E1556))</f>
        <v>45170</v>
      </c>
      <c r="G1556" s="229">
        <v>40.049999999999997</v>
      </c>
      <c r="H1556" s="71" t="s">
        <v>906</v>
      </c>
      <c r="I1556" s="71" t="s">
        <v>691</v>
      </c>
      <c r="J1556" s="79"/>
      <c r="K1556" s="55">
        <f t="shared" ref="K1556:K1587" si="173">YEAR(F1556)</f>
        <v>2023</v>
      </c>
      <c r="L1556" s="80"/>
      <c r="M1556" s="80"/>
      <c r="N1556" s="73" t="s">
        <v>5074</v>
      </c>
      <c r="O1556" s="73" t="s">
        <v>5075</v>
      </c>
      <c r="P1556" s="74"/>
      <c r="Q1556" s="75" t="s">
        <v>5076</v>
      </c>
      <c r="R1556" s="230">
        <v>293.5</v>
      </c>
      <c r="S1556" s="230">
        <v>1312</v>
      </c>
      <c r="T1556" s="230">
        <v>1605.5</v>
      </c>
      <c r="U1556" s="231">
        <v>61.5</v>
      </c>
      <c r="V1556" s="230"/>
      <c r="W1556" s="230"/>
      <c r="X1556" s="231"/>
      <c r="Y1556" s="85"/>
      <c r="Z1556" s="101">
        <v>0.1</v>
      </c>
      <c r="AA1556" s="102">
        <v>0.09</v>
      </c>
      <c r="AB1556" s="77"/>
      <c r="AC1556" s="78"/>
    </row>
    <row r="1557" spans="1:29" x14ac:dyDescent="0.2">
      <c r="A1557" s="117" t="s">
        <v>5077</v>
      </c>
      <c r="B1557" s="118" t="e">
        <f t="shared" si="171"/>
        <v>#VALUE!</v>
      </c>
      <c r="C1557" s="118" t="s">
        <v>612</v>
      </c>
      <c r="D1557" s="113">
        <v>41165</v>
      </c>
      <c r="E1557" s="84">
        <v>41518</v>
      </c>
      <c r="F1557" s="84">
        <f t="shared" si="172"/>
        <v>45170</v>
      </c>
      <c r="G1557" s="229">
        <v>4</v>
      </c>
      <c r="H1557" s="71" t="s">
        <v>906</v>
      </c>
      <c r="I1557" s="71" t="s">
        <v>691</v>
      </c>
      <c r="J1557" s="79"/>
      <c r="K1557" s="55">
        <f t="shared" si="173"/>
        <v>2023</v>
      </c>
      <c r="L1557" s="80"/>
      <c r="M1557" s="80"/>
      <c r="N1557" s="73" t="s">
        <v>5074</v>
      </c>
      <c r="O1557" s="73" t="s">
        <v>5078</v>
      </c>
      <c r="P1557" s="74"/>
      <c r="Q1557" s="75" t="s">
        <v>5079</v>
      </c>
      <c r="R1557" s="230">
        <v>164</v>
      </c>
      <c r="S1557" s="230">
        <v>128</v>
      </c>
      <c r="T1557" s="230">
        <v>292</v>
      </c>
      <c r="U1557" s="231">
        <v>6</v>
      </c>
      <c r="V1557" s="230"/>
      <c r="W1557" s="230"/>
      <c r="X1557" s="231"/>
      <c r="Y1557" s="85"/>
      <c r="Z1557" s="101">
        <v>0.1</v>
      </c>
      <c r="AA1557" s="102">
        <v>0.09</v>
      </c>
      <c r="AB1557" s="77"/>
      <c r="AC1557" s="78"/>
    </row>
    <row r="1558" spans="1:29" x14ac:dyDescent="0.2">
      <c r="A1558" s="117" t="s">
        <v>5080</v>
      </c>
      <c r="B1558" s="118" t="e">
        <f t="shared" si="171"/>
        <v>#VALUE!</v>
      </c>
      <c r="C1558" s="118" t="s">
        <v>612</v>
      </c>
      <c r="D1558" s="113">
        <v>41165</v>
      </c>
      <c r="E1558" s="84">
        <v>41518</v>
      </c>
      <c r="F1558" s="84">
        <f t="shared" si="172"/>
        <v>45170</v>
      </c>
      <c r="G1558" s="229">
        <v>659.34</v>
      </c>
      <c r="H1558" s="71" t="s">
        <v>906</v>
      </c>
      <c r="I1558" s="71" t="s">
        <v>691</v>
      </c>
      <c r="J1558" s="79"/>
      <c r="K1558" s="55">
        <f t="shared" si="173"/>
        <v>2023</v>
      </c>
      <c r="L1558" s="80"/>
      <c r="M1558" s="80"/>
      <c r="N1558" s="73" t="s">
        <v>5081</v>
      </c>
      <c r="O1558" s="73" t="s">
        <v>5011</v>
      </c>
      <c r="P1558" s="74"/>
      <c r="Q1558" s="75" t="s">
        <v>5082</v>
      </c>
      <c r="R1558" s="230">
        <v>2460</v>
      </c>
      <c r="S1558" s="230">
        <v>20460</v>
      </c>
      <c r="T1558" s="230">
        <v>22920</v>
      </c>
      <c r="U1558" s="231">
        <v>990</v>
      </c>
      <c r="V1558" s="230"/>
      <c r="W1558" s="230"/>
      <c r="X1558" s="231"/>
      <c r="Y1558" s="85"/>
      <c r="Z1558" s="101">
        <v>0.1</v>
      </c>
      <c r="AA1558" s="102">
        <v>0.09</v>
      </c>
      <c r="AB1558" s="77"/>
      <c r="AC1558" s="78"/>
    </row>
    <row r="1559" spans="1:29" x14ac:dyDescent="0.2">
      <c r="A1559" s="117" t="s">
        <v>5083</v>
      </c>
      <c r="B1559" s="118" t="e">
        <f t="shared" si="171"/>
        <v>#VALUE!</v>
      </c>
      <c r="C1559" s="118" t="s">
        <v>612</v>
      </c>
      <c r="D1559" s="113">
        <v>41165</v>
      </c>
      <c r="E1559" s="84">
        <v>41518</v>
      </c>
      <c r="F1559" s="84">
        <f t="shared" si="172"/>
        <v>45170</v>
      </c>
      <c r="G1559" s="229">
        <v>109.84</v>
      </c>
      <c r="H1559" s="71" t="s">
        <v>1323</v>
      </c>
      <c r="I1559" s="71" t="s">
        <v>691</v>
      </c>
      <c r="J1559" s="79"/>
      <c r="K1559" s="55">
        <f t="shared" si="173"/>
        <v>2023</v>
      </c>
      <c r="L1559" s="80"/>
      <c r="M1559" s="80"/>
      <c r="N1559" s="73" t="s">
        <v>5084</v>
      </c>
      <c r="O1559" s="73" t="s">
        <v>5085</v>
      </c>
      <c r="P1559" s="74"/>
      <c r="Q1559" s="75" t="s">
        <v>5086</v>
      </c>
      <c r="R1559" s="230">
        <v>535</v>
      </c>
      <c r="S1559" s="230">
        <v>8580</v>
      </c>
      <c r="T1559" s="230">
        <v>9115</v>
      </c>
      <c r="U1559" s="231">
        <v>165</v>
      </c>
      <c r="V1559" s="230"/>
      <c r="W1559" s="230"/>
      <c r="X1559" s="231"/>
      <c r="Y1559" s="85"/>
      <c r="Z1559" s="101">
        <v>0.1</v>
      </c>
      <c r="AA1559" s="102">
        <v>0.09</v>
      </c>
      <c r="AB1559" s="77"/>
      <c r="AC1559" s="78"/>
    </row>
    <row r="1560" spans="1:29" x14ac:dyDescent="0.2">
      <c r="A1560" s="117" t="s">
        <v>5087</v>
      </c>
      <c r="B1560" s="118" t="e">
        <f t="shared" si="171"/>
        <v>#VALUE!</v>
      </c>
      <c r="C1560" s="118" t="s">
        <v>612</v>
      </c>
      <c r="D1560" s="113">
        <v>41165</v>
      </c>
      <c r="E1560" s="84">
        <v>41518</v>
      </c>
      <c r="F1560" s="84">
        <f t="shared" si="172"/>
        <v>45170</v>
      </c>
      <c r="G1560" s="229">
        <v>41.73</v>
      </c>
      <c r="H1560" s="71" t="s">
        <v>1323</v>
      </c>
      <c r="I1560" s="71" t="s">
        <v>691</v>
      </c>
      <c r="J1560" s="79"/>
      <c r="K1560" s="55">
        <f t="shared" si="173"/>
        <v>2023</v>
      </c>
      <c r="L1560" s="80"/>
      <c r="M1560" s="80"/>
      <c r="N1560" s="73" t="s">
        <v>5084</v>
      </c>
      <c r="O1560" s="73" t="s">
        <v>5011</v>
      </c>
      <c r="P1560" s="74"/>
      <c r="Q1560" s="75" t="s">
        <v>5088</v>
      </c>
      <c r="R1560" s="230">
        <v>297</v>
      </c>
      <c r="S1560" s="230">
        <v>3486</v>
      </c>
      <c r="T1560" s="230">
        <v>3783</v>
      </c>
      <c r="U1560" s="231">
        <v>63</v>
      </c>
      <c r="V1560" s="230"/>
      <c r="W1560" s="230"/>
      <c r="X1560" s="231"/>
      <c r="Y1560" s="85"/>
      <c r="Z1560" s="101">
        <v>0.1</v>
      </c>
      <c r="AA1560" s="102">
        <v>0.09</v>
      </c>
      <c r="AB1560" s="77"/>
      <c r="AC1560" s="78"/>
    </row>
    <row r="1561" spans="1:29" ht="27" customHeight="1" x14ac:dyDescent="0.2">
      <c r="A1561" s="117" t="s">
        <v>5089</v>
      </c>
      <c r="B1561" s="118" t="e">
        <f t="shared" si="171"/>
        <v>#VALUE!</v>
      </c>
      <c r="C1561" s="118" t="s">
        <v>612</v>
      </c>
      <c r="D1561" s="113">
        <v>41165</v>
      </c>
      <c r="E1561" s="84">
        <v>41518</v>
      </c>
      <c r="F1561" s="84">
        <f t="shared" si="172"/>
        <v>45170</v>
      </c>
      <c r="G1561" s="229">
        <v>425.96</v>
      </c>
      <c r="H1561" s="71" t="s">
        <v>906</v>
      </c>
      <c r="I1561" s="71" t="s">
        <v>691</v>
      </c>
      <c r="J1561" s="79"/>
      <c r="K1561" s="55">
        <f t="shared" si="173"/>
        <v>2023</v>
      </c>
      <c r="L1561" s="80"/>
      <c r="M1561" s="80"/>
      <c r="N1561" s="73" t="s">
        <v>5090</v>
      </c>
      <c r="O1561" s="73" t="s">
        <v>5091</v>
      </c>
      <c r="P1561" s="74"/>
      <c r="Q1561" s="75" t="s">
        <v>5092</v>
      </c>
      <c r="R1561" s="230">
        <v>1641</v>
      </c>
      <c r="S1561" s="230">
        <v>53676</v>
      </c>
      <c r="T1561" s="230">
        <v>55317</v>
      </c>
      <c r="U1561" s="231">
        <v>639</v>
      </c>
      <c r="V1561" s="230"/>
      <c r="W1561" s="230"/>
      <c r="X1561" s="231"/>
      <c r="Y1561" s="85"/>
      <c r="Z1561" s="101">
        <v>0.1</v>
      </c>
      <c r="AA1561" s="102">
        <v>0.09</v>
      </c>
      <c r="AB1561" s="77"/>
      <c r="AC1561" s="78"/>
    </row>
    <row r="1562" spans="1:29" ht="27" customHeight="1" x14ac:dyDescent="0.2">
      <c r="A1562" s="117" t="s">
        <v>5093</v>
      </c>
      <c r="B1562" s="118" t="e">
        <f t="shared" si="171"/>
        <v>#VALUE!</v>
      </c>
      <c r="C1562" s="118" t="s">
        <v>612</v>
      </c>
      <c r="D1562" s="113">
        <v>41165</v>
      </c>
      <c r="E1562" s="84">
        <v>41518</v>
      </c>
      <c r="F1562" s="84">
        <f t="shared" si="172"/>
        <v>45170</v>
      </c>
      <c r="G1562" s="229">
        <v>115</v>
      </c>
      <c r="H1562" s="71" t="s">
        <v>906</v>
      </c>
      <c r="I1562" s="71" t="s">
        <v>691</v>
      </c>
      <c r="J1562" s="79"/>
      <c r="K1562" s="55">
        <f t="shared" si="173"/>
        <v>2023</v>
      </c>
      <c r="L1562" s="80"/>
      <c r="M1562" s="80"/>
      <c r="N1562" s="73" t="s">
        <v>5090</v>
      </c>
      <c r="O1562" s="73" t="s">
        <v>5094</v>
      </c>
      <c r="P1562" s="74"/>
      <c r="Q1562" s="75" t="s">
        <v>5095</v>
      </c>
      <c r="R1562" s="230">
        <v>552.5</v>
      </c>
      <c r="S1562" s="230">
        <v>8970</v>
      </c>
      <c r="T1562" s="230">
        <v>9522.5</v>
      </c>
      <c r="U1562" s="231">
        <v>172.5</v>
      </c>
      <c r="V1562" s="230"/>
      <c r="W1562" s="230"/>
      <c r="X1562" s="231"/>
      <c r="Y1562" s="85"/>
      <c r="Z1562" s="101">
        <v>0.1</v>
      </c>
      <c r="AA1562" s="102">
        <v>0.09</v>
      </c>
      <c r="AB1562" s="77"/>
      <c r="AC1562" s="78"/>
    </row>
    <row r="1563" spans="1:29" x14ac:dyDescent="0.2">
      <c r="A1563" s="117" t="s">
        <v>5096</v>
      </c>
      <c r="B1563" s="118" t="e">
        <f t="shared" si="171"/>
        <v>#VALUE!</v>
      </c>
      <c r="C1563" s="118" t="s">
        <v>612</v>
      </c>
      <c r="D1563" s="113">
        <v>41165</v>
      </c>
      <c r="E1563" s="84">
        <v>41518</v>
      </c>
      <c r="F1563" s="84">
        <f t="shared" si="172"/>
        <v>45170</v>
      </c>
      <c r="G1563" s="229">
        <v>112.8</v>
      </c>
      <c r="H1563" s="71" t="s">
        <v>1086</v>
      </c>
      <c r="I1563" s="71" t="s">
        <v>691</v>
      </c>
      <c r="J1563" s="79"/>
      <c r="K1563" s="55">
        <f t="shared" si="173"/>
        <v>2023</v>
      </c>
      <c r="L1563" s="80"/>
      <c r="M1563" s="80"/>
      <c r="N1563" s="73" t="s">
        <v>5097</v>
      </c>
      <c r="O1563" s="73" t="s">
        <v>5011</v>
      </c>
      <c r="P1563" s="74"/>
      <c r="Q1563" s="75" t="s">
        <v>5098</v>
      </c>
      <c r="R1563" s="230">
        <v>545.5</v>
      </c>
      <c r="S1563" s="230">
        <v>1808</v>
      </c>
      <c r="T1563" s="230">
        <v>2353.5</v>
      </c>
      <c r="U1563" s="231">
        <v>169.5</v>
      </c>
      <c r="V1563" s="230"/>
      <c r="W1563" s="230"/>
      <c r="X1563" s="231"/>
      <c r="Y1563" s="85"/>
      <c r="Z1563" s="101">
        <v>0.1</v>
      </c>
      <c r="AA1563" s="102">
        <v>0.09</v>
      </c>
      <c r="AB1563" s="77"/>
      <c r="AC1563" s="78"/>
    </row>
    <row r="1564" spans="1:29" x14ac:dyDescent="0.2">
      <c r="A1564" s="117" t="s">
        <v>5099</v>
      </c>
      <c r="B1564" s="118" t="e">
        <f t="shared" si="171"/>
        <v>#VALUE!</v>
      </c>
      <c r="C1564" s="118" t="s">
        <v>612</v>
      </c>
      <c r="D1564" s="113">
        <v>41165</v>
      </c>
      <c r="E1564" s="84">
        <v>41518</v>
      </c>
      <c r="F1564" s="84">
        <f t="shared" si="172"/>
        <v>45170</v>
      </c>
      <c r="G1564" s="229">
        <v>131.69999999999999</v>
      </c>
      <c r="H1564" s="71" t="s">
        <v>1086</v>
      </c>
      <c r="I1564" s="71" t="s">
        <v>691</v>
      </c>
      <c r="J1564" s="79"/>
      <c r="K1564" s="55">
        <f t="shared" si="173"/>
        <v>2023</v>
      </c>
      <c r="L1564" s="80"/>
      <c r="M1564" s="80"/>
      <c r="N1564" s="73" t="s">
        <v>5097</v>
      </c>
      <c r="O1564" s="73" t="s">
        <v>5100</v>
      </c>
      <c r="P1564" s="74"/>
      <c r="Q1564" s="75" t="s">
        <v>5101</v>
      </c>
      <c r="R1564" s="230">
        <v>612</v>
      </c>
      <c r="S1564" s="230">
        <v>2376</v>
      </c>
      <c r="T1564" s="230">
        <v>2988</v>
      </c>
      <c r="U1564" s="231">
        <v>198</v>
      </c>
      <c r="V1564" s="230"/>
      <c r="W1564" s="230"/>
      <c r="X1564" s="231"/>
      <c r="Y1564" s="85"/>
      <c r="Z1564" s="101">
        <v>0.1</v>
      </c>
      <c r="AA1564" s="102">
        <v>0.09</v>
      </c>
      <c r="AB1564" s="77"/>
      <c r="AC1564" s="78"/>
    </row>
    <row r="1565" spans="1:29" x14ac:dyDescent="0.2">
      <c r="A1565" s="117" t="s">
        <v>5102</v>
      </c>
      <c r="B1565" s="118" t="e">
        <f t="shared" si="171"/>
        <v>#VALUE!</v>
      </c>
      <c r="C1565" s="118" t="s">
        <v>612</v>
      </c>
      <c r="D1565" s="113">
        <v>41165</v>
      </c>
      <c r="E1565" s="84">
        <v>41518</v>
      </c>
      <c r="F1565" s="84">
        <f t="shared" si="172"/>
        <v>45170</v>
      </c>
      <c r="G1565" s="229">
        <v>250.11</v>
      </c>
      <c r="H1565" s="71" t="s">
        <v>1086</v>
      </c>
      <c r="I1565" s="71" t="s">
        <v>691</v>
      </c>
      <c r="J1565" s="79"/>
      <c r="K1565" s="55">
        <f t="shared" si="173"/>
        <v>2023</v>
      </c>
      <c r="L1565" s="80"/>
      <c r="M1565" s="80"/>
      <c r="N1565" s="73" t="s">
        <v>5097</v>
      </c>
      <c r="O1565" s="73" t="s">
        <v>5011</v>
      </c>
      <c r="P1565" s="74"/>
      <c r="Q1565" s="75" t="s">
        <v>5103</v>
      </c>
      <c r="R1565" s="230">
        <v>1028.5</v>
      </c>
      <c r="S1565" s="230">
        <v>4016</v>
      </c>
      <c r="T1565" s="230">
        <v>5044.5</v>
      </c>
      <c r="U1565" s="231">
        <v>376.5</v>
      </c>
      <c r="V1565" s="230"/>
      <c r="W1565" s="230"/>
      <c r="X1565" s="231"/>
      <c r="Y1565" s="85"/>
      <c r="Z1565" s="101">
        <v>0.1</v>
      </c>
      <c r="AA1565" s="102">
        <v>0.09</v>
      </c>
      <c r="AB1565" s="77"/>
      <c r="AC1565" s="78"/>
    </row>
    <row r="1566" spans="1:29" x14ac:dyDescent="0.2">
      <c r="A1566" s="117" t="s">
        <v>5104</v>
      </c>
      <c r="B1566" s="118" t="e">
        <f t="shared" si="171"/>
        <v>#VALUE!</v>
      </c>
      <c r="C1566" s="118" t="s">
        <v>612</v>
      </c>
      <c r="D1566" s="113">
        <v>41165</v>
      </c>
      <c r="E1566" s="84">
        <v>41518</v>
      </c>
      <c r="F1566" s="84">
        <f t="shared" si="172"/>
        <v>45170</v>
      </c>
      <c r="G1566" s="229">
        <v>300.08</v>
      </c>
      <c r="H1566" s="71" t="s">
        <v>1086</v>
      </c>
      <c r="I1566" s="71" t="s">
        <v>691</v>
      </c>
      <c r="J1566" s="79"/>
      <c r="K1566" s="55">
        <f t="shared" si="173"/>
        <v>2023</v>
      </c>
      <c r="L1566" s="80"/>
      <c r="M1566" s="80"/>
      <c r="N1566" s="73" t="s">
        <v>5097</v>
      </c>
      <c r="O1566" s="73" t="s">
        <v>5011</v>
      </c>
      <c r="P1566" s="74"/>
      <c r="Q1566" s="75" t="s">
        <v>5105</v>
      </c>
      <c r="R1566" s="230">
        <v>1203.5</v>
      </c>
      <c r="S1566" s="230">
        <v>5117</v>
      </c>
      <c r="T1566" s="230">
        <v>6320.5</v>
      </c>
      <c r="U1566" s="231">
        <v>451.5</v>
      </c>
      <c r="V1566" s="230"/>
      <c r="W1566" s="230"/>
      <c r="X1566" s="231"/>
      <c r="Y1566" s="85"/>
      <c r="Z1566" s="101">
        <v>0.1</v>
      </c>
      <c r="AA1566" s="102">
        <v>0.09</v>
      </c>
      <c r="AB1566" s="77"/>
      <c r="AC1566" s="78"/>
    </row>
    <row r="1567" spans="1:29" ht="27" customHeight="1" x14ac:dyDescent="0.2">
      <c r="A1567" s="117" t="s">
        <v>5106</v>
      </c>
      <c r="B1567" s="118" t="e">
        <f t="shared" si="171"/>
        <v>#VALUE!</v>
      </c>
      <c r="C1567" s="118" t="s">
        <v>612</v>
      </c>
      <c r="D1567" s="113">
        <v>41165</v>
      </c>
      <c r="E1567" s="84">
        <v>41518</v>
      </c>
      <c r="F1567" s="84">
        <f t="shared" si="172"/>
        <v>45170</v>
      </c>
      <c r="G1567" s="229">
        <v>3.32</v>
      </c>
      <c r="H1567" s="71" t="s">
        <v>1086</v>
      </c>
      <c r="I1567" s="71" t="s">
        <v>691</v>
      </c>
      <c r="J1567" s="79"/>
      <c r="K1567" s="55">
        <f t="shared" si="173"/>
        <v>2023</v>
      </c>
      <c r="L1567" s="80"/>
      <c r="M1567" s="80"/>
      <c r="N1567" s="73" t="s">
        <v>5097</v>
      </c>
      <c r="O1567" s="73" t="s">
        <v>5107</v>
      </c>
      <c r="P1567" s="74"/>
      <c r="Q1567" s="75" t="s">
        <v>5108</v>
      </c>
      <c r="R1567" s="230">
        <v>164</v>
      </c>
      <c r="S1567" s="230">
        <v>56</v>
      </c>
      <c r="T1567" s="230">
        <v>220</v>
      </c>
      <c r="U1567" s="231">
        <v>6</v>
      </c>
      <c r="V1567" s="230"/>
      <c r="W1567" s="230"/>
      <c r="X1567" s="231"/>
      <c r="Y1567" s="85"/>
      <c r="Z1567" s="101">
        <v>0.1</v>
      </c>
      <c r="AA1567" s="102">
        <v>0.09</v>
      </c>
      <c r="AB1567" s="77"/>
      <c r="AC1567" s="78"/>
    </row>
    <row r="1568" spans="1:29" ht="27" customHeight="1" x14ac:dyDescent="0.2">
      <c r="A1568" s="117" t="s">
        <v>5109</v>
      </c>
      <c r="B1568" s="118" t="e">
        <f t="shared" si="171"/>
        <v>#VALUE!</v>
      </c>
      <c r="C1568" s="118" t="s">
        <v>612</v>
      </c>
      <c r="D1568" s="113">
        <v>41165</v>
      </c>
      <c r="E1568" s="103">
        <v>42278</v>
      </c>
      <c r="F1568" s="84">
        <f t="shared" si="172"/>
        <v>45931</v>
      </c>
      <c r="G1568" s="229">
        <v>692.48</v>
      </c>
      <c r="H1568" s="71" t="s">
        <v>3528</v>
      </c>
      <c r="I1568" s="71" t="s">
        <v>684</v>
      </c>
      <c r="J1568" s="238"/>
      <c r="K1568" s="55">
        <f t="shared" si="173"/>
        <v>2025</v>
      </c>
      <c r="L1568" s="239"/>
      <c r="M1568" s="239"/>
      <c r="N1568" s="73" t="s">
        <v>5110</v>
      </c>
      <c r="O1568" s="73" t="s">
        <v>5111</v>
      </c>
      <c r="P1568" s="74" t="s">
        <v>5112</v>
      </c>
      <c r="Q1568" s="75" t="s">
        <v>5113</v>
      </c>
      <c r="R1568" s="230">
        <v>2575.5</v>
      </c>
      <c r="S1568" s="230">
        <v>19404</v>
      </c>
      <c r="T1568" s="230">
        <v>21979.5</v>
      </c>
      <c r="U1568" s="231">
        <v>1039.5</v>
      </c>
      <c r="V1568" s="230"/>
      <c r="W1568" s="230"/>
      <c r="X1568" s="231"/>
      <c r="Y1568" s="85"/>
      <c r="Z1568" s="101">
        <v>0.1</v>
      </c>
      <c r="AA1568" s="102">
        <v>0.09</v>
      </c>
      <c r="AB1568" s="77"/>
      <c r="AC1568" s="78"/>
    </row>
    <row r="1569" spans="1:29" ht="27" customHeight="1" x14ac:dyDescent="0.2">
      <c r="A1569" s="117" t="s">
        <v>5114</v>
      </c>
      <c r="B1569" s="118" t="e">
        <f t="shared" si="171"/>
        <v>#VALUE!</v>
      </c>
      <c r="C1569" s="118" t="s">
        <v>612</v>
      </c>
      <c r="D1569" s="113">
        <v>41165</v>
      </c>
      <c r="E1569" s="103">
        <v>42644</v>
      </c>
      <c r="F1569" s="84">
        <f t="shared" si="172"/>
        <v>46296</v>
      </c>
      <c r="G1569" s="229">
        <v>362.86</v>
      </c>
      <c r="H1569" s="71" t="s">
        <v>3528</v>
      </c>
      <c r="I1569" s="71" t="s">
        <v>684</v>
      </c>
      <c r="J1569" s="238"/>
      <c r="K1569" s="55">
        <f t="shared" si="173"/>
        <v>2026</v>
      </c>
      <c r="L1569" s="239"/>
      <c r="M1569" s="239"/>
      <c r="N1569" s="73" t="s">
        <v>5110</v>
      </c>
      <c r="O1569" s="73" t="s">
        <v>5115</v>
      </c>
      <c r="P1569" s="74" t="s">
        <v>5116</v>
      </c>
      <c r="Q1569" s="75" t="s">
        <v>5117</v>
      </c>
      <c r="R1569" s="230">
        <v>1420.5</v>
      </c>
      <c r="S1569" s="230">
        <v>7623</v>
      </c>
      <c r="T1569" s="230">
        <v>9043.5</v>
      </c>
      <c r="U1569" s="231">
        <v>544.5</v>
      </c>
      <c r="V1569" s="230"/>
      <c r="W1569" s="230"/>
      <c r="X1569" s="231"/>
      <c r="Y1569" s="85"/>
      <c r="Z1569" s="101">
        <v>0.1</v>
      </c>
      <c r="AA1569" s="102">
        <v>0.09</v>
      </c>
      <c r="AB1569" s="77"/>
      <c r="AC1569" s="78"/>
    </row>
    <row r="1570" spans="1:29" x14ac:dyDescent="0.2">
      <c r="A1570" s="117" t="s">
        <v>5118</v>
      </c>
      <c r="B1570" s="118" t="e">
        <f t="shared" si="171"/>
        <v>#VALUE!</v>
      </c>
      <c r="C1570" s="118" t="s">
        <v>612</v>
      </c>
      <c r="D1570" s="113">
        <v>41165</v>
      </c>
      <c r="E1570" s="103">
        <v>42278</v>
      </c>
      <c r="F1570" s="84">
        <f t="shared" si="172"/>
        <v>45931</v>
      </c>
      <c r="G1570" s="229">
        <v>516.25</v>
      </c>
      <c r="H1570" s="71" t="s">
        <v>3528</v>
      </c>
      <c r="I1570" s="71" t="s">
        <v>684</v>
      </c>
      <c r="J1570" s="238"/>
      <c r="K1570" s="55">
        <f t="shared" si="173"/>
        <v>2025</v>
      </c>
      <c r="L1570" s="239"/>
      <c r="M1570" s="239"/>
      <c r="N1570" s="73" t="s">
        <v>5110</v>
      </c>
      <c r="O1570" s="73" t="s">
        <v>5119</v>
      </c>
      <c r="P1570" s="74"/>
      <c r="Q1570" s="75" t="s">
        <v>5120</v>
      </c>
      <c r="R1570" s="230">
        <v>1959.5</v>
      </c>
      <c r="S1570" s="230">
        <v>11891</v>
      </c>
      <c r="T1570" s="230">
        <v>13850.5</v>
      </c>
      <c r="U1570" s="231">
        <v>775.5</v>
      </c>
      <c r="V1570" s="230"/>
      <c r="W1570" s="230"/>
      <c r="X1570" s="231"/>
      <c r="Y1570" s="85"/>
      <c r="Z1570" s="101">
        <v>0.1</v>
      </c>
      <c r="AA1570" s="102">
        <v>0.09</v>
      </c>
      <c r="AB1570" s="77"/>
      <c r="AC1570" s="78"/>
    </row>
    <row r="1571" spans="1:29" x14ac:dyDescent="0.2">
      <c r="A1571" s="117" t="s">
        <v>5121</v>
      </c>
      <c r="B1571" s="118" t="e">
        <f t="shared" si="171"/>
        <v>#VALUE!</v>
      </c>
      <c r="C1571" s="118" t="s">
        <v>612</v>
      </c>
      <c r="D1571" s="113">
        <v>41165</v>
      </c>
      <c r="E1571" s="103">
        <v>42278</v>
      </c>
      <c r="F1571" s="84">
        <f t="shared" si="172"/>
        <v>45931</v>
      </c>
      <c r="G1571" s="229">
        <v>544.86</v>
      </c>
      <c r="H1571" s="71" t="s">
        <v>3528</v>
      </c>
      <c r="I1571" s="71" t="s">
        <v>684</v>
      </c>
      <c r="J1571" s="238"/>
      <c r="K1571" s="55">
        <f t="shared" si="173"/>
        <v>2025</v>
      </c>
      <c r="L1571" s="239"/>
      <c r="M1571" s="239"/>
      <c r="N1571" s="73" t="s">
        <v>5110</v>
      </c>
      <c r="O1571" s="73" t="s">
        <v>5122</v>
      </c>
      <c r="P1571" s="74"/>
      <c r="Q1571" s="75" t="s">
        <v>5123</v>
      </c>
      <c r="R1571" s="230">
        <v>2057.5</v>
      </c>
      <c r="S1571" s="230">
        <v>13080</v>
      </c>
      <c r="T1571" s="230">
        <v>15137.5</v>
      </c>
      <c r="U1571" s="231">
        <v>817.8</v>
      </c>
      <c r="V1571" s="230"/>
      <c r="W1571" s="230"/>
      <c r="X1571" s="231"/>
      <c r="Y1571" s="85"/>
      <c r="Z1571" s="101">
        <v>0.1</v>
      </c>
      <c r="AA1571" s="102">
        <v>0.09</v>
      </c>
      <c r="AB1571" s="77"/>
      <c r="AC1571" s="78"/>
    </row>
    <row r="1572" spans="1:29" x14ac:dyDescent="0.2">
      <c r="A1572" s="117" t="s">
        <v>5124</v>
      </c>
      <c r="B1572" s="118" t="e">
        <f t="shared" si="171"/>
        <v>#VALUE!</v>
      </c>
      <c r="C1572" s="118" t="s">
        <v>612</v>
      </c>
      <c r="D1572" s="113">
        <v>41165</v>
      </c>
      <c r="E1572" s="103">
        <v>42644</v>
      </c>
      <c r="F1572" s="84">
        <f t="shared" si="172"/>
        <v>46296</v>
      </c>
      <c r="G1572" s="229">
        <v>621.20000000000005</v>
      </c>
      <c r="H1572" s="71" t="s">
        <v>3528</v>
      </c>
      <c r="I1572" s="71" t="s">
        <v>684</v>
      </c>
      <c r="J1572" s="238"/>
      <c r="K1572" s="55">
        <f t="shared" si="173"/>
        <v>2026</v>
      </c>
      <c r="L1572" s="239"/>
      <c r="M1572" s="239"/>
      <c r="N1572" s="73" t="s">
        <v>5110</v>
      </c>
      <c r="O1572" s="73" t="s">
        <v>5125</v>
      </c>
      <c r="P1572" s="74"/>
      <c r="Q1572" s="75" t="s">
        <v>5126</v>
      </c>
      <c r="R1572" s="230">
        <v>2327</v>
      </c>
      <c r="S1572" s="230">
        <v>11196</v>
      </c>
      <c r="T1572" s="230">
        <v>13523</v>
      </c>
      <c r="U1572" s="231">
        <v>933</v>
      </c>
      <c r="V1572" s="230"/>
      <c r="W1572" s="230"/>
      <c r="X1572" s="231"/>
      <c r="Y1572" s="85"/>
      <c r="Z1572" s="101">
        <v>0.1</v>
      </c>
      <c r="AA1572" s="102">
        <v>0.09</v>
      </c>
      <c r="AB1572" s="77"/>
      <c r="AC1572" s="78"/>
    </row>
    <row r="1573" spans="1:29" x14ac:dyDescent="0.2">
      <c r="A1573" s="117" t="s">
        <v>5127</v>
      </c>
      <c r="B1573" s="118" t="e">
        <f t="shared" si="171"/>
        <v>#VALUE!</v>
      </c>
      <c r="C1573" s="118" t="s">
        <v>612</v>
      </c>
      <c r="D1573" s="113">
        <v>41165</v>
      </c>
      <c r="E1573" s="103">
        <v>42278</v>
      </c>
      <c r="F1573" s="84">
        <f t="shared" si="172"/>
        <v>45931</v>
      </c>
      <c r="G1573" s="229">
        <v>304.48</v>
      </c>
      <c r="H1573" s="71" t="s">
        <v>3528</v>
      </c>
      <c r="I1573" s="71" t="s">
        <v>684</v>
      </c>
      <c r="J1573" s="238"/>
      <c r="K1573" s="55">
        <f t="shared" si="173"/>
        <v>2025</v>
      </c>
      <c r="L1573" s="239"/>
      <c r="M1573" s="239"/>
      <c r="N1573" s="73" t="s">
        <v>5110</v>
      </c>
      <c r="O1573" s="73" t="s">
        <v>5128</v>
      </c>
      <c r="P1573" s="74"/>
      <c r="Q1573" s="75" t="s">
        <v>5129</v>
      </c>
      <c r="R1573" s="230">
        <v>1217.5</v>
      </c>
      <c r="S1573" s="230">
        <v>7320</v>
      </c>
      <c r="T1573" s="230">
        <v>8537.5</v>
      </c>
      <c r="U1573" s="231">
        <v>457.5</v>
      </c>
      <c r="V1573" s="230"/>
      <c r="W1573" s="230"/>
      <c r="X1573" s="231"/>
      <c r="Y1573" s="85"/>
      <c r="Z1573" s="101">
        <v>0.1</v>
      </c>
      <c r="AA1573" s="102">
        <v>0.09</v>
      </c>
      <c r="AB1573" s="77"/>
      <c r="AC1573" s="78"/>
    </row>
    <row r="1574" spans="1:29" x14ac:dyDescent="0.2">
      <c r="A1574" s="117" t="s">
        <v>5130</v>
      </c>
      <c r="B1574" s="118" t="e">
        <f t="shared" si="171"/>
        <v>#VALUE!</v>
      </c>
      <c r="C1574" s="118" t="s">
        <v>612</v>
      </c>
      <c r="D1574" s="113">
        <v>41165</v>
      </c>
      <c r="E1574" s="103">
        <v>42278</v>
      </c>
      <c r="F1574" s="84">
        <f t="shared" si="172"/>
        <v>45931</v>
      </c>
      <c r="G1574" s="229">
        <v>55.3</v>
      </c>
      <c r="H1574" s="71" t="s">
        <v>3528</v>
      </c>
      <c r="I1574" s="71" t="s">
        <v>684</v>
      </c>
      <c r="J1574" s="238"/>
      <c r="K1574" s="55">
        <f t="shared" si="173"/>
        <v>2025</v>
      </c>
      <c r="L1574" s="239"/>
      <c r="M1574" s="239"/>
      <c r="N1574" s="73" t="s">
        <v>5110</v>
      </c>
      <c r="O1574" s="73" t="s">
        <v>5131</v>
      </c>
      <c r="P1574" s="74"/>
      <c r="Q1574" s="75" t="s">
        <v>5132</v>
      </c>
      <c r="R1574" s="230">
        <v>346</v>
      </c>
      <c r="S1574" s="230">
        <v>448</v>
      </c>
      <c r="T1574" s="230">
        <v>794</v>
      </c>
      <c r="U1574" s="231">
        <v>84</v>
      </c>
      <c r="V1574" s="230"/>
      <c r="W1574" s="230"/>
      <c r="X1574" s="231"/>
      <c r="Y1574" s="85"/>
      <c r="Z1574" s="101">
        <v>0.1</v>
      </c>
      <c r="AA1574" s="102">
        <v>0.09</v>
      </c>
      <c r="AB1574" s="77"/>
      <c r="AC1574" s="78"/>
    </row>
    <row r="1575" spans="1:29" ht="40" customHeight="1" x14ac:dyDescent="0.2">
      <c r="A1575" s="117" t="s">
        <v>5133</v>
      </c>
      <c r="B1575" s="118" t="e">
        <f t="shared" si="171"/>
        <v>#VALUE!</v>
      </c>
      <c r="C1575" s="118" t="s">
        <v>612</v>
      </c>
      <c r="D1575" s="113">
        <v>41165</v>
      </c>
      <c r="E1575" s="103">
        <v>42278</v>
      </c>
      <c r="F1575" s="84">
        <f t="shared" si="172"/>
        <v>45931</v>
      </c>
      <c r="G1575" s="229">
        <v>120.12</v>
      </c>
      <c r="H1575" s="71" t="s">
        <v>3528</v>
      </c>
      <c r="I1575" s="71" t="s">
        <v>684</v>
      </c>
      <c r="J1575" s="238"/>
      <c r="K1575" s="55">
        <f t="shared" si="173"/>
        <v>2025</v>
      </c>
      <c r="L1575" s="239"/>
      <c r="M1575" s="239"/>
      <c r="N1575" s="73" t="s">
        <v>5110</v>
      </c>
      <c r="O1575" s="73" t="s">
        <v>5134</v>
      </c>
      <c r="P1575" s="74" t="s">
        <v>5135</v>
      </c>
      <c r="Q1575" s="75" t="s">
        <v>5136</v>
      </c>
      <c r="R1575" s="230">
        <v>573.5</v>
      </c>
      <c r="S1575" s="230">
        <v>2420</v>
      </c>
      <c r="T1575" s="230">
        <v>2993.5</v>
      </c>
      <c r="U1575" s="231">
        <v>181.5</v>
      </c>
      <c r="V1575" s="230"/>
      <c r="W1575" s="230"/>
      <c r="X1575" s="231"/>
      <c r="Y1575" s="85"/>
      <c r="Z1575" s="101">
        <v>0.1</v>
      </c>
      <c r="AA1575" s="102">
        <v>0.09</v>
      </c>
      <c r="AB1575" s="77"/>
      <c r="AC1575" s="78"/>
    </row>
    <row r="1576" spans="1:29" x14ac:dyDescent="0.2">
      <c r="A1576" s="117" t="s">
        <v>5137</v>
      </c>
      <c r="B1576" s="118" t="e">
        <f t="shared" si="171"/>
        <v>#VALUE!</v>
      </c>
      <c r="C1576" s="118" t="s">
        <v>612</v>
      </c>
      <c r="D1576" s="113">
        <v>41165</v>
      </c>
      <c r="E1576" s="103">
        <v>42278</v>
      </c>
      <c r="F1576" s="84">
        <f t="shared" si="172"/>
        <v>45931</v>
      </c>
      <c r="G1576" s="229">
        <v>642.16</v>
      </c>
      <c r="H1576" s="71" t="s">
        <v>3528</v>
      </c>
      <c r="I1576" s="71" t="s">
        <v>684</v>
      </c>
      <c r="J1576" s="238"/>
      <c r="K1576" s="55">
        <f t="shared" si="173"/>
        <v>2025</v>
      </c>
      <c r="L1576" s="239"/>
      <c r="M1576" s="239"/>
      <c r="N1576" s="73" t="s">
        <v>5110</v>
      </c>
      <c r="O1576" s="73" t="s">
        <v>5138</v>
      </c>
      <c r="P1576" s="74"/>
      <c r="Q1576" s="75" t="s">
        <v>5139</v>
      </c>
      <c r="R1576" s="230">
        <v>2400.5</v>
      </c>
      <c r="S1576" s="230">
        <v>12860</v>
      </c>
      <c r="T1576" s="230">
        <v>15260.5</v>
      </c>
      <c r="U1576" s="231">
        <v>964.5</v>
      </c>
      <c r="V1576" s="230"/>
      <c r="W1576" s="230"/>
      <c r="X1576" s="231"/>
      <c r="Y1576" s="85"/>
      <c r="Z1576" s="101">
        <v>0.1</v>
      </c>
      <c r="AA1576" s="102">
        <v>0.09</v>
      </c>
      <c r="AB1576" s="77"/>
      <c r="AC1576" s="78"/>
    </row>
    <row r="1577" spans="1:29" x14ac:dyDescent="0.2">
      <c r="A1577" s="117" t="s">
        <v>5140</v>
      </c>
      <c r="B1577" s="118" t="e">
        <f t="shared" si="171"/>
        <v>#VALUE!</v>
      </c>
      <c r="C1577" s="118" t="s">
        <v>612</v>
      </c>
      <c r="D1577" s="113">
        <v>41165</v>
      </c>
      <c r="E1577" s="103">
        <v>42278</v>
      </c>
      <c r="F1577" s="84">
        <f t="shared" si="172"/>
        <v>45931</v>
      </c>
      <c r="G1577" s="229">
        <v>358.76</v>
      </c>
      <c r="H1577" s="71" t="s">
        <v>3528</v>
      </c>
      <c r="I1577" s="71" t="s">
        <v>684</v>
      </c>
      <c r="J1577" s="238"/>
      <c r="K1577" s="55">
        <f t="shared" si="173"/>
        <v>2025</v>
      </c>
      <c r="L1577" s="239"/>
      <c r="M1577" s="239"/>
      <c r="N1577" s="73" t="s">
        <v>5110</v>
      </c>
      <c r="O1577" s="73" t="s">
        <v>5141</v>
      </c>
      <c r="P1577" s="74"/>
      <c r="Q1577" s="75" t="s">
        <v>5142</v>
      </c>
      <c r="R1577" s="230">
        <v>1406.5</v>
      </c>
      <c r="S1577" s="230">
        <v>7180</v>
      </c>
      <c r="T1577" s="230">
        <v>8586.5</v>
      </c>
      <c r="U1577" s="231">
        <v>538.5</v>
      </c>
      <c r="V1577" s="230"/>
      <c r="W1577" s="230"/>
      <c r="X1577" s="231"/>
      <c r="Y1577" s="85"/>
      <c r="Z1577" s="101">
        <v>0.1</v>
      </c>
      <c r="AA1577" s="102">
        <v>0.09</v>
      </c>
      <c r="AB1577" s="77"/>
      <c r="AC1577" s="78"/>
    </row>
    <row r="1578" spans="1:29" x14ac:dyDescent="0.2">
      <c r="A1578" s="117" t="s">
        <v>5143</v>
      </c>
      <c r="B1578" s="118" t="e">
        <f t="shared" si="171"/>
        <v>#VALUE!</v>
      </c>
      <c r="C1578" s="118" t="s">
        <v>612</v>
      </c>
      <c r="D1578" s="113">
        <v>41165</v>
      </c>
      <c r="E1578" s="103">
        <v>42278</v>
      </c>
      <c r="F1578" s="84">
        <f t="shared" si="172"/>
        <v>45931</v>
      </c>
      <c r="G1578" s="229">
        <v>480.21</v>
      </c>
      <c r="H1578" s="71" t="s">
        <v>3528</v>
      </c>
      <c r="I1578" s="71" t="s">
        <v>684</v>
      </c>
      <c r="J1578" s="238"/>
      <c r="K1578" s="55">
        <f t="shared" si="173"/>
        <v>2025</v>
      </c>
      <c r="L1578" s="239"/>
      <c r="M1578" s="239"/>
      <c r="N1578" s="73" t="s">
        <v>5110</v>
      </c>
      <c r="O1578" s="73" t="s">
        <v>5144</v>
      </c>
      <c r="P1578" s="74"/>
      <c r="Q1578" s="75" t="s">
        <v>5145</v>
      </c>
      <c r="R1578" s="230">
        <v>1833.5</v>
      </c>
      <c r="S1578" s="230">
        <v>11544</v>
      </c>
      <c r="T1578" s="230">
        <v>13377.5</v>
      </c>
      <c r="U1578" s="231">
        <v>721.5</v>
      </c>
      <c r="V1578" s="230"/>
      <c r="W1578" s="230"/>
      <c r="X1578" s="231"/>
      <c r="Y1578" s="85"/>
      <c r="Z1578" s="101">
        <v>0.1</v>
      </c>
      <c r="AA1578" s="102">
        <v>0.09</v>
      </c>
      <c r="AB1578" s="77"/>
      <c r="AC1578" s="78"/>
    </row>
    <row r="1579" spans="1:29" ht="27" customHeight="1" x14ac:dyDescent="0.2">
      <c r="A1579" s="117" t="s">
        <v>5146</v>
      </c>
      <c r="B1579" s="118" t="e">
        <f t="shared" si="171"/>
        <v>#VALUE!</v>
      </c>
      <c r="C1579" s="118" t="s">
        <v>612</v>
      </c>
      <c r="D1579" s="113">
        <v>41165</v>
      </c>
      <c r="E1579" s="103">
        <v>42278</v>
      </c>
      <c r="F1579" s="84">
        <f t="shared" si="172"/>
        <v>45931</v>
      </c>
      <c r="G1579" s="229">
        <v>685.78</v>
      </c>
      <c r="H1579" s="71" t="s">
        <v>3528</v>
      </c>
      <c r="I1579" s="71" t="s">
        <v>684</v>
      </c>
      <c r="J1579" s="238"/>
      <c r="K1579" s="55">
        <f t="shared" si="173"/>
        <v>2025</v>
      </c>
      <c r="L1579" s="239"/>
      <c r="M1579" s="239"/>
      <c r="N1579" s="73" t="s">
        <v>5110</v>
      </c>
      <c r="O1579" s="73" t="s">
        <v>5147</v>
      </c>
      <c r="P1579" s="74" t="s">
        <v>5148</v>
      </c>
      <c r="Q1579" s="75" t="s">
        <v>5149</v>
      </c>
      <c r="R1579" s="230">
        <v>2551</v>
      </c>
      <c r="S1579" s="230">
        <v>15092</v>
      </c>
      <c r="T1579" s="230">
        <v>17643</v>
      </c>
      <c r="U1579" s="231">
        <v>1029</v>
      </c>
      <c r="V1579" s="230"/>
      <c r="W1579" s="230"/>
      <c r="X1579" s="231"/>
      <c r="Y1579" s="85"/>
      <c r="Z1579" s="101">
        <v>0.1</v>
      </c>
      <c r="AA1579" s="102">
        <v>0.09</v>
      </c>
      <c r="AB1579" s="77"/>
      <c r="AC1579" s="78"/>
    </row>
    <row r="1580" spans="1:29" x14ac:dyDescent="0.2">
      <c r="A1580" s="117" t="s">
        <v>5150</v>
      </c>
      <c r="B1580" s="118" t="e">
        <f t="shared" si="171"/>
        <v>#VALUE!</v>
      </c>
      <c r="C1580" s="118" t="s">
        <v>612</v>
      </c>
      <c r="D1580" s="113">
        <v>41165</v>
      </c>
      <c r="E1580" s="103">
        <v>42278</v>
      </c>
      <c r="F1580" s="84">
        <f t="shared" si="172"/>
        <v>45931</v>
      </c>
      <c r="G1580" s="229">
        <v>632.55999999999995</v>
      </c>
      <c r="H1580" s="71" t="s">
        <v>3528</v>
      </c>
      <c r="I1580" s="71" t="s">
        <v>684</v>
      </c>
      <c r="J1580" s="238"/>
      <c r="K1580" s="55">
        <f t="shared" si="173"/>
        <v>2025</v>
      </c>
      <c r="L1580" s="239"/>
      <c r="M1580" s="239"/>
      <c r="N1580" s="73" t="s">
        <v>5110</v>
      </c>
      <c r="O1580" s="73" t="s">
        <v>5151</v>
      </c>
      <c r="P1580" s="74"/>
      <c r="Q1580" s="75" t="s">
        <v>5152</v>
      </c>
      <c r="R1580" s="230">
        <v>2365.5</v>
      </c>
      <c r="S1580" s="230">
        <v>13293</v>
      </c>
      <c r="T1580" s="230">
        <v>15658.5</v>
      </c>
      <c r="U1580" s="231">
        <v>949.5</v>
      </c>
      <c r="V1580" s="230"/>
      <c r="W1580" s="230"/>
      <c r="X1580" s="231"/>
      <c r="Y1580" s="85"/>
      <c r="Z1580" s="101">
        <v>0.1</v>
      </c>
      <c r="AA1580" s="102">
        <v>0.09</v>
      </c>
      <c r="AB1580" s="77"/>
      <c r="AC1580" s="78"/>
    </row>
    <row r="1581" spans="1:29" x14ac:dyDescent="0.2">
      <c r="A1581" s="117" t="s">
        <v>5153</v>
      </c>
      <c r="B1581" s="118" t="e">
        <f t="shared" si="171"/>
        <v>#VALUE!</v>
      </c>
      <c r="C1581" s="118" t="s">
        <v>612</v>
      </c>
      <c r="D1581" s="113">
        <v>41165</v>
      </c>
      <c r="E1581" s="103">
        <v>42278</v>
      </c>
      <c r="F1581" s="84">
        <f t="shared" si="172"/>
        <v>45931</v>
      </c>
      <c r="G1581" s="229">
        <v>641.36</v>
      </c>
      <c r="H1581" s="71" t="s">
        <v>3528</v>
      </c>
      <c r="I1581" s="71" t="s">
        <v>684</v>
      </c>
      <c r="J1581" s="238"/>
      <c r="K1581" s="55">
        <f t="shared" si="173"/>
        <v>2025</v>
      </c>
      <c r="L1581" s="239"/>
      <c r="M1581" s="239"/>
      <c r="N1581" s="73" t="s">
        <v>5110</v>
      </c>
      <c r="O1581" s="73" t="s">
        <v>5154</v>
      </c>
      <c r="P1581" s="74"/>
      <c r="Q1581" s="75" t="s">
        <v>5155</v>
      </c>
      <c r="R1581" s="230">
        <v>2397</v>
      </c>
      <c r="S1581" s="230">
        <v>15408</v>
      </c>
      <c r="T1581" s="230">
        <v>17805</v>
      </c>
      <c r="U1581" s="231">
        <v>963</v>
      </c>
      <c r="V1581" s="230"/>
      <c r="W1581" s="230"/>
      <c r="X1581" s="231"/>
      <c r="Y1581" s="85"/>
      <c r="Z1581" s="101">
        <v>0.1</v>
      </c>
      <c r="AA1581" s="102">
        <v>0.09</v>
      </c>
      <c r="AB1581" s="77"/>
      <c r="AC1581" s="78"/>
    </row>
    <row r="1582" spans="1:29" x14ac:dyDescent="0.2">
      <c r="A1582" s="117" t="s">
        <v>5156</v>
      </c>
      <c r="B1582" s="118" t="e">
        <f t="shared" si="171"/>
        <v>#VALUE!</v>
      </c>
      <c r="C1582" s="118" t="s">
        <v>612</v>
      </c>
      <c r="D1582" s="113">
        <v>41165</v>
      </c>
      <c r="E1582" s="103">
        <v>42278</v>
      </c>
      <c r="F1582" s="84">
        <f t="shared" si="172"/>
        <v>45931</v>
      </c>
      <c r="G1582" s="229">
        <v>521.5</v>
      </c>
      <c r="H1582" s="71" t="s">
        <v>3528</v>
      </c>
      <c r="I1582" s="71" t="s">
        <v>684</v>
      </c>
      <c r="J1582" s="238"/>
      <c r="K1582" s="55">
        <f t="shared" si="173"/>
        <v>2025</v>
      </c>
      <c r="L1582" s="239"/>
      <c r="M1582" s="239"/>
      <c r="N1582" s="73" t="s">
        <v>5110</v>
      </c>
      <c r="O1582" s="73" t="s">
        <v>5157</v>
      </c>
      <c r="P1582" s="74"/>
      <c r="Q1582" s="75" t="s">
        <v>5158</v>
      </c>
      <c r="R1582" s="230">
        <v>1977</v>
      </c>
      <c r="S1582" s="230">
        <v>12528</v>
      </c>
      <c r="T1582" s="230">
        <v>14505</v>
      </c>
      <c r="U1582" s="231">
        <v>783</v>
      </c>
      <c r="V1582" s="230"/>
      <c r="W1582" s="230"/>
      <c r="X1582" s="231"/>
      <c r="Y1582" s="85"/>
      <c r="Z1582" s="101">
        <v>0.1</v>
      </c>
      <c r="AA1582" s="102">
        <v>0.09</v>
      </c>
      <c r="AB1582" s="77"/>
      <c r="AC1582" s="78"/>
    </row>
    <row r="1583" spans="1:29" x14ac:dyDescent="0.2">
      <c r="A1583" s="117" t="s">
        <v>5159</v>
      </c>
      <c r="B1583" s="118" t="e">
        <f t="shared" si="171"/>
        <v>#VALUE!</v>
      </c>
      <c r="C1583" s="118" t="s">
        <v>612</v>
      </c>
      <c r="D1583" s="113">
        <v>41165</v>
      </c>
      <c r="E1583" s="103">
        <v>42278</v>
      </c>
      <c r="F1583" s="84">
        <f t="shared" si="172"/>
        <v>45931</v>
      </c>
      <c r="G1583" s="229">
        <v>369.4</v>
      </c>
      <c r="H1583" s="71" t="s">
        <v>3528</v>
      </c>
      <c r="I1583" s="71" t="s">
        <v>684</v>
      </c>
      <c r="J1583" s="238"/>
      <c r="K1583" s="55">
        <f t="shared" si="173"/>
        <v>2025</v>
      </c>
      <c r="L1583" s="239"/>
      <c r="M1583" s="239"/>
      <c r="N1583" s="73" t="s">
        <v>5110</v>
      </c>
      <c r="O1583" s="73" t="s">
        <v>5160</v>
      </c>
      <c r="P1583" s="74"/>
      <c r="Q1583" s="75" t="s">
        <v>5161</v>
      </c>
      <c r="R1583" s="230">
        <v>1445</v>
      </c>
      <c r="S1583" s="230">
        <v>8510</v>
      </c>
      <c r="T1583" s="230">
        <v>9955</v>
      </c>
      <c r="U1583" s="231">
        <v>555</v>
      </c>
      <c r="V1583" s="230"/>
      <c r="W1583" s="230"/>
      <c r="X1583" s="231"/>
      <c r="Y1583" s="85"/>
      <c r="Z1583" s="101">
        <v>0.1</v>
      </c>
      <c r="AA1583" s="102">
        <v>0.09</v>
      </c>
      <c r="AB1583" s="77"/>
      <c r="AC1583" s="78"/>
    </row>
    <row r="1584" spans="1:29" x14ac:dyDescent="0.2">
      <c r="A1584" s="117" t="s">
        <v>5162</v>
      </c>
      <c r="B1584" s="118" t="e">
        <f t="shared" si="171"/>
        <v>#VALUE!</v>
      </c>
      <c r="C1584" s="118" t="s">
        <v>612</v>
      </c>
      <c r="D1584" s="113">
        <v>41165</v>
      </c>
      <c r="E1584" s="103">
        <v>42278</v>
      </c>
      <c r="F1584" s="84">
        <f t="shared" si="172"/>
        <v>45931</v>
      </c>
      <c r="G1584" s="229">
        <v>399.77</v>
      </c>
      <c r="H1584" s="112" t="s">
        <v>3528</v>
      </c>
      <c r="I1584" s="71" t="s">
        <v>684</v>
      </c>
      <c r="J1584" s="238"/>
      <c r="K1584" s="55">
        <f t="shared" si="173"/>
        <v>2025</v>
      </c>
      <c r="L1584" s="239"/>
      <c r="M1584" s="239"/>
      <c r="N1584" s="73" t="s">
        <v>5110</v>
      </c>
      <c r="O1584" s="73" t="s">
        <v>5163</v>
      </c>
      <c r="P1584" s="74"/>
      <c r="Q1584" s="75" t="s">
        <v>5164</v>
      </c>
      <c r="R1584" s="230">
        <v>1550</v>
      </c>
      <c r="S1584" s="230">
        <v>9200</v>
      </c>
      <c r="T1584" s="230">
        <v>10750</v>
      </c>
      <c r="U1584" s="231">
        <v>600</v>
      </c>
      <c r="V1584" s="230"/>
      <c r="W1584" s="230"/>
      <c r="X1584" s="231"/>
      <c r="Y1584" s="85"/>
      <c r="Z1584" s="101">
        <v>0.1</v>
      </c>
      <c r="AA1584" s="102">
        <v>0.09</v>
      </c>
      <c r="AB1584" s="77"/>
      <c r="AC1584" s="78"/>
    </row>
    <row r="1585" spans="1:29" x14ac:dyDescent="0.2">
      <c r="A1585" s="117" t="s">
        <v>5165</v>
      </c>
      <c r="B1585" s="118" t="e">
        <f t="shared" si="171"/>
        <v>#VALUE!</v>
      </c>
      <c r="C1585" s="118" t="s">
        <v>612</v>
      </c>
      <c r="D1585" s="113">
        <v>41165</v>
      </c>
      <c r="E1585" s="103">
        <v>42278</v>
      </c>
      <c r="F1585" s="84">
        <f t="shared" si="172"/>
        <v>45931</v>
      </c>
      <c r="G1585" s="229">
        <v>641</v>
      </c>
      <c r="H1585" s="71" t="s">
        <v>3528</v>
      </c>
      <c r="I1585" s="113" t="s">
        <v>684</v>
      </c>
      <c r="J1585" s="238"/>
      <c r="K1585" s="55">
        <f t="shared" si="173"/>
        <v>2025</v>
      </c>
      <c r="L1585" s="239"/>
      <c r="M1585" s="239"/>
      <c r="N1585" s="73" t="s">
        <v>5110</v>
      </c>
      <c r="O1585" s="73" t="s">
        <v>5166</v>
      </c>
      <c r="P1585" s="74"/>
      <c r="Q1585" s="75" t="s">
        <v>5167</v>
      </c>
      <c r="R1585" s="230">
        <v>2393.5</v>
      </c>
      <c r="S1585" s="230">
        <v>14743</v>
      </c>
      <c r="T1585" s="230">
        <v>17136.5</v>
      </c>
      <c r="U1585" s="231">
        <v>961.5</v>
      </c>
      <c r="V1585" s="230"/>
      <c r="W1585" s="230"/>
      <c r="X1585" s="231"/>
      <c r="Y1585" s="85"/>
      <c r="Z1585" s="101">
        <v>0.1</v>
      </c>
      <c r="AA1585" s="102">
        <v>0.09</v>
      </c>
      <c r="AB1585" s="77"/>
      <c r="AC1585" s="78"/>
    </row>
    <row r="1586" spans="1:29" ht="27" customHeight="1" x14ac:dyDescent="0.2">
      <c r="A1586" s="117" t="s">
        <v>5168</v>
      </c>
      <c r="B1586" s="118" t="e">
        <f t="shared" si="171"/>
        <v>#VALUE!</v>
      </c>
      <c r="C1586" s="118" t="s">
        <v>612</v>
      </c>
      <c r="D1586" s="113">
        <v>41165</v>
      </c>
      <c r="E1586" s="103">
        <v>42278</v>
      </c>
      <c r="F1586" s="84">
        <f t="shared" si="172"/>
        <v>45931</v>
      </c>
      <c r="G1586" s="229">
        <v>530.13</v>
      </c>
      <c r="H1586" s="71" t="s">
        <v>3528</v>
      </c>
      <c r="I1586" s="71" t="s">
        <v>684</v>
      </c>
      <c r="J1586" s="238"/>
      <c r="K1586" s="55">
        <f t="shared" si="173"/>
        <v>2025</v>
      </c>
      <c r="L1586" s="239"/>
      <c r="M1586" s="239"/>
      <c r="N1586" s="73" t="s">
        <v>5110</v>
      </c>
      <c r="O1586" s="73" t="s">
        <v>5169</v>
      </c>
      <c r="P1586" s="74"/>
      <c r="Q1586" s="75" t="s">
        <v>5170</v>
      </c>
      <c r="R1586" s="230">
        <v>2008.5</v>
      </c>
      <c r="S1586" s="230">
        <v>12213</v>
      </c>
      <c r="T1586" s="230">
        <v>14221.5</v>
      </c>
      <c r="U1586" s="231">
        <v>810</v>
      </c>
      <c r="V1586" s="230"/>
      <c r="W1586" s="230"/>
      <c r="X1586" s="231"/>
      <c r="Y1586" s="85"/>
      <c r="Z1586" s="101">
        <v>0.1</v>
      </c>
      <c r="AA1586" s="102">
        <v>0.09</v>
      </c>
      <c r="AB1586" s="77"/>
      <c r="AC1586" s="78"/>
    </row>
    <row r="1587" spans="1:29" x14ac:dyDescent="0.2">
      <c r="A1587" s="117" t="s">
        <v>5171</v>
      </c>
      <c r="B1587" s="118" t="e">
        <f t="shared" si="171"/>
        <v>#VALUE!</v>
      </c>
      <c r="C1587" s="118" t="s">
        <v>612</v>
      </c>
      <c r="D1587" s="113">
        <v>41165</v>
      </c>
      <c r="E1587" s="103">
        <v>42278</v>
      </c>
      <c r="F1587" s="84">
        <f t="shared" si="172"/>
        <v>45931</v>
      </c>
      <c r="G1587" s="229">
        <v>159</v>
      </c>
      <c r="H1587" s="71" t="s">
        <v>3528</v>
      </c>
      <c r="I1587" s="71" t="s">
        <v>684</v>
      </c>
      <c r="J1587" s="238"/>
      <c r="K1587" s="55">
        <f t="shared" si="173"/>
        <v>2025</v>
      </c>
      <c r="L1587" s="239"/>
      <c r="M1587" s="239"/>
      <c r="N1587" s="73" t="s">
        <v>5110</v>
      </c>
      <c r="O1587" s="73" t="s">
        <v>5172</v>
      </c>
      <c r="P1587" s="74"/>
      <c r="Q1587" s="75" t="s">
        <v>5173</v>
      </c>
      <c r="R1587" s="230">
        <v>706.5</v>
      </c>
      <c r="S1587" s="230">
        <v>5565</v>
      </c>
      <c r="T1587" s="230">
        <v>6271.5</v>
      </c>
      <c r="U1587" s="231">
        <v>238.5</v>
      </c>
      <c r="V1587" s="230"/>
      <c r="W1587" s="230"/>
      <c r="X1587" s="231"/>
      <c r="Y1587" s="85"/>
      <c r="Z1587" s="101">
        <v>0.1</v>
      </c>
      <c r="AA1587" s="102">
        <v>0.09</v>
      </c>
      <c r="AB1587" s="77"/>
      <c r="AC1587" s="78"/>
    </row>
    <row r="1588" spans="1:29" ht="27" customHeight="1" x14ac:dyDescent="0.2">
      <c r="A1588" s="117" t="s">
        <v>5174</v>
      </c>
      <c r="B1588" s="118" t="e">
        <f t="shared" ref="B1588:B1619" si="174">IF(COUNTIF(GIS,A1588),"YES","NO")</f>
        <v>#VALUE!</v>
      </c>
      <c r="C1588" s="118" t="s">
        <v>612</v>
      </c>
      <c r="D1588" s="113">
        <v>41165</v>
      </c>
      <c r="E1588" s="103">
        <v>42278</v>
      </c>
      <c r="F1588" s="84">
        <f t="shared" ref="F1588:F1619" si="175">DATE(YEAR(E1588)+10,MONTH(E1588),DAY(E1588))</f>
        <v>45931</v>
      </c>
      <c r="G1588" s="229">
        <v>539.16</v>
      </c>
      <c r="H1588" s="71" t="s">
        <v>3528</v>
      </c>
      <c r="I1588" s="71" t="s">
        <v>684</v>
      </c>
      <c r="J1588" s="238"/>
      <c r="K1588" s="55">
        <f t="shared" ref="K1588:K1620" si="176">YEAR(F1588)</f>
        <v>2025</v>
      </c>
      <c r="L1588" s="239"/>
      <c r="M1588" s="239"/>
      <c r="N1588" s="73" t="s">
        <v>5175</v>
      </c>
      <c r="O1588" s="73" t="s">
        <v>5176</v>
      </c>
      <c r="P1588" s="74" t="s">
        <v>5177</v>
      </c>
      <c r="Q1588" s="75" t="s">
        <v>5178</v>
      </c>
      <c r="R1588" s="230">
        <v>2040</v>
      </c>
      <c r="S1588" s="230">
        <v>4320</v>
      </c>
      <c r="T1588" s="230">
        <v>6360</v>
      </c>
      <c r="U1588" s="231">
        <v>810</v>
      </c>
      <c r="V1588" s="230"/>
      <c r="W1588" s="230"/>
      <c r="X1588" s="231"/>
      <c r="Y1588" s="85"/>
      <c r="Z1588" s="101">
        <v>0.1</v>
      </c>
      <c r="AA1588" s="102">
        <v>0.09</v>
      </c>
      <c r="AB1588" s="77"/>
      <c r="AC1588" s="78"/>
    </row>
    <row r="1589" spans="1:29" x14ac:dyDescent="0.2">
      <c r="A1589" s="117" t="s">
        <v>5179</v>
      </c>
      <c r="B1589" s="118" t="e">
        <f t="shared" si="174"/>
        <v>#VALUE!</v>
      </c>
      <c r="C1589" s="118" t="s">
        <v>612</v>
      </c>
      <c r="D1589" s="113">
        <v>41165</v>
      </c>
      <c r="E1589" s="103">
        <v>42278</v>
      </c>
      <c r="F1589" s="84">
        <f t="shared" si="175"/>
        <v>45931</v>
      </c>
      <c r="G1589" s="229">
        <v>263.41000000000003</v>
      </c>
      <c r="H1589" s="71" t="s">
        <v>3528</v>
      </c>
      <c r="I1589" s="71" t="s">
        <v>684</v>
      </c>
      <c r="J1589" s="238"/>
      <c r="K1589" s="55">
        <f t="shared" si="176"/>
        <v>2025</v>
      </c>
      <c r="L1589" s="239"/>
      <c r="M1589" s="239"/>
      <c r="N1589" s="73" t="s">
        <v>5175</v>
      </c>
      <c r="O1589" s="73" t="s">
        <v>5180</v>
      </c>
      <c r="P1589" s="74"/>
      <c r="Q1589" s="75" t="s">
        <v>5181</v>
      </c>
      <c r="R1589" s="230">
        <v>1074</v>
      </c>
      <c r="S1589" s="230">
        <v>2112</v>
      </c>
      <c r="T1589" s="230">
        <v>3186</v>
      </c>
      <c r="U1589" s="231">
        <v>396</v>
      </c>
      <c r="V1589" s="230"/>
      <c r="W1589" s="230"/>
      <c r="X1589" s="231"/>
      <c r="Y1589" s="85"/>
      <c r="Z1589" s="101">
        <v>0.1</v>
      </c>
      <c r="AA1589" s="102">
        <v>0.09</v>
      </c>
      <c r="AB1589" s="77"/>
      <c r="AC1589" s="78"/>
    </row>
    <row r="1590" spans="1:29" ht="27" customHeight="1" x14ac:dyDescent="0.2">
      <c r="A1590" s="117" t="s">
        <v>5182</v>
      </c>
      <c r="B1590" s="118" t="e">
        <f t="shared" si="174"/>
        <v>#VALUE!</v>
      </c>
      <c r="C1590" s="118" t="s">
        <v>612</v>
      </c>
      <c r="D1590" s="113">
        <v>41165</v>
      </c>
      <c r="E1590" s="103">
        <v>42278</v>
      </c>
      <c r="F1590" s="84">
        <f t="shared" si="175"/>
        <v>45931</v>
      </c>
      <c r="G1590" s="229">
        <v>409.54</v>
      </c>
      <c r="H1590" s="71" t="s">
        <v>3528</v>
      </c>
      <c r="I1590" s="71" t="s">
        <v>684</v>
      </c>
      <c r="J1590" s="238"/>
      <c r="K1590" s="55">
        <f t="shared" si="176"/>
        <v>2025</v>
      </c>
      <c r="L1590" s="239"/>
      <c r="M1590" s="239"/>
      <c r="N1590" s="73" t="s">
        <v>5175</v>
      </c>
      <c r="O1590" s="73" t="s">
        <v>5183</v>
      </c>
      <c r="P1590" s="74" t="s">
        <v>5184</v>
      </c>
      <c r="Q1590" s="75" t="s">
        <v>5185</v>
      </c>
      <c r="R1590" s="230">
        <v>1585</v>
      </c>
      <c r="S1590" s="230">
        <v>0</v>
      </c>
      <c r="T1590" s="230">
        <v>1585</v>
      </c>
      <c r="U1590" s="231">
        <v>615</v>
      </c>
      <c r="V1590" s="230"/>
      <c r="W1590" s="230"/>
      <c r="X1590" s="231"/>
      <c r="Y1590" s="85"/>
      <c r="Z1590" s="101">
        <v>0.1</v>
      </c>
      <c r="AA1590" s="102">
        <v>0.09</v>
      </c>
      <c r="AB1590" s="77"/>
      <c r="AC1590" s="78"/>
    </row>
    <row r="1591" spans="1:29" x14ac:dyDescent="0.2">
      <c r="A1591" s="117" t="s">
        <v>5186</v>
      </c>
      <c r="B1591" s="118" t="e">
        <f t="shared" si="174"/>
        <v>#VALUE!</v>
      </c>
      <c r="C1591" s="118" t="s">
        <v>612</v>
      </c>
      <c r="D1591" s="113">
        <v>41165</v>
      </c>
      <c r="E1591" s="103">
        <v>42278</v>
      </c>
      <c r="F1591" s="84">
        <f t="shared" si="175"/>
        <v>45931</v>
      </c>
      <c r="G1591" s="229">
        <v>39.58</v>
      </c>
      <c r="H1591" s="71" t="s">
        <v>4839</v>
      </c>
      <c r="I1591" s="71" t="s">
        <v>684</v>
      </c>
      <c r="J1591" s="238"/>
      <c r="K1591" s="55">
        <f t="shared" si="176"/>
        <v>2025</v>
      </c>
      <c r="L1591" s="239"/>
      <c r="M1591" s="239"/>
      <c r="N1591" s="73" t="s">
        <v>5187</v>
      </c>
      <c r="O1591" s="73" t="s">
        <v>5188</v>
      </c>
      <c r="P1591" s="74"/>
      <c r="Q1591" s="75" t="s">
        <v>5189</v>
      </c>
      <c r="R1591" s="230">
        <v>290</v>
      </c>
      <c r="S1591" s="230">
        <v>640</v>
      </c>
      <c r="T1591" s="230">
        <v>930</v>
      </c>
      <c r="U1591" s="231">
        <v>60</v>
      </c>
      <c r="V1591" s="230"/>
      <c r="W1591" s="230"/>
      <c r="X1591" s="231"/>
      <c r="Y1591" s="85"/>
      <c r="Z1591" s="101">
        <v>0.1</v>
      </c>
      <c r="AA1591" s="102">
        <v>0.09</v>
      </c>
      <c r="AB1591" s="77"/>
      <c r="AC1591" s="78"/>
    </row>
    <row r="1592" spans="1:29" ht="27" customHeight="1" x14ac:dyDescent="0.2">
      <c r="A1592" s="117" t="s">
        <v>5190</v>
      </c>
      <c r="B1592" s="118" t="e">
        <f t="shared" si="174"/>
        <v>#VALUE!</v>
      </c>
      <c r="C1592" s="118" t="s">
        <v>612</v>
      </c>
      <c r="D1592" s="113">
        <v>41165</v>
      </c>
      <c r="E1592" s="103">
        <v>42278</v>
      </c>
      <c r="F1592" s="84">
        <f t="shared" si="175"/>
        <v>45931</v>
      </c>
      <c r="G1592" s="229">
        <v>441.11</v>
      </c>
      <c r="H1592" s="71" t="s">
        <v>4839</v>
      </c>
      <c r="I1592" s="71" t="s">
        <v>684</v>
      </c>
      <c r="J1592" s="238"/>
      <c r="K1592" s="55">
        <f t="shared" si="176"/>
        <v>2025</v>
      </c>
      <c r="L1592" s="239"/>
      <c r="M1592" s="239"/>
      <c r="N1592" s="73" t="s">
        <v>5187</v>
      </c>
      <c r="O1592" s="73" t="s">
        <v>5191</v>
      </c>
      <c r="P1592" s="74" t="s">
        <v>5192</v>
      </c>
      <c r="Q1592" s="75" t="s">
        <v>5193</v>
      </c>
      <c r="R1592" s="230">
        <v>1697</v>
      </c>
      <c r="S1592" s="230">
        <v>7956</v>
      </c>
      <c r="T1592" s="230">
        <v>9653</v>
      </c>
      <c r="U1592" s="231">
        <v>663</v>
      </c>
      <c r="V1592" s="230"/>
      <c r="W1592" s="230"/>
      <c r="X1592" s="231"/>
      <c r="Y1592" s="85"/>
      <c r="Z1592" s="101">
        <v>0.1</v>
      </c>
      <c r="AA1592" s="102">
        <v>0.09</v>
      </c>
      <c r="AB1592" s="77"/>
      <c r="AC1592" s="78"/>
    </row>
    <row r="1593" spans="1:29" ht="27" customHeight="1" x14ac:dyDescent="0.2">
      <c r="A1593" s="117" t="s">
        <v>5194</v>
      </c>
      <c r="B1593" s="118" t="e">
        <f t="shared" si="174"/>
        <v>#VALUE!</v>
      </c>
      <c r="C1593" s="118" t="s">
        <v>612</v>
      </c>
      <c r="D1593" s="113">
        <v>41165</v>
      </c>
      <c r="E1593" s="103">
        <v>42278</v>
      </c>
      <c r="F1593" s="84">
        <f t="shared" si="175"/>
        <v>45931</v>
      </c>
      <c r="G1593" s="229">
        <v>638.47</v>
      </c>
      <c r="H1593" s="71" t="s">
        <v>4839</v>
      </c>
      <c r="I1593" s="71" t="s">
        <v>684</v>
      </c>
      <c r="J1593" s="238"/>
      <c r="K1593" s="55">
        <f t="shared" si="176"/>
        <v>2025</v>
      </c>
      <c r="L1593" s="239"/>
      <c r="M1593" s="239"/>
      <c r="N1593" s="73" t="s">
        <v>5187</v>
      </c>
      <c r="O1593" s="73" t="s">
        <v>5195</v>
      </c>
      <c r="P1593" s="74"/>
      <c r="Q1593" s="75" t="s">
        <v>5196</v>
      </c>
      <c r="R1593" s="230">
        <v>2386.5</v>
      </c>
      <c r="S1593" s="230">
        <v>7668</v>
      </c>
      <c r="T1593" s="230">
        <v>10054.5</v>
      </c>
      <c r="U1593" s="231">
        <v>958.5</v>
      </c>
      <c r="V1593" s="230"/>
      <c r="W1593" s="230"/>
      <c r="X1593" s="231"/>
      <c r="Y1593" s="85"/>
      <c r="Z1593" s="101">
        <v>0.1</v>
      </c>
      <c r="AA1593" s="102">
        <v>0.09</v>
      </c>
      <c r="AB1593" s="77"/>
      <c r="AC1593" s="78"/>
    </row>
    <row r="1594" spans="1:29" ht="40" customHeight="1" x14ac:dyDescent="0.2">
      <c r="A1594" s="117" t="s">
        <v>5197</v>
      </c>
      <c r="B1594" s="118" t="e">
        <f t="shared" si="174"/>
        <v>#VALUE!</v>
      </c>
      <c r="C1594" s="118" t="s">
        <v>612</v>
      </c>
      <c r="D1594" s="113">
        <v>41165</v>
      </c>
      <c r="E1594" s="103">
        <v>42278</v>
      </c>
      <c r="F1594" s="84">
        <f t="shared" si="175"/>
        <v>45931</v>
      </c>
      <c r="G1594" s="229">
        <v>83</v>
      </c>
      <c r="H1594" s="71" t="s">
        <v>4839</v>
      </c>
      <c r="I1594" s="71" t="s">
        <v>684</v>
      </c>
      <c r="J1594" s="238"/>
      <c r="K1594" s="55">
        <f t="shared" si="176"/>
        <v>2025</v>
      </c>
      <c r="L1594" s="239"/>
      <c r="M1594" s="239"/>
      <c r="N1594" s="73" t="s">
        <v>5187</v>
      </c>
      <c r="O1594" s="73" t="s">
        <v>5198</v>
      </c>
      <c r="P1594" s="74" t="s">
        <v>5199</v>
      </c>
      <c r="Q1594" s="75" t="s">
        <v>5200</v>
      </c>
      <c r="R1594" s="230">
        <v>440.5</v>
      </c>
      <c r="S1594" s="230">
        <v>996</v>
      </c>
      <c r="T1594" s="230">
        <v>1436.5</v>
      </c>
      <c r="U1594" s="231">
        <v>124.5</v>
      </c>
      <c r="V1594" s="230"/>
      <c r="W1594" s="230"/>
      <c r="X1594" s="231"/>
      <c r="Y1594" s="85"/>
      <c r="Z1594" s="101">
        <v>0.1</v>
      </c>
      <c r="AA1594" s="102">
        <v>0.09</v>
      </c>
      <c r="AB1594" s="77"/>
      <c r="AC1594" s="78"/>
    </row>
    <row r="1595" spans="1:29" x14ac:dyDescent="0.2">
      <c r="A1595" s="117" t="s">
        <v>5201</v>
      </c>
      <c r="B1595" s="118" t="e">
        <f t="shared" si="174"/>
        <v>#VALUE!</v>
      </c>
      <c r="C1595" s="118" t="s">
        <v>612</v>
      </c>
      <c r="D1595" s="113">
        <v>41165</v>
      </c>
      <c r="E1595" s="103">
        <v>42278</v>
      </c>
      <c r="F1595" s="84">
        <f t="shared" si="175"/>
        <v>45931</v>
      </c>
      <c r="G1595" s="229">
        <v>59.28</v>
      </c>
      <c r="H1595" s="71" t="s">
        <v>4839</v>
      </c>
      <c r="I1595" s="71" t="s">
        <v>684</v>
      </c>
      <c r="J1595" s="238"/>
      <c r="K1595" s="55">
        <f t="shared" si="176"/>
        <v>2025</v>
      </c>
      <c r="L1595" s="239"/>
      <c r="M1595" s="239"/>
      <c r="N1595" s="73" t="s">
        <v>5187</v>
      </c>
      <c r="O1595" s="73" t="s">
        <v>5202</v>
      </c>
      <c r="P1595" s="74"/>
      <c r="Q1595" s="75" t="s">
        <v>5203</v>
      </c>
      <c r="R1595" s="230">
        <v>360</v>
      </c>
      <c r="S1595" s="230">
        <v>720</v>
      </c>
      <c r="T1595" s="230">
        <v>1080</v>
      </c>
      <c r="U1595" s="231">
        <v>90</v>
      </c>
      <c r="V1595" s="230"/>
      <c r="W1595" s="230"/>
      <c r="X1595" s="231"/>
      <c r="Y1595" s="85"/>
      <c r="Z1595" s="101">
        <v>0.1</v>
      </c>
      <c r="AA1595" s="102">
        <v>0.09</v>
      </c>
      <c r="AB1595" s="77"/>
      <c r="AC1595" s="78"/>
    </row>
    <row r="1596" spans="1:29" x14ac:dyDescent="0.2">
      <c r="A1596" s="117" t="s">
        <v>5204</v>
      </c>
      <c r="B1596" s="118" t="e">
        <f t="shared" si="174"/>
        <v>#VALUE!</v>
      </c>
      <c r="C1596" s="118" t="s">
        <v>612</v>
      </c>
      <c r="D1596" s="113">
        <v>41165</v>
      </c>
      <c r="E1596" s="103">
        <v>42278</v>
      </c>
      <c r="F1596" s="84">
        <f t="shared" si="175"/>
        <v>45931</v>
      </c>
      <c r="G1596" s="229">
        <v>533.76</v>
      </c>
      <c r="H1596" s="71" t="s">
        <v>4839</v>
      </c>
      <c r="I1596" s="71" t="s">
        <v>684</v>
      </c>
      <c r="J1596" s="238"/>
      <c r="K1596" s="55">
        <f t="shared" si="176"/>
        <v>2025</v>
      </c>
      <c r="L1596" s="239"/>
      <c r="M1596" s="239"/>
      <c r="N1596" s="73" t="s">
        <v>5187</v>
      </c>
      <c r="O1596" s="73" t="s">
        <v>5205</v>
      </c>
      <c r="P1596" s="74"/>
      <c r="Q1596" s="75" t="s">
        <v>5206</v>
      </c>
      <c r="R1596" s="230">
        <v>2019</v>
      </c>
      <c r="S1596" s="230">
        <v>6408</v>
      </c>
      <c r="T1596" s="230">
        <v>8427</v>
      </c>
      <c r="U1596" s="231">
        <v>801</v>
      </c>
      <c r="V1596" s="230"/>
      <c r="W1596" s="230"/>
      <c r="X1596" s="231"/>
      <c r="Y1596" s="85"/>
      <c r="Z1596" s="101">
        <v>0.1</v>
      </c>
      <c r="AA1596" s="102">
        <v>0.09</v>
      </c>
      <c r="AB1596" s="77"/>
      <c r="AC1596" s="78"/>
    </row>
    <row r="1597" spans="1:29" ht="27" customHeight="1" x14ac:dyDescent="0.2">
      <c r="A1597" s="117" t="s">
        <v>5207</v>
      </c>
      <c r="B1597" s="118" t="e">
        <f t="shared" si="174"/>
        <v>#VALUE!</v>
      </c>
      <c r="C1597" s="118" t="s">
        <v>612</v>
      </c>
      <c r="D1597" s="113">
        <v>41165</v>
      </c>
      <c r="E1597" s="103">
        <v>42278</v>
      </c>
      <c r="F1597" s="84">
        <f t="shared" si="175"/>
        <v>45931</v>
      </c>
      <c r="G1597" s="229">
        <v>344.48</v>
      </c>
      <c r="H1597" s="71" t="s">
        <v>4839</v>
      </c>
      <c r="I1597" s="71" t="s">
        <v>684</v>
      </c>
      <c r="J1597" s="238"/>
      <c r="K1597" s="55">
        <f t="shared" si="176"/>
        <v>2025</v>
      </c>
      <c r="L1597" s="239"/>
      <c r="M1597" s="239"/>
      <c r="N1597" s="73" t="s">
        <v>5187</v>
      </c>
      <c r="O1597" s="73" t="s">
        <v>5208</v>
      </c>
      <c r="P1597" s="74"/>
      <c r="Q1597" s="75" t="s">
        <v>5209</v>
      </c>
      <c r="R1597" s="230">
        <v>1357.5</v>
      </c>
      <c r="S1597" s="230">
        <v>4140</v>
      </c>
      <c r="T1597" s="230">
        <v>5497.5</v>
      </c>
      <c r="U1597" s="231">
        <v>517.5</v>
      </c>
      <c r="V1597" s="230"/>
      <c r="W1597" s="230"/>
      <c r="X1597" s="231"/>
      <c r="Y1597" s="85"/>
      <c r="Z1597" s="101">
        <v>0.1</v>
      </c>
      <c r="AA1597" s="102">
        <v>0.09</v>
      </c>
      <c r="AB1597" s="77"/>
      <c r="AC1597" s="78"/>
    </row>
    <row r="1598" spans="1:29" ht="27" customHeight="1" x14ac:dyDescent="0.2">
      <c r="A1598" s="117" t="s">
        <v>5210</v>
      </c>
      <c r="B1598" s="118" t="e">
        <f t="shared" si="174"/>
        <v>#VALUE!</v>
      </c>
      <c r="C1598" s="118" t="s">
        <v>612</v>
      </c>
      <c r="D1598" s="113">
        <v>41165</v>
      </c>
      <c r="E1598" s="103">
        <v>42278</v>
      </c>
      <c r="F1598" s="84">
        <f t="shared" si="175"/>
        <v>45931</v>
      </c>
      <c r="G1598" s="229">
        <v>51.1</v>
      </c>
      <c r="H1598" s="71" t="s">
        <v>4839</v>
      </c>
      <c r="I1598" s="71" t="s">
        <v>684</v>
      </c>
      <c r="J1598" s="238"/>
      <c r="K1598" s="55">
        <f t="shared" si="176"/>
        <v>2025</v>
      </c>
      <c r="L1598" s="239"/>
      <c r="M1598" s="239"/>
      <c r="N1598" s="73" t="s">
        <v>5187</v>
      </c>
      <c r="O1598" s="73" t="s">
        <v>5211</v>
      </c>
      <c r="P1598" s="74" t="s">
        <v>5212</v>
      </c>
      <c r="Q1598" s="75" t="s">
        <v>5213</v>
      </c>
      <c r="R1598" s="230">
        <v>332</v>
      </c>
      <c r="S1598" s="230">
        <v>624</v>
      </c>
      <c r="T1598" s="230">
        <v>956</v>
      </c>
      <c r="U1598" s="231">
        <v>78</v>
      </c>
      <c r="V1598" s="230"/>
      <c r="W1598" s="230"/>
      <c r="X1598" s="231"/>
      <c r="Y1598" s="85"/>
      <c r="Z1598" s="101">
        <v>0.1</v>
      </c>
      <c r="AA1598" s="102">
        <v>0.09</v>
      </c>
      <c r="AB1598" s="77"/>
      <c r="AC1598" s="78"/>
    </row>
    <row r="1599" spans="1:29" ht="27" customHeight="1" x14ac:dyDescent="0.2">
      <c r="A1599" s="117" t="s">
        <v>5214</v>
      </c>
      <c r="B1599" s="118" t="e">
        <f t="shared" si="174"/>
        <v>#VALUE!</v>
      </c>
      <c r="C1599" s="118" t="s">
        <v>612</v>
      </c>
      <c r="D1599" s="113">
        <v>41165</v>
      </c>
      <c r="E1599" s="103">
        <v>42278</v>
      </c>
      <c r="F1599" s="84">
        <f t="shared" si="175"/>
        <v>45931</v>
      </c>
      <c r="G1599" s="229">
        <v>12.5</v>
      </c>
      <c r="H1599" s="71" t="s">
        <v>4839</v>
      </c>
      <c r="I1599" s="71" t="s">
        <v>684</v>
      </c>
      <c r="J1599" s="238"/>
      <c r="K1599" s="55">
        <f t="shared" si="176"/>
        <v>2025</v>
      </c>
      <c r="L1599" s="239"/>
      <c r="M1599" s="239"/>
      <c r="N1599" s="73" t="s">
        <v>5187</v>
      </c>
      <c r="O1599" s="73" t="s">
        <v>5215</v>
      </c>
      <c r="P1599" s="74"/>
      <c r="Q1599" s="75" t="s">
        <v>5216</v>
      </c>
      <c r="R1599" s="230">
        <v>195.5</v>
      </c>
      <c r="S1599" s="230">
        <v>260</v>
      </c>
      <c r="T1599" s="230">
        <v>455.5</v>
      </c>
      <c r="U1599" s="231">
        <v>19.5</v>
      </c>
      <c r="V1599" s="230"/>
      <c r="W1599" s="230"/>
      <c r="X1599" s="231"/>
      <c r="Y1599" s="85"/>
      <c r="Z1599" s="101">
        <v>0.1</v>
      </c>
      <c r="AA1599" s="102">
        <v>0.09</v>
      </c>
      <c r="AB1599" s="77"/>
      <c r="AC1599" s="78"/>
    </row>
    <row r="1600" spans="1:29" ht="27" customHeight="1" x14ac:dyDescent="0.2">
      <c r="A1600" s="117" t="s">
        <v>5217</v>
      </c>
      <c r="B1600" s="118" t="e">
        <f t="shared" si="174"/>
        <v>#VALUE!</v>
      </c>
      <c r="C1600" s="118" t="s">
        <v>612</v>
      </c>
      <c r="D1600" s="113">
        <v>41165</v>
      </c>
      <c r="E1600" s="103">
        <v>42278</v>
      </c>
      <c r="F1600" s="84">
        <f t="shared" si="175"/>
        <v>45931</v>
      </c>
      <c r="G1600" s="229">
        <v>429.13</v>
      </c>
      <c r="H1600" s="71" t="s">
        <v>4839</v>
      </c>
      <c r="I1600" s="71" t="s">
        <v>684</v>
      </c>
      <c r="J1600" s="238"/>
      <c r="K1600" s="55">
        <f t="shared" si="176"/>
        <v>2025</v>
      </c>
      <c r="L1600" s="239"/>
      <c r="M1600" s="239"/>
      <c r="N1600" s="73" t="s">
        <v>5187</v>
      </c>
      <c r="O1600" s="73" t="s">
        <v>5218</v>
      </c>
      <c r="P1600" s="74"/>
      <c r="Q1600" s="75" t="s">
        <v>5219</v>
      </c>
      <c r="R1600" s="230">
        <v>1655</v>
      </c>
      <c r="S1600" s="230">
        <v>7740</v>
      </c>
      <c r="T1600" s="230">
        <v>9395</v>
      </c>
      <c r="U1600" s="231">
        <v>645</v>
      </c>
      <c r="V1600" s="230"/>
      <c r="W1600" s="230"/>
      <c r="X1600" s="231"/>
      <c r="Y1600" s="85"/>
      <c r="Z1600" s="101">
        <v>0.1</v>
      </c>
      <c r="AA1600" s="102">
        <v>0.09</v>
      </c>
      <c r="AB1600" s="77"/>
      <c r="AC1600" s="78"/>
    </row>
    <row r="1601" spans="1:29" ht="27" customHeight="1" x14ac:dyDescent="0.2">
      <c r="A1601" s="117" t="s">
        <v>5220</v>
      </c>
      <c r="B1601" s="118" t="e">
        <f t="shared" si="174"/>
        <v>#VALUE!</v>
      </c>
      <c r="C1601" s="118" t="s">
        <v>612</v>
      </c>
      <c r="D1601" s="113">
        <v>41165</v>
      </c>
      <c r="E1601" s="103">
        <v>42278</v>
      </c>
      <c r="F1601" s="84">
        <f t="shared" si="175"/>
        <v>45931</v>
      </c>
      <c r="G1601" s="229">
        <v>108.75</v>
      </c>
      <c r="H1601" s="71" t="s">
        <v>4839</v>
      </c>
      <c r="I1601" s="71" t="s">
        <v>684</v>
      </c>
      <c r="J1601" s="238"/>
      <c r="K1601" s="55">
        <f t="shared" si="176"/>
        <v>2025</v>
      </c>
      <c r="L1601" s="239"/>
      <c r="M1601" s="239"/>
      <c r="N1601" s="73" t="s">
        <v>5187</v>
      </c>
      <c r="O1601" s="73" t="s">
        <v>5221</v>
      </c>
      <c r="P1601" s="74" t="s">
        <v>5222</v>
      </c>
      <c r="Q1601" s="75" t="s">
        <v>5223</v>
      </c>
      <c r="R1601" s="230">
        <v>531.5</v>
      </c>
      <c r="S1601" s="230">
        <v>1744</v>
      </c>
      <c r="T1601" s="230">
        <v>2275.5</v>
      </c>
      <c r="U1601" s="231">
        <v>163.5</v>
      </c>
      <c r="V1601" s="230"/>
      <c r="W1601" s="230"/>
      <c r="X1601" s="231"/>
      <c r="Y1601" s="85"/>
      <c r="Z1601" s="101">
        <v>0.1</v>
      </c>
      <c r="AA1601" s="102">
        <v>0.09</v>
      </c>
      <c r="AB1601" s="77"/>
      <c r="AC1601" s="78"/>
    </row>
    <row r="1602" spans="1:29" x14ac:dyDescent="0.2">
      <c r="A1602" s="117" t="s">
        <v>5224</v>
      </c>
      <c r="B1602" s="118" t="e">
        <f t="shared" si="174"/>
        <v>#VALUE!</v>
      </c>
      <c r="C1602" s="118" t="s">
        <v>612</v>
      </c>
      <c r="D1602" s="113">
        <v>41165</v>
      </c>
      <c r="E1602" s="103">
        <v>42278</v>
      </c>
      <c r="F1602" s="84">
        <f t="shared" si="175"/>
        <v>45931</v>
      </c>
      <c r="G1602" s="229">
        <v>642</v>
      </c>
      <c r="H1602" s="71" t="s">
        <v>4839</v>
      </c>
      <c r="I1602" s="71" t="s">
        <v>684</v>
      </c>
      <c r="J1602" s="238"/>
      <c r="K1602" s="55">
        <f t="shared" si="176"/>
        <v>2025</v>
      </c>
      <c r="L1602" s="239"/>
      <c r="M1602" s="239"/>
      <c r="N1602" s="73" t="s">
        <v>5187</v>
      </c>
      <c r="O1602" s="73" t="s">
        <v>1280</v>
      </c>
      <c r="P1602" s="74"/>
      <c r="Q1602" s="75" t="s">
        <v>5225</v>
      </c>
      <c r="R1602" s="230">
        <v>2397</v>
      </c>
      <c r="S1602" s="230">
        <v>8988</v>
      </c>
      <c r="T1602" s="230">
        <v>11385</v>
      </c>
      <c r="U1602" s="231">
        <v>963</v>
      </c>
      <c r="V1602" s="230"/>
      <c r="W1602" s="230"/>
      <c r="X1602" s="231"/>
      <c r="Y1602" s="85"/>
      <c r="Z1602" s="101">
        <v>0.1</v>
      </c>
      <c r="AA1602" s="102">
        <v>0.09</v>
      </c>
      <c r="AB1602" s="77"/>
      <c r="AC1602" s="78"/>
    </row>
    <row r="1603" spans="1:29" x14ac:dyDescent="0.2">
      <c r="A1603" s="117" t="s">
        <v>5226</v>
      </c>
      <c r="B1603" s="118" t="e">
        <f t="shared" si="174"/>
        <v>#VALUE!</v>
      </c>
      <c r="C1603" s="118" t="s">
        <v>612</v>
      </c>
      <c r="D1603" s="113">
        <v>41165</v>
      </c>
      <c r="E1603" s="103">
        <v>42278</v>
      </c>
      <c r="F1603" s="84">
        <f t="shared" si="175"/>
        <v>45931</v>
      </c>
      <c r="G1603" s="229">
        <v>636.16</v>
      </c>
      <c r="H1603" s="71" t="s">
        <v>4839</v>
      </c>
      <c r="I1603" s="71" t="s">
        <v>684</v>
      </c>
      <c r="J1603" s="238"/>
      <c r="K1603" s="55">
        <f t="shared" si="176"/>
        <v>2025</v>
      </c>
      <c r="L1603" s="239"/>
      <c r="M1603" s="239"/>
      <c r="N1603" s="73" t="s">
        <v>5187</v>
      </c>
      <c r="O1603" s="73" t="s">
        <v>5227</v>
      </c>
      <c r="P1603" s="74"/>
      <c r="Q1603" s="75" t="s">
        <v>5228</v>
      </c>
      <c r="R1603" s="230">
        <v>2379.5</v>
      </c>
      <c r="S1603" s="230">
        <v>8918</v>
      </c>
      <c r="T1603" s="230">
        <v>11297.5</v>
      </c>
      <c r="U1603" s="231">
        <v>955.5</v>
      </c>
      <c r="V1603" s="230"/>
      <c r="W1603" s="230"/>
      <c r="X1603" s="231"/>
      <c r="Y1603" s="85"/>
      <c r="Z1603" s="101">
        <v>0.1</v>
      </c>
      <c r="AA1603" s="102">
        <v>0.09</v>
      </c>
      <c r="AB1603" s="77"/>
      <c r="AC1603" s="78"/>
    </row>
    <row r="1604" spans="1:29" x14ac:dyDescent="0.2">
      <c r="A1604" s="117" t="s">
        <v>5229</v>
      </c>
      <c r="B1604" s="118" t="e">
        <f t="shared" si="174"/>
        <v>#VALUE!</v>
      </c>
      <c r="C1604" s="118" t="s">
        <v>612</v>
      </c>
      <c r="D1604" s="113">
        <v>41165</v>
      </c>
      <c r="E1604" s="103">
        <v>42278</v>
      </c>
      <c r="F1604" s="84">
        <f t="shared" si="175"/>
        <v>45931</v>
      </c>
      <c r="G1604" s="229">
        <v>631.6</v>
      </c>
      <c r="H1604" s="71" t="s">
        <v>4839</v>
      </c>
      <c r="I1604" s="71" t="s">
        <v>684</v>
      </c>
      <c r="J1604" s="238"/>
      <c r="K1604" s="55">
        <f t="shared" si="176"/>
        <v>2025</v>
      </c>
      <c r="L1604" s="239"/>
      <c r="M1604" s="239"/>
      <c r="N1604" s="73" t="s">
        <v>5187</v>
      </c>
      <c r="O1604" s="73" t="s">
        <v>5230</v>
      </c>
      <c r="P1604" s="74"/>
      <c r="Q1604" s="75" t="s">
        <v>5231</v>
      </c>
      <c r="R1604" s="230">
        <v>2362</v>
      </c>
      <c r="S1604" s="230">
        <v>8848</v>
      </c>
      <c r="T1604" s="230">
        <v>11210</v>
      </c>
      <c r="U1604" s="231">
        <v>948</v>
      </c>
      <c r="V1604" s="230"/>
      <c r="W1604" s="230"/>
      <c r="X1604" s="231"/>
      <c r="Y1604" s="85"/>
      <c r="Z1604" s="101">
        <v>0.1</v>
      </c>
      <c r="AA1604" s="102">
        <v>0.09</v>
      </c>
      <c r="AB1604" s="77"/>
      <c r="AC1604" s="78"/>
    </row>
    <row r="1605" spans="1:29" x14ac:dyDescent="0.2">
      <c r="A1605" s="117" t="s">
        <v>5232</v>
      </c>
      <c r="B1605" s="118" t="e">
        <f t="shared" si="174"/>
        <v>#VALUE!</v>
      </c>
      <c r="C1605" s="118" t="s">
        <v>612</v>
      </c>
      <c r="D1605" s="113">
        <v>41165</v>
      </c>
      <c r="E1605" s="103">
        <v>42278</v>
      </c>
      <c r="F1605" s="84">
        <f t="shared" si="175"/>
        <v>45931</v>
      </c>
      <c r="G1605" s="229">
        <v>533.32000000000005</v>
      </c>
      <c r="H1605" s="71" t="s">
        <v>4839</v>
      </c>
      <c r="I1605" s="71" t="s">
        <v>684</v>
      </c>
      <c r="J1605" s="238"/>
      <c r="K1605" s="55">
        <f t="shared" si="176"/>
        <v>2025</v>
      </c>
      <c r="L1605" s="239"/>
      <c r="M1605" s="239"/>
      <c r="N1605" s="73" t="s">
        <v>5187</v>
      </c>
      <c r="O1605" s="73" t="s">
        <v>5233</v>
      </c>
      <c r="P1605" s="74"/>
      <c r="Q1605" s="75" t="s">
        <v>5234</v>
      </c>
      <c r="R1605" s="230">
        <v>2019</v>
      </c>
      <c r="S1605" s="230">
        <v>8010</v>
      </c>
      <c r="T1605" s="230">
        <v>10029</v>
      </c>
      <c r="U1605" s="231">
        <v>801</v>
      </c>
      <c r="V1605" s="230"/>
      <c r="W1605" s="230"/>
      <c r="X1605" s="231"/>
      <c r="Y1605" s="85"/>
      <c r="Z1605" s="101">
        <v>0.1</v>
      </c>
      <c r="AA1605" s="102">
        <v>0.09</v>
      </c>
      <c r="AB1605" s="77"/>
      <c r="AC1605" s="78"/>
    </row>
    <row r="1606" spans="1:29" ht="27" customHeight="1" x14ac:dyDescent="0.2">
      <c r="A1606" s="117" t="s">
        <v>5235</v>
      </c>
      <c r="B1606" s="118" t="e">
        <f t="shared" si="174"/>
        <v>#VALUE!</v>
      </c>
      <c r="C1606" s="118" t="s">
        <v>612</v>
      </c>
      <c r="D1606" s="113">
        <v>41165</v>
      </c>
      <c r="E1606" s="103">
        <v>42278</v>
      </c>
      <c r="F1606" s="84">
        <f t="shared" si="175"/>
        <v>45931</v>
      </c>
      <c r="G1606" s="229">
        <v>397.16</v>
      </c>
      <c r="H1606" s="71" t="s">
        <v>4839</v>
      </c>
      <c r="I1606" s="71" t="s">
        <v>684</v>
      </c>
      <c r="J1606" s="238"/>
      <c r="K1606" s="55">
        <f t="shared" si="176"/>
        <v>2025</v>
      </c>
      <c r="L1606" s="239"/>
      <c r="M1606" s="239"/>
      <c r="N1606" s="73" t="s">
        <v>5187</v>
      </c>
      <c r="O1606" s="73" t="s">
        <v>5236</v>
      </c>
      <c r="P1606" s="74" t="s">
        <v>5237</v>
      </c>
      <c r="Q1606" s="75" t="s">
        <v>5238</v>
      </c>
      <c r="R1606" s="230">
        <v>1543</v>
      </c>
      <c r="S1606" s="230">
        <v>7164</v>
      </c>
      <c r="T1606" s="230">
        <v>8707</v>
      </c>
      <c r="U1606" s="231">
        <v>597</v>
      </c>
      <c r="V1606" s="230"/>
      <c r="W1606" s="230"/>
      <c r="X1606" s="231"/>
      <c r="Y1606" s="85"/>
      <c r="Z1606" s="101">
        <v>0.1</v>
      </c>
      <c r="AA1606" s="102">
        <v>0.09</v>
      </c>
      <c r="AB1606" s="77"/>
      <c r="AC1606" s="78"/>
    </row>
    <row r="1607" spans="1:29" ht="27" customHeight="1" x14ac:dyDescent="0.2">
      <c r="A1607" s="117" t="s">
        <v>5239</v>
      </c>
      <c r="B1607" s="118" t="e">
        <f t="shared" si="174"/>
        <v>#VALUE!</v>
      </c>
      <c r="C1607" s="118" t="s">
        <v>612</v>
      </c>
      <c r="D1607" s="113">
        <v>41165</v>
      </c>
      <c r="E1607" s="103">
        <v>42278</v>
      </c>
      <c r="F1607" s="84">
        <f t="shared" si="175"/>
        <v>45931</v>
      </c>
      <c r="G1607" s="229">
        <v>420.9</v>
      </c>
      <c r="H1607" s="71" t="s">
        <v>4839</v>
      </c>
      <c r="I1607" s="71" t="s">
        <v>684</v>
      </c>
      <c r="J1607" s="238"/>
      <c r="K1607" s="55">
        <f t="shared" si="176"/>
        <v>2025</v>
      </c>
      <c r="L1607" s="239"/>
      <c r="M1607" s="239"/>
      <c r="N1607" s="73" t="s">
        <v>5187</v>
      </c>
      <c r="O1607" s="73" t="s">
        <v>5240</v>
      </c>
      <c r="P1607" s="74"/>
      <c r="Q1607" s="75" t="s">
        <v>5241</v>
      </c>
      <c r="R1607" s="230">
        <v>1623.5</v>
      </c>
      <c r="S1607" s="230">
        <v>15577</v>
      </c>
      <c r="T1607" s="230">
        <v>17200.5</v>
      </c>
      <c r="U1607" s="231">
        <v>631.5</v>
      </c>
      <c r="V1607" s="230"/>
      <c r="W1607" s="230"/>
      <c r="X1607" s="231"/>
      <c r="Y1607" s="85"/>
      <c r="Z1607" s="101">
        <v>0.1</v>
      </c>
      <c r="AA1607" s="102">
        <v>0.09</v>
      </c>
      <c r="AB1607" s="77"/>
      <c r="AC1607" s="78"/>
    </row>
    <row r="1608" spans="1:29" ht="27" customHeight="1" x14ac:dyDescent="0.2">
      <c r="A1608" s="117" t="s">
        <v>5242</v>
      </c>
      <c r="B1608" s="118" t="e">
        <f t="shared" si="174"/>
        <v>#VALUE!</v>
      </c>
      <c r="C1608" s="118" t="s">
        <v>612</v>
      </c>
      <c r="D1608" s="113">
        <v>41165</v>
      </c>
      <c r="E1608" s="103">
        <v>42278</v>
      </c>
      <c r="F1608" s="84">
        <f t="shared" si="175"/>
        <v>45931</v>
      </c>
      <c r="G1608" s="229">
        <v>883.98</v>
      </c>
      <c r="H1608" s="71" t="s">
        <v>5243</v>
      </c>
      <c r="I1608" s="71" t="s">
        <v>684</v>
      </c>
      <c r="J1608" s="238"/>
      <c r="K1608" s="55">
        <f t="shared" si="176"/>
        <v>2025</v>
      </c>
      <c r="L1608" s="239"/>
      <c r="M1608" s="239"/>
      <c r="N1608" s="73" t="s">
        <v>5244</v>
      </c>
      <c r="O1608" s="73" t="s">
        <v>5245</v>
      </c>
      <c r="P1608" s="74"/>
      <c r="Q1608" s="75" t="s">
        <v>5246</v>
      </c>
      <c r="R1608" s="230">
        <v>3244</v>
      </c>
      <c r="S1608" s="230">
        <v>0</v>
      </c>
      <c r="T1608" s="230">
        <v>3244</v>
      </c>
      <c r="U1608" s="231">
        <v>1326</v>
      </c>
      <c r="V1608" s="230"/>
      <c r="W1608" s="230"/>
      <c r="X1608" s="231"/>
      <c r="Y1608" s="85"/>
      <c r="Z1608" s="101">
        <v>0.1</v>
      </c>
      <c r="AA1608" s="102">
        <v>0.09</v>
      </c>
      <c r="AB1608" s="77"/>
      <c r="AC1608" s="78"/>
    </row>
    <row r="1609" spans="1:29" x14ac:dyDescent="0.2">
      <c r="A1609" s="117" t="s">
        <v>5247</v>
      </c>
      <c r="B1609" s="118" t="e">
        <f t="shared" si="174"/>
        <v>#VALUE!</v>
      </c>
      <c r="C1609" s="118" t="s">
        <v>612</v>
      </c>
      <c r="D1609" s="113">
        <v>41165</v>
      </c>
      <c r="E1609" s="103">
        <v>42278</v>
      </c>
      <c r="F1609" s="84">
        <f t="shared" si="175"/>
        <v>45931</v>
      </c>
      <c r="G1609" s="229">
        <v>441.81</v>
      </c>
      <c r="H1609" s="71" t="s">
        <v>5243</v>
      </c>
      <c r="I1609" s="71" t="s">
        <v>684</v>
      </c>
      <c r="J1609" s="238"/>
      <c r="K1609" s="55">
        <f t="shared" si="176"/>
        <v>2025</v>
      </c>
      <c r="L1609" s="239"/>
      <c r="M1609" s="239"/>
      <c r="N1609" s="73" t="s">
        <v>5244</v>
      </c>
      <c r="O1609" s="73" t="s">
        <v>5248</v>
      </c>
      <c r="P1609" s="74"/>
      <c r="Q1609" s="75" t="s">
        <v>5249</v>
      </c>
      <c r="R1609" s="230">
        <v>1697</v>
      </c>
      <c r="S1609" s="230">
        <v>0</v>
      </c>
      <c r="T1609" s="230">
        <v>1697</v>
      </c>
      <c r="U1609" s="231">
        <v>663</v>
      </c>
      <c r="V1609" s="230"/>
      <c r="W1609" s="230"/>
      <c r="X1609" s="231"/>
      <c r="Y1609" s="85"/>
      <c r="Z1609" s="101">
        <v>0.1</v>
      </c>
      <c r="AA1609" s="102">
        <v>0.09</v>
      </c>
      <c r="AB1609" s="77"/>
      <c r="AC1609" s="78"/>
    </row>
    <row r="1610" spans="1:29" x14ac:dyDescent="0.2">
      <c r="A1610" s="117" t="s">
        <v>5250</v>
      </c>
      <c r="B1610" s="118" t="e">
        <f t="shared" si="174"/>
        <v>#VALUE!</v>
      </c>
      <c r="C1610" s="118" t="s">
        <v>612</v>
      </c>
      <c r="D1610" s="113">
        <v>41165</v>
      </c>
      <c r="E1610" s="103">
        <v>42278</v>
      </c>
      <c r="F1610" s="84">
        <f t="shared" si="175"/>
        <v>45931</v>
      </c>
      <c r="G1610" s="229">
        <v>586.75</v>
      </c>
      <c r="H1610" s="71" t="s">
        <v>5243</v>
      </c>
      <c r="I1610" s="71" t="s">
        <v>684</v>
      </c>
      <c r="J1610" s="238"/>
      <c r="K1610" s="55">
        <f t="shared" si="176"/>
        <v>2025</v>
      </c>
      <c r="L1610" s="239"/>
      <c r="M1610" s="239"/>
      <c r="N1610" s="73" t="s">
        <v>5244</v>
      </c>
      <c r="O1610" s="73" t="s">
        <v>5251</v>
      </c>
      <c r="P1610" s="74"/>
      <c r="Q1610" s="75" t="s">
        <v>5252</v>
      </c>
      <c r="R1610" s="230">
        <v>2204.5</v>
      </c>
      <c r="S1610" s="230">
        <v>0</v>
      </c>
      <c r="T1610" s="230">
        <v>2204.5</v>
      </c>
      <c r="U1610" s="231">
        <v>880.5</v>
      </c>
      <c r="V1610" s="230"/>
      <c r="W1610" s="230"/>
      <c r="X1610" s="231"/>
      <c r="Y1610" s="85"/>
      <c r="Z1610" s="101">
        <v>0.1</v>
      </c>
      <c r="AA1610" s="102">
        <v>0.09</v>
      </c>
      <c r="AB1610" s="77"/>
      <c r="AC1610" s="78"/>
    </row>
    <row r="1611" spans="1:29" ht="27" customHeight="1" x14ac:dyDescent="0.2">
      <c r="A1611" s="117" t="s">
        <v>5253</v>
      </c>
      <c r="B1611" s="118" t="e">
        <f t="shared" si="174"/>
        <v>#VALUE!</v>
      </c>
      <c r="C1611" s="118" t="s">
        <v>612</v>
      </c>
      <c r="D1611" s="113">
        <v>41165</v>
      </c>
      <c r="E1611" s="103">
        <v>42278</v>
      </c>
      <c r="F1611" s="84">
        <f t="shared" si="175"/>
        <v>45931</v>
      </c>
      <c r="G1611" s="229">
        <v>755.37</v>
      </c>
      <c r="H1611" s="71" t="s">
        <v>5243</v>
      </c>
      <c r="I1611" s="71" t="s">
        <v>684</v>
      </c>
      <c r="J1611" s="238"/>
      <c r="K1611" s="55">
        <f t="shared" si="176"/>
        <v>2025</v>
      </c>
      <c r="L1611" s="239"/>
      <c r="M1611" s="239"/>
      <c r="N1611" s="73" t="s">
        <v>5244</v>
      </c>
      <c r="O1611" s="73" t="s">
        <v>5254</v>
      </c>
      <c r="P1611" s="74"/>
      <c r="Q1611" s="75" t="s">
        <v>5255</v>
      </c>
      <c r="R1611" s="230">
        <v>2796</v>
      </c>
      <c r="S1611" s="230">
        <v>0</v>
      </c>
      <c r="T1611" s="230">
        <v>2796</v>
      </c>
      <c r="U1611" s="231">
        <v>1134</v>
      </c>
      <c r="V1611" s="230"/>
      <c r="W1611" s="230"/>
      <c r="X1611" s="231"/>
      <c r="Y1611" s="85"/>
      <c r="Z1611" s="101">
        <v>0.1</v>
      </c>
      <c r="AA1611" s="102">
        <v>0.09</v>
      </c>
      <c r="AB1611" s="77"/>
      <c r="AC1611" s="78"/>
    </row>
    <row r="1612" spans="1:29" ht="27" customHeight="1" x14ac:dyDescent="0.2">
      <c r="A1612" s="117" t="s">
        <v>5256</v>
      </c>
      <c r="B1612" s="118" t="e">
        <f t="shared" si="174"/>
        <v>#VALUE!</v>
      </c>
      <c r="C1612" s="118" t="s">
        <v>612</v>
      </c>
      <c r="D1612" s="113">
        <v>41165</v>
      </c>
      <c r="E1612" s="103">
        <v>42278</v>
      </c>
      <c r="F1612" s="84">
        <f t="shared" si="175"/>
        <v>45931</v>
      </c>
      <c r="G1612" s="229">
        <v>1197.92</v>
      </c>
      <c r="H1612" s="71" t="s">
        <v>5243</v>
      </c>
      <c r="I1612" s="71" t="s">
        <v>684</v>
      </c>
      <c r="J1612" s="238"/>
      <c r="K1612" s="55">
        <f t="shared" si="176"/>
        <v>2025</v>
      </c>
      <c r="L1612" s="239"/>
      <c r="M1612" s="239"/>
      <c r="N1612" s="73" t="s">
        <v>5244</v>
      </c>
      <c r="O1612" s="73" t="s">
        <v>5257</v>
      </c>
      <c r="P1612" s="74"/>
      <c r="Q1612" s="75" t="s">
        <v>5258</v>
      </c>
      <c r="R1612" s="230">
        <v>4343</v>
      </c>
      <c r="S1612" s="230">
        <v>0</v>
      </c>
      <c r="T1612" s="230">
        <v>4343</v>
      </c>
      <c r="U1612" s="231">
        <v>1797</v>
      </c>
      <c r="V1612" s="230"/>
      <c r="W1612" s="230"/>
      <c r="X1612" s="231"/>
      <c r="Y1612" s="85"/>
      <c r="Z1612" s="101">
        <v>0.1</v>
      </c>
      <c r="AA1612" s="102">
        <v>0.09</v>
      </c>
      <c r="AB1612" s="77"/>
      <c r="AC1612" s="78"/>
    </row>
    <row r="1613" spans="1:29" ht="27" customHeight="1" x14ac:dyDescent="0.2">
      <c r="A1613" s="117" t="s">
        <v>5259</v>
      </c>
      <c r="B1613" s="118" t="e">
        <f t="shared" si="174"/>
        <v>#VALUE!</v>
      </c>
      <c r="C1613" s="118" t="s">
        <v>612</v>
      </c>
      <c r="D1613" s="113">
        <v>41165</v>
      </c>
      <c r="E1613" s="103">
        <v>42278</v>
      </c>
      <c r="F1613" s="84">
        <f t="shared" si="175"/>
        <v>45931</v>
      </c>
      <c r="G1613" s="229">
        <v>1073.29</v>
      </c>
      <c r="H1613" s="71" t="s">
        <v>5243</v>
      </c>
      <c r="I1613" s="71" t="s">
        <v>684</v>
      </c>
      <c r="J1613" s="238"/>
      <c r="K1613" s="55">
        <f t="shared" si="176"/>
        <v>2025</v>
      </c>
      <c r="L1613" s="239"/>
      <c r="M1613" s="239"/>
      <c r="N1613" s="73" t="s">
        <v>5244</v>
      </c>
      <c r="O1613" s="73" t="s">
        <v>5260</v>
      </c>
      <c r="P1613" s="74"/>
      <c r="Q1613" s="75" t="s">
        <v>5261</v>
      </c>
      <c r="R1613" s="230">
        <v>3909</v>
      </c>
      <c r="S1613" s="230">
        <v>0</v>
      </c>
      <c r="T1613" s="230">
        <v>3909</v>
      </c>
      <c r="U1613" s="231">
        <v>1611</v>
      </c>
      <c r="V1613" s="230"/>
      <c r="W1613" s="230"/>
      <c r="X1613" s="231"/>
      <c r="Y1613" s="85"/>
      <c r="Z1613" s="101">
        <v>0.1</v>
      </c>
      <c r="AA1613" s="102">
        <v>0.09</v>
      </c>
      <c r="AB1613" s="77"/>
      <c r="AC1613" s="78"/>
    </row>
    <row r="1614" spans="1:29" x14ac:dyDescent="0.2">
      <c r="A1614" s="117" t="s">
        <v>5262</v>
      </c>
      <c r="B1614" s="118" t="e">
        <f t="shared" si="174"/>
        <v>#VALUE!</v>
      </c>
      <c r="C1614" s="118" t="s">
        <v>612</v>
      </c>
      <c r="D1614" s="113">
        <v>41165</v>
      </c>
      <c r="E1614" s="103">
        <v>42278</v>
      </c>
      <c r="F1614" s="84">
        <f t="shared" si="175"/>
        <v>45931</v>
      </c>
      <c r="G1614" s="229">
        <v>646.21</v>
      </c>
      <c r="H1614" s="71" t="s">
        <v>5243</v>
      </c>
      <c r="I1614" s="71" t="s">
        <v>684</v>
      </c>
      <c r="J1614" s="238"/>
      <c r="K1614" s="55">
        <f t="shared" si="176"/>
        <v>2025</v>
      </c>
      <c r="L1614" s="239"/>
      <c r="M1614" s="239"/>
      <c r="N1614" s="73" t="s">
        <v>5244</v>
      </c>
      <c r="O1614" s="73" t="s">
        <v>5263</v>
      </c>
      <c r="P1614" s="74"/>
      <c r="Q1614" s="75" t="s">
        <v>5264</v>
      </c>
      <c r="R1614" s="230">
        <v>2414.5</v>
      </c>
      <c r="S1614" s="230">
        <v>0</v>
      </c>
      <c r="T1614" s="230">
        <v>2414.5</v>
      </c>
      <c r="U1614" s="231">
        <v>970.5</v>
      </c>
      <c r="V1614" s="230"/>
      <c r="W1614" s="230"/>
      <c r="X1614" s="231"/>
      <c r="Y1614" s="85"/>
      <c r="Z1614" s="101">
        <v>0.1</v>
      </c>
      <c r="AA1614" s="102">
        <v>0.09</v>
      </c>
      <c r="AB1614" s="77"/>
      <c r="AC1614" s="78"/>
    </row>
    <row r="1615" spans="1:29" ht="29" x14ac:dyDescent="0.2">
      <c r="A1615" s="117" t="s">
        <v>5265</v>
      </c>
      <c r="B1615" s="118" t="e">
        <f t="shared" si="174"/>
        <v>#VALUE!</v>
      </c>
      <c r="C1615" s="118" t="s">
        <v>612</v>
      </c>
      <c r="D1615" s="113">
        <v>41165</v>
      </c>
      <c r="E1615" s="103">
        <v>42278</v>
      </c>
      <c r="F1615" s="84">
        <f t="shared" si="175"/>
        <v>45931</v>
      </c>
      <c r="G1615" s="229">
        <v>1206.6600000000001</v>
      </c>
      <c r="H1615" s="71" t="s">
        <v>5243</v>
      </c>
      <c r="I1615" s="71" t="s">
        <v>684</v>
      </c>
      <c r="J1615" s="238"/>
      <c r="K1615" s="55">
        <f t="shared" si="176"/>
        <v>2025</v>
      </c>
      <c r="L1615" s="239"/>
      <c r="M1615" s="239"/>
      <c r="N1615" s="73" t="s">
        <v>5244</v>
      </c>
      <c r="O1615" s="73" t="s">
        <v>5266</v>
      </c>
      <c r="P1615" s="74"/>
      <c r="Q1615" s="75" t="s">
        <v>5267</v>
      </c>
      <c r="R1615" s="230">
        <v>4374.5</v>
      </c>
      <c r="S1615" s="230">
        <v>0</v>
      </c>
      <c r="T1615" s="230">
        <v>4374.5</v>
      </c>
      <c r="U1615" s="231">
        <v>1810.5</v>
      </c>
      <c r="V1615" s="230"/>
      <c r="W1615" s="230"/>
      <c r="X1615" s="231"/>
      <c r="Y1615" s="85"/>
      <c r="Z1615" s="101">
        <v>0.1</v>
      </c>
      <c r="AA1615" s="102">
        <v>0.09</v>
      </c>
      <c r="AB1615" s="77"/>
      <c r="AC1615" s="78"/>
    </row>
    <row r="1616" spans="1:29" x14ac:dyDescent="0.2">
      <c r="A1616" s="117" t="s">
        <v>5268</v>
      </c>
      <c r="B1616" s="118" t="e">
        <f t="shared" si="174"/>
        <v>#VALUE!</v>
      </c>
      <c r="C1616" s="118" t="s">
        <v>612</v>
      </c>
      <c r="D1616" s="113">
        <v>41165</v>
      </c>
      <c r="E1616" s="103">
        <v>42278</v>
      </c>
      <c r="F1616" s="84">
        <f t="shared" si="175"/>
        <v>45931</v>
      </c>
      <c r="G1616" s="229">
        <v>1297.72</v>
      </c>
      <c r="H1616" s="71" t="s">
        <v>5243</v>
      </c>
      <c r="I1616" s="71" t="s">
        <v>684</v>
      </c>
      <c r="J1616" s="238"/>
      <c r="K1616" s="55">
        <f t="shared" si="176"/>
        <v>2025</v>
      </c>
      <c r="L1616" s="239"/>
      <c r="M1616" s="239"/>
      <c r="N1616" s="73" t="s">
        <v>5244</v>
      </c>
      <c r="O1616" s="73" t="s">
        <v>5269</v>
      </c>
      <c r="P1616" s="74"/>
      <c r="Q1616" s="75" t="s">
        <v>5270</v>
      </c>
      <c r="R1616" s="230">
        <v>4693</v>
      </c>
      <c r="S1616" s="230">
        <v>0</v>
      </c>
      <c r="T1616" s="230">
        <v>4693</v>
      </c>
      <c r="U1616" s="231">
        <v>1947</v>
      </c>
      <c r="V1616" s="230"/>
      <c r="W1616" s="230"/>
      <c r="X1616" s="231"/>
      <c r="Y1616" s="85"/>
      <c r="Z1616" s="101">
        <v>0.1</v>
      </c>
      <c r="AA1616" s="102">
        <v>0.09</v>
      </c>
      <c r="AB1616" s="77"/>
      <c r="AC1616" s="78"/>
    </row>
    <row r="1617" spans="1:29" ht="27" customHeight="1" x14ac:dyDescent="0.2">
      <c r="A1617" s="117" t="s">
        <v>5271</v>
      </c>
      <c r="B1617" s="118" t="e">
        <f t="shared" si="174"/>
        <v>#VALUE!</v>
      </c>
      <c r="C1617" s="118" t="s">
        <v>612</v>
      </c>
      <c r="D1617" s="113">
        <v>41165</v>
      </c>
      <c r="E1617" s="103">
        <v>42278</v>
      </c>
      <c r="F1617" s="84">
        <f t="shared" si="175"/>
        <v>45931</v>
      </c>
      <c r="G1617" s="229">
        <v>957.39</v>
      </c>
      <c r="H1617" s="71" t="s">
        <v>5243</v>
      </c>
      <c r="I1617" s="71" t="s">
        <v>684</v>
      </c>
      <c r="J1617" s="238"/>
      <c r="K1617" s="55">
        <f t="shared" si="176"/>
        <v>2025</v>
      </c>
      <c r="L1617" s="239"/>
      <c r="M1617" s="239"/>
      <c r="N1617" s="73" t="s">
        <v>5244</v>
      </c>
      <c r="O1617" s="73" t="s">
        <v>5272</v>
      </c>
      <c r="P1617" s="74" t="s">
        <v>5273</v>
      </c>
      <c r="Q1617" s="75" t="s">
        <v>5274</v>
      </c>
      <c r="R1617" s="230">
        <v>3503</v>
      </c>
      <c r="S1617" s="230">
        <v>0</v>
      </c>
      <c r="T1617" s="230">
        <v>3503</v>
      </c>
      <c r="U1617" s="231">
        <v>1437</v>
      </c>
      <c r="V1617" s="230"/>
      <c r="W1617" s="230"/>
      <c r="X1617" s="231"/>
      <c r="Y1617" s="85"/>
      <c r="Z1617" s="101">
        <v>0.1</v>
      </c>
      <c r="AA1617" s="102">
        <v>0.09</v>
      </c>
      <c r="AB1617" s="77"/>
      <c r="AC1617" s="78"/>
    </row>
    <row r="1618" spans="1:29" x14ac:dyDescent="0.2">
      <c r="A1618" s="117" t="s">
        <v>5275</v>
      </c>
      <c r="B1618" s="118" t="e">
        <f t="shared" si="174"/>
        <v>#VALUE!</v>
      </c>
      <c r="C1618" s="118" t="s">
        <v>612</v>
      </c>
      <c r="D1618" s="113">
        <v>41165</v>
      </c>
      <c r="E1618" s="103">
        <v>42278</v>
      </c>
      <c r="F1618" s="84">
        <f t="shared" si="175"/>
        <v>45931</v>
      </c>
      <c r="G1618" s="229">
        <v>1002.23</v>
      </c>
      <c r="H1618" s="71" t="s">
        <v>5243</v>
      </c>
      <c r="I1618" s="71" t="s">
        <v>684</v>
      </c>
      <c r="J1618" s="238"/>
      <c r="K1618" s="55">
        <f t="shared" si="176"/>
        <v>2025</v>
      </c>
      <c r="L1618" s="239"/>
      <c r="M1618" s="239"/>
      <c r="N1618" s="73" t="s">
        <v>5244</v>
      </c>
      <c r="O1618" s="73" t="s">
        <v>5276</v>
      </c>
      <c r="P1618" s="74"/>
      <c r="Q1618" s="75" t="s">
        <v>5277</v>
      </c>
      <c r="R1618" s="230">
        <v>3660.5</v>
      </c>
      <c r="S1618" s="230">
        <v>0</v>
      </c>
      <c r="T1618" s="230">
        <v>3660.5</v>
      </c>
      <c r="U1618" s="231">
        <v>1504.5</v>
      </c>
      <c r="V1618" s="230"/>
      <c r="W1618" s="230"/>
      <c r="X1618" s="231"/>
      <c r="Y1618" s="85"/>
      <c r="Z1618" s="101">
        <v>0.1</v>
      </c>
      <c r="AA1618" s="102">
        <v>0.09</v>
      </c>
      <c r="AB1618" s="77"/>
      <c r="AC1618" s="78"/>
    </row>
    <row r="1619" spans="1:29" x14ac:dyDescent="0.2">
      <c r="A1619" s="117" t="s">
        <v>5278</v>
      </c>
      <c r="B1619" s="118" t="e">
        <f t="shared" si="174"/>
        <v>#VALUE!</v>
      </c>
      <c r="C1619" s="118" t="s">
        <v>612</v>
      </c>
      <c r="D1619" s="113">
        <v>41165</v>
      </c>
      <c r="E1619" s="103">
        <v>42278</v>
      </c>
      <c r="F1619" s="84">
        <f t="shared" si="175"/>
        <v>45931</v>
      </c>
      <c r="G1619" s="229">
        <v>1125.48</v>
      </c>
      <c r="H1619" s="71" t="s">
        <v>5243</v>
      </c>
      <c r="I1619" s="71" t="s">
        <v>684</v>
      </c>
      <c r="J1619" s="238"/>
      <c r="K1619" s="55">
        <f t="shared" si="176"/>
        <v>2025</v>
      </c>
      <c r="L1619" s="239"/>
      <c r="M1619" s="239"/>
      <c r="N1619" s="73" t="s">
        <v>5244</v>
      </c>
      <c r="O1619" s="73" t="s">
        <v>5279</v>
      </c>
      <c r="P1619" s="74"/>
      <c r="Q1619" s="75" t="s">
        <v>5280</v>
      </c>
      <c r="R1619" s="230">
        <v>4091</v>
      </c>
      <c r="S1619" s="230">
        <v>0</v>
      </c>
      <c r="T1619" s="230">
        <v>4091</v>
      </c>
      <c r="U1619" s="231">
        <v>1689</v>
      </c>
      <c r="V1619" s="230"/>
      <c r="W1619" s="230"/>
      <c r="X1619" s="231"/>
      <c r="Y1619" s="85"/>
      <c r="Z1619" s="101">
        <v>0.1</v>
      </c>
      <c r="AA1619" s="102">
        <v>0.09</v>
      </c>
      <c r="AB1619" s="77"/>
      <c r="AC1619" s="78"/>
    </row>
    <row r="1620" spans="1:29" x14ac:dyDescent="0.2">
      <c r="A1620" s="117" t="s">
        <v>5281</v>
      </c>
      <c r="B1620" s="118" t="e">
        <f>IF(COUNTIF(GIS,A1620),"YES","NO")</f>
        <v>#VALUE!</v>
      </c>
      <c r="C1620" s="118" t="s">
        <v>612</v>
      </c>
      <c r="D1620" s="113">
        <v>41165</v>
      </c>
      <c r="E1620" s="103">
        <v>42278</v>
      </c>
      <c r="F1620" s="84">
        <f>DATE(YEAR(E1620)+10,MONTH(E1620),DAY(E1620))</f>
        <v>45931</v>
      </c>
      <c r="G1620" s="229">
        <v>903.46</v>
      </c>
      <c r="H1620" s="71" t="s">
        <v>5243</v>
      </c>
      <c r="I1620" s="71" t="s">
        <v>684</v>
      </c>
      <c r="J1620" s="238"/>
      <c r="K1620" s="55">
        <f t="shared" si="176"/>
        <v>2025</v>
      </c>
      <c r="L1620" s="239"/>
      <c r="M1620" s="239"/>
      <c r="N1620" s="73" t="s">
        <v>5244</v>
      </c>
      <c r="O1620" s="73" t="s">
        <v>5282</v>
      </c>
      <c r="P1620" s="74"/>
      <c r="Q1620" s="75" t="s">
        <v>5283</v>
      </c>
      <c r="R1620" s="230">
        <v>3314</v>
      </c>
      <c r="S1620" s="230">
        <v>0</v>
      </c>
      <c r="T1620" s="230">
        <v>3314</v>
      </c>
      <c r="U1620" s="231">
        <v>1356</v>
      </c>
      <c r="V1620" s="230"/>
      <c r="W1620" s="230"/>
      <c r="X1620" s="231"/>
      <c r="Y1620" s="85"/>
      <c r="Z1620" s="101">
        <v>0.1</v>
      </c>
      <c r="AA1620" s="102">
        <v>0.09</v>
      </c>
      <c r="AB1620" s="77"/>
      <c r="AC1620" s="78"/>
    </row>
    <row r="1621" spans="1:29" ht="15" hidden="1" customHeight="1" thickBot="1" x14ac:dyDescent="0.25">
      <c r="A1621" s="117"/>
      <c r="D1621" s="113"/>
      <c r="E1621" s="103"/>
      <c r="F1621" s="84"/>
      <c r="G1621" s="229"/>
      <c r="H1621" s="71"/>
      <c r="I1621" s="71"/>
      <c r="J1621" s="79"/>
      <c r="K1621" s="79"/>
      <c r="L1621" s="80"/>
      <c r="M1621" s="80"/>
      <c r="N1621" s="73"/>
      <c r="O1621" s="73"/>
      <c r="P1621" s="74"/>
      <c r="Q1621" s="75"/>
      <c r="R1621" s="241">
        <v>117539.5</v>
      </c>
      <c r="S1621" s="241">
        <v>424336</v>
      </c>
      <c r="T1621" s="241">
        <v>541875.5</v>
      </c>
      <c r="U1621" s="231"/>
      <c r="V1621" s="230"/>
      <c r="W1621" s="230"/>
      <c r="X1621" s="231"/>
      <c r="Y1621" s="85"/>
      <c r="Z1621" s="110"/>
      <c r="AA1621" s="111"/>
      <c r="AB1621" s="77"/>
      <c r="AC1621" s="78"/>
    </row>
    <row r="1622" spans="1:29" hidden="1" x14ac:dyDescent="0.2">
      <c r="A1622" s="117"/>
      <c r="D1622" s="71"/>
      <c r="E1622" s="78"/>
      <c r="F1622" s="84"/>
      <c r="G1622" s="229"/>
      <c r="H1622" s="71"/>
      <c r="I1622" s="71"/>
      <c r="J1622" s="79"/>
      <c r="K1622" s="79"/>
      <c r="L1622" s="80"/>
      <c r="M1622" s="80"/>
      <c r="N1622" s="73"/>
      <c r="O1622" s="73"/>
      <c r="P1622" s="74"/>
      <c r="Q1622" s="75"/>
      <c r="R1622" s="230"/>
      <c r="S1622" s="230"/>
      <c r="T1622" s="230"/>
      <c r="U1622" s="231"/>
      <c r="V1622" s="230"/>
      <c r="W1622" s="230"/>
      <c r="X1622" s="231"/>
      <c r="Y1622" s="85"/>
      <c r="Z1622" s="110"/>
      <c r="AA1622" s="111"/>
      <c r="AB1622" s="77"/>
      <c r="AC1622" s="78"/>
    </row>
    <row r="1623" spans="1:29" x14ac:dyDescent="0.2">
      <c r="A1623" s="117" t="s">
        <v>5284</v>
      </c>
      <c r="B1623" s="118" t="e">
        <f t="shared" ref="B1623:B1654" si="177">IF(COUNTIF(GIS,A1623),"YES","NO")</f>
        <v>#VALUE!</v>
      </c>
      <c r="C1623" s="118" t="s">
        <v>612</v>
      </c>
      <c r="D1623" s="113">
        <v>41256</v>
      </c>
      <c r="E1623" s="103">
        <v>41306</v>
      </c>
      <c r="F1623" s="84">
        <f>DATE(YEAR(E1623)+10,MONTH(E1623),DAY(E1623))</f>
        <v>44958</v>
      </c>
      <c r="G1623" s="229">
        <v>75.48</v>
      </c>
      <c r="H1623" s="71" t="s">
        <v>5285</v>
      </c>
      <c r="I1623" s="71" t="s">
        <v>684</v>
      </c>
      <c r="J1623" s="248"/>
      <c r="K1623" s="55">
        <f>YEAR(F1623)</f>
        <v>2023</v>
      </c>
      <c r="L1623" s="249"/>
      <c r="M1623" s="249"/>
      <c r="N1623" s="73" t="s">
        <v>5286</v>
      </c>
      <c r="O1623" s="73" t="s">
        <v>5287</v>
      </c>
      <c r="P1623" s="74"/>
      <c r="Q1623" s="75" t="s">
        <v>5288</v>
      </c>
      <c r="R1623" s="230">
        <v>416</v>
      </c>
      <c r="S1623" s="230">
        <v>0</v>
      </c>
      <c r="T1623" s="230">
        <v>416</v>
      </c>
      <c r="U1623" s="231">
        <v>114</v>
      </c>
      <c r="V1623" s="230"/>
      <c r="W1623" s="230"/>
      <c r="X1623" s="231"/>
      <c r="Y1623" s="85"/>
      <c r="Z1623" s="101">
        <v>0.1</v>
      </c>
      <c r="AA1623" s="102">
        <v>0.09</v>
      </c>
      <c r="AB1623" s="77"/>
      <c r="AC1623" s="78"/>
    </row>
    <row r="1624" spans="1:29" hidden="1" x14ac:dyDescent="0.2">
      <c r="A1624" s="117" t="s">
        <v>5289</v>
      </c>
      <c r="B1624" s="118" t="e">
        <f t="shared" si="177"/>
        <v>#VALUE!</v>
      </c>
      <c r="C1624" s="118" t="s">
        <v>612</v>
      </c>
      <c r="D1624" s="113">
        <v>41256</v>
      </c>
      <c r="E1624" s="84"/>
      <c r="F1624" s="84"/>
      <c r="G1624" s="229">
        <v>40</v>
      </c>
      <c r="H1624" s="71"/>
      <c r="I1624" s="71"/>
      <c r="J1624" s="238" t="s">
        <v>5290</v>
      </c>
      <c r="K1624" s="55"/>
      <c r="L1624" s="239"/>
      <c r="M1624" s="239"/>
      <c r="N1624" s="73"/>
      <c r="O1624" s="73"/>
      <c r="P1624" s="74"/>
      <c r="Q1624" s="75"/>
      <c r="R1624" s="230">
        <v>290</v>
      </c>
      <c r="S1624" s="230">
        <v>360</v>
      </c>
      <c r="T1624" s="230">
        <v>650</v>
      </c>
      <c r="U1624" s="231"/>
      <c r="V1624" s="230"/>
      <c r="W1624" s="230"/>
      <c r="X1624" s="231"/>
      <c r="Y1624" s="85"/>
      <c r="Z1624" s="101">
        <v>0.1</v>
      </c>
      <c r="AA1624" s="102">
        <v>0.09</v>
      </c>
      <c r="AB1624" s="77"/>
      <c r="AC1624" s="78"/>
    </row>
    <row r="1625" spans="1:29" hidden="1" x14ac:dyDescent="0.2">
      <c r="A1625" s="117" t="s">
        <v>5291</v>
      </c>
      <c r="B1625" s="118" t="e">
        <f t="shared" si="177"/>
        <v>#VALUE!</v>
      </c>
      <c r="C1625" s="118" t="s">
        <v>612</v>
      </c>
      <c r="D1625" s="113">
        <v>41256</v>
      </c>
      <c r="E1625" s="84"/>
      <c r="F1625" s="84"/>
      <c r="G1625" s="229">
        <v>207.96</v>
      </c>
      <c r="H1625" s="71"/>
      <c r="I1625" s="71"/>
      <c r="J1625" s="238" t="s">
        <v>5290</v>
      </c>
      <c r="K1625" s="55"/>
      <c r="L1625" s="239"/>
      <c r="M1625" s="239"/>
      <c r="N1625" s="73"/>
      <c r="O1625" s="73"/>
      <c r="P1625" s="74"/>
      <c r="Q1625" s="75"/>
      <c r="R1625" s="230">
        <v>878</v>
      </c>
      <c r="S1625" s="230">
        <v>1872</v>
      </c>
      <c r="T1625" s="230">
        <v>2750</v>
      </c>
      <c r="U1625" s="231"/>
      <c r="V1625" s="230"/>
      <c r="W1625" s="230"/>
      <c r="X1625" s="231"/>
      <c r="Y1625" s="85"/>
      <c r="Z1625" s="101">
        <v>0.1</v>
      </c>
      <c r="AA1625" s="102">
        <v>0.09</v>
      </c>
      <c r="AB1625" s="77"/>
      <c r="AC1625" s="78"/>
    </row>
    <row r="1626" spans="1:29" hidden="1" x14ac:dyDescent="0.2">
      <c r="A1626" s="117" t="s">
        <v>5292</v>
      </c>
      <c r="B1626" s="118" t="e">
        <f t="shared" si="177"/>
        <v>#VALUE!</v>
      </c>
      <c r="C1626" s="118" t="s">
        <v>612</v>
      </c>
      <c r="D1626" s="113">
        <v>41256</v>
      </c>
      <c r="E1626" s="84"/>
      <c r="F1626" s="84"/>
      <c r="G1626" s="229">
        <v>351.97</v>
      </c>
      <c r="H1626" s="71"/>
      <c r="I1626" s="71"/>
      <c r="J1626" s="238" t="s">
        <v>5290</v>
      </c>
      <c r="K1626" s="55"/>
      <c r="L1626" s="239"/>
      <c r="M1626" s="239"/>
      <c r="N1626" s="73"/>
      <c r="O1626" s="73"/>
      <c r="P1626" s="74"/>
      <c r="Q1626" s="75"/>
      <c r="R1626" s="230">
        <v>1382</v>
      </c>
      <c r="S1626" s="230">
        <v>2816</v>
      </c>
      <c r="T1626" s="230">
        <v>4198</v>
      </c>
      <c r="U1626" s="231"/>
      <c r="V1626" s="230"/>
      <c r="W1626" s="230"/>
      <c r="X1626" s="231"/>
      <c r="Y1626" s="85"/>
      <c r="Z1626" s="101">
        <v>0.1</v>
      </c>
      <c r="AA1626" s="102">
        <v>0.09</v>
      </c>
      <c r="AB1626" s="77"/>
      <c r="AC1626" s="78"/>
    </row>
    <row r="1627" spans="1:29" hidden="1" x14ac:dyDescent="0.2">
      <c r="A1627" s="117" t="s">
        <v>5293</v>
      </c>
      <c r="B1627" s="118" t="e">
        <f t="shared" si="177"/>
        <v>#VALUE!</v>
      </c>
      <c r="C1627" s="118" t="s">
        <v>612</v>
      </c>
      <c r="D1627" s="113">
        <v>41256</v>
      </c>
      <c r="E1627" s="84"/>
      <c r="F1627" s="84"/>
      <c r="G1627" s="229">
        <v>205.7</v>
      </c>
      <c r="H1627" s="71"/>
      <c r="I1627" s="71"/>
      <c r="J1627" s="238" t="s">
        <v>5290</v>
      </c>
      <c r="K1627" s="55"/>
      <c r="L1627" s="239"/>
      <c r="M1627" s="239"/>
      <c r="N1627" s="73"/>
      <c r="O1627" s="73"/>
      <c r="P1627" s="74"/>
      <c r="Q1627" s="75"/>
      <c r="R1627" s="230">
        <v>871</v>
      </c>
      <c r="S1627" s="230">
        <v>1854</v>
      </c>
      <c r="T1627" s="230">
        <v>2725</v>
      </c>
      <c r="U1627" s="231"/>
      <c r="V1627" s="230"/>
      <c r="W1627" s="230"/>
      <c r="X1627" s="231"/>
      <c r="Y1627" s="85"/>
      <c r="Z1627" s="101">
        <v>0.1</v>
      </c>
      <c r="AA1627" s="102">
        <v>0.09</v>
      </c>
      <c r="AB1627" s="77"/>
      <c r="AC1627" s="78"/>
    </row>
    <row r="1628" spans="1:29" hidden="1" x14ac:dyDescent="0.2">
      <c r="A1628" s="117" t="s">
        <v>5294</v>
      </c>
      <c r="B1628" s="118" t="e">
        <f t="shared" si="177"/>
        <v>#VALUE!</v>
      </c>
      <c r="C1628" s="118" t="s">
        <v>612</v>
      </c>
      <c r="D1628" s="113">
        <v>41256</v>
      </c>
      <c r="E1628" s="84"/>
      <c r="F1628" s="84"/>
      <c r="G1628" s="229">
        <v>119.5</v>
      </c>
      <c r="H1628" s="71"/>
      <c r="I1628" s="71"/>
      <c r="J1628" s="238" t="s">
        <v>5290</v>
      </c>
      <c r="K1628" s="55"/>
      <c r="L1628" s="239"/>
      <c r="M1628" s="239"/>
      <c r="N1628" s="73"/>
      <c r="O1628" s="73"/>
      <c r="P1628" s="74"/>
      <c r="Q1628" s="75"/>
      <c r="R1628" s="230">
        <v>570</v>
      </c>
      <c r="S1628" s="230">
        <v>1080</v>
      </c>
      <c r="T1628" s="230">
        <v>1650</v>
      </c>
      <c r="U1628" s="231"/>
      <c r="V1628" s="230"/>
      <c r="W1628" s="230"/>
      <c r="X1628" s="231"/>
      <c r="Y1628" s="85"/>
      <c r="Z1628" s="101">
        <v>0.1</v>
      </c>
      <c r="AA1628" s="102">
        <v>0.09</v>
      </c>
      <c r="AB1628" s="77"/>
      <c r="AC1628" s="78"/>
    </row>
    <row r="1629" spans="1:29" hidden="1" x14ac:dyDescent="0.2">
      <c r="A1629" s="117" t="s">
        <v>5295</v>
      </c>
      <c r="B1629" s="118" t="e">
        <f t="shared" si="177"/>
        <v>#VALUE!</v>
      </c>
      <c r="C1629" s="118" t="s">
        <v>612</v>
      </c>
      <c r="D1629" s="113">
        <v>41256</v>
      </c>
      <c r="E1629" s="84"/>
      <c r="F1629" s="84"/>
      <c r="G1629" s="229">
        <v>145.27000000000001</v>
      </c>
      <c r="H1629" s="71"/>
      <c r="I1629" s="71"/>
      <c r="J1629" s="238" t="s">
        <v>5290</v>
      </c>
      <c r="K1629" s="55"/>
      <c r="L1629" s="239"/>
      <c r="M1629" s="239"/>
      <c r="N1629" s="73"/>
      <c r="O1629" s="73"/>
      <c r="P1629" s="74"/>
      <c r="Q1629" s="75"/>
      <c r="R1629" s="230">
        <v>661</v>
      </c>
      <c r="S1629" s="230">
        <v>1314</v>
      </c>
      <c r="T1629" s="230">
        <v>1975</v>
      </c>
      <c r="U1629" s="231"/>
      <c r="V1629" s="230"/>
      <c r="W1629" s="230"/>
      <c r="X1629" s="231"/>
      <c r="Y1629" s="85"/>
      <c r="Z1629" s="101">
        <v>0.1</v>
      </c>
      <c r="AA1629" s="102">
        <v>0.09</v>
      </c>
      <c r="AB1629" s="77"/>
      <c r="AC1629" s="78"/>
    </row>
    <row r="1630" spans="1:29" hidden="1" x14ac:dyDescent="0.2">
      <c r="A1630" s="117" t="s">
        <v>5296</v>
      </c>
      <c r="B1630" s="118" t="e">
        <f t="shared" si="177"/>
        <v>#VALUE!</v>
      </c>
      <c r="C1630" s="118" t="s">
        <v>612</v>
      </c>
      <c r="D1630" s="113">
        <v>41256</v>
      </c>
      <c r="E1630" s="84"/>
      <c r="F1630" s="84"/>
      <c r="G1630" s="229">
        <v>647.55999999999995</v>
      </c>
      <c r="H1630" s="71"/>
      <c r="I1630" s="71"/>
      <c r="J1630" s="238" t="s">
        <v>5290</v>
      </c>
      <c r="K1630" s="55"/>
      <c r="L1630" s="239"/>
      <c r="M1630" s="239"/>
      <c r="N1630" s="73"/>
      <c r="O1630" s="73"/>
      <c r="P1630" s="74"/>
      <c r="Q1630" s="75"/>
      <c r="R1630" s="230">
        <v>2418</v>
      </c>
      <c r="S1630" s="230">
        <v>5184</v>
      </c>
      <c r="T1630" s="230">
        <v>7602</v>
      </c>
      <c r="U1630" s="231"/>
      <c r="V1630" s="230"/>
      <c r="W1630" s="230"/>
      <c r="X1630" s="231"/>
      <c r="Y1630" s="85"/>
      <c r="Z1630" s="101">
        <v>0.1</v>
      </c>
      <c r="AA1630" s="102">
        <v>0.09</v>
      </c>
      <c r="AB1630" s="77"/>
      <c r="AC1630" s="78"/>
    </row>
    <row r="1631" spans="1:29" hidden="1" x14ac:dyDescent="0.2">
      <c r="A1631" s="117" t="s">
        <v>5297</v>
      </c>
      <c r="B1631" s="118" t="e">
        <f t="shared" si="177"/>
        <v>#VALUE!</v>
      </c>
      <c r="C1631" s="118" t="s">
        <v>612</v>
      </c>
      <c r="D1631" s="113">
        <v>41256</v>
      </c>
      <c r="E1631" s="84"/>
      <c r="F1631" s="84"/>
      <c r="G1631" s="229">
        <v>245.2</v>
      </c>
      <c r="H1631" s="71"/>
      <c r="I1631" s="71"/>
      <c r="J1631" s="238" t="s">
        <v>5290</v>
      </c>
      <c r="K1631" s="55"/>
      <c r="L1631" s="239"/>
      <c r="M1631" s="239"/>
      <c r="N1631" s="73"/>
      <c r="O1631" s="73"/>
      <c r="P1631" s="74"/>
      <c r="Q1631" s="75"/>
      <c r="R1631" s="230">
        <v>1011</v>
      </c>
      <c r="S1631" s="230">
        <v>2214</v>
      </c>
      <c r="T1631" s="230">
        <v>3225</v>
      </c>
      <c r="U1631" s="231"/>
      <c r="V1631" s="230"/>
      <c r="W1631" s="230"/>
      <c r="X1631" s="231"/>
      <c r="Y1631" s="85"/>
      <c r="Z1631" s="101">
        <v>0.1</v>
      </c>
      <c r="AA1631" s="102">
        <v>0.09</v>
      </c>
      <c r="AB1631" s="77"/>
      <c r="AC1631" s="78"/>
    </row>
    <row r="1632" spans="1:29" hidden="1" x14ac:dyDescent="0.2">
      <c r="A1632" s="117" t="s">
        <v>5298</v>
      </c>
      <c r="B1632" s="118" t="e">
        <f t="shared" si="177"/>
        <v>#VALUE!</v>
      </c>
      <c r="C1632" s="118" t="s">
        <v>612</v>
      </c>
      <c r="D1632" s="113">
        <v>41256</v>
      </c>
      <c r="E1632" s="84"/>
      <c r="F1632" s="84"/>
      <c r="G1632" s="229">
        <v>424.78</v>
      </c>
      <c r="H1632" s="71"/>
      <c r="I1632" s="71"/>
      <c r="J1632" s="238" t="s">
        <v>5290</v>
      </c>
      <c r="K1632" s="55"/>
      <c r="L1632" s="239"/>
      <c r="M1632" s="239"/>
      <c r="N1632" s="73"/>
      <c r="O1632" s="73"/>
      <c r="P1632" s="74"/>
      <c r="Q1632" s="75"/>
      <c r="R1632" s="230">
        <v>1637.5</v>
      </c>
      <c r="S1632" s="230">
        <v>3825</v>
      </c>
      <c r="T1632" s="230">
        <v>5462.5</v>
      </c>
      <c r="U1632" s="231"/>
      <c r="V1632" s="230"/>
      <c r="W1632" s="230"/>
      <c r="X1632" s="231"/>
      <c r="Y1632" s="85"/>
      <c r="Z1632" s="101">
        <v>0.1</v>
      </c>
      <c r="AA1632" s="102">
        <v>0.09</v>
      </c>
      <c r="AB1632" s="77"/>
      <c r="AC1632" s="78"/>
    </row>
    <row r="1633" spans="1:29" hidden="1" x14ac:dyDescent="0.2">
      <c r="A1633" s="117" t="s">
        <v>5299</v>
      </c>
      <c r="B1633" s="118" t="e">
        <f t="shared" si="177"/>
        <v>#VALUE!</v>
      </c>
      <c r="C1633" s="118" t="s">
        <v>612</v>
      </c>
      <c r="D1633" s="113">
        <v>41256</v>
      </c>
      <c r="E1633" s="84"/>
      <c r="F1633" s="84"/>
      <c r="G1633" s="229">
        <v>648.4</v>
      </c>
      <c r="H1633" s="71"/>
      <c r="I1633" s="71"/>
      <c r="J1633" s="238" t="s">
        <v>5290</v>
      </c>
      <c r="K1633" s="55"/>
      <c r="L1633" s="239"/>
      <c r="M1633" s="239"/>
      <c r="N1633" s="73"/>
      <c r="O1633" s="73"/>
      <c r="P1633" s="74"/>
      <c r="Q1633" s="75"/>
      <c r="R1633" s="230">
        <v>2421.5</v>
      </c>
      <c r="S1633" s="230">
        <v>5841</v>
      </c>
      <c r="T1633" s="230">
        <v>8262.5</v>
      </c>
      <c r="U1633" s="231"/>
      <c r="V1633" s="230"/>
      <c r="W1633" s="230"/>
      <c r="X1633" s="231"/>
      <c r="Y1633" s="85"/>
      <c r="Z1633" s="101">
        <v>0.1</v>
      </c>
      <c r="AA1633" s="102">
        <v>0.09</v>
      </c>
      <c r="AB1633" s="77"/>
      <c r="AC1633" s="78"/>
    </row>
    <row r="1634" spans="1:29" hidden="1" x14ac:dyDescent="0.2">
      <c r="A1634" s="117" t="s">
        <v>5300</v>
      </c>
      <c r="B1634" s="118" t="e">
        <f t="shared" si="177"/>
        <v>#VALUE!</v>
      </c>
      <c r="C1634" s="118" t="s">
        <v>612</v>
      </c>
      <c r="D1634" s="113">
        <v>41256</v>
      </c>
      <c r="E1634" s="84"/>
      <c r="F1634" s="84"/>
      <c r="G1634" s="229">
        <v>26</v>
      </c>
      <c r="H1634" s="71"/>
      <c r="I1634" s="71"/>
      <c r="J1634" s="238" t="s">
        <v>5290</v>
      </c>
      <c r="K1634" s="55"/>
      <c r="L1634" s="239"/>
      <c r="M1634" s="239"/>
      <c r="N1634" s="73"/>
      <c r="O1634" s="73"/>
      <c r="P1634" s="74"/>
      <c r="Q1634" s="75"/>
      <c r="R1634" s="230">
        <v>241</v>
      </c>
      <c r="S1634" s="230">
        <v>234</v>
      </c>
      <c r="T1634" s="230">
        <v>475</v>
      </c>
      <c r="U1634" s="231"/>
      <c r="V1634" s="230"/>
      <c r="W1634" s="230"/>
      <c r="X1634" s="231"/>
      <c r="Y1634" s="85"/>
      <c r="Z1634" s="101">
        <v>0.1</v>
      </c>
      <c r="AA1634" s="102">
        <v>0.09</v>
      </c>
      <c r="AB1634" s="77"/>
      <c r="AC1634" s="78"/>
    </row>
    <row r="1635" spans="1:29" hidden="1" x14ac:dyDescent="0.2">
      <c r="A1635" s="117" t="s">
        <v>5301</v>
      </c>
      <c r="B1635" s="118" t="e">
        <f t="shared" si="177"/>
        <v>#VALUE!</v>
      </c>
      <c r="C1635" s="118" t="s">
        <v>612</v>
      </c>
      <c r="D1635" s="113">
        <v>41256</v>
      </c>
      <c r="E1635" s="84"/>
      <c r="F1635" s="84"/>
      <c r="G1635" s="229">
        <v>322.63</v>
      </c>
      <c r="H1635" s="71"/>
      <c r="I1635" s="71"/>
      <c r="J1635" s="238" t="s">
        <v>5290</v>
      </c>
      <c r="K1635" s="55"/>
      <c r="L1635" s="239"/>
      <c r="M1635" s="239"/>
      <c r="N1635" s="73"/>
      <c r="O1635" s="73"/>
      <c r="P1635" s="74"/>
      <c r="Q1635" s="75"/>
      <c r="R1635" s="230">
        <v>1280.5</v>
      </c>
      <c r="S1635" s="230">
        <v>2584</v>
      </c>
      <c r="T1635" s="230">
        <v>3864.5</v>
      </c>
      <c r="U1635" s="231"/>
      <c r="V1635" s="230"/>
      <c r="W1635" s="230"/>
      <c r="X1635" s="231"/>
      <c r="Y1635" s="85"/>
      <c r="Z1635" s="101">
        <v>0.1</v>
      </c>
      <c r="AA1635" s="102">
        <v>0.09</v>
      </c>
      <c r="AB1635" s="77"/>
      <c r="AC1635" s="78"/>
    </row>
    <row r="1636" spans="1:29" hidden="1" x14ac:dyDescent="0.2">
      <c r="A1636" s="117" t="s">
        <v>5302</v>
      </c>
      <c r="B1636" s="118" t="e">
        <f t="shared" si="177"/>
        <v>#VALUE!</v>
      </c>
      <c r="C1636" s="118" t="s">
        <v>612</v>
      </c>
      <c r="D1636" s="113">
        <v>41256</v>
      </c>
      <c r="E1636" s="84"/>
      <c r="F1636" s="84"/>
      <c r="G1636" s="229">
        <v>238.91</v>
      </c>
      <c r="H1636" s="71"/>
      <c r="I1636" s="71"/>
      <c r="J1636" s="238" t="s">
        <v>5290</v>
      </c>
      <c r="K1636" s="55"/>
      <c r="L1636" s="239"/>
      <c r="M1636" s="239"/>
      <c r="N1636" s="73"/>
      <c r="O1636" s="73"/>
      <c r="P1636" s="74"/>
      <c r="Q1636" s="75"/>
      <c r="R1636" s="230">
        <v>986.5</v>
      </c>
      <c r="S1636" s="230">
        <v>2151</v>
      </c>
      <c r="T1636" s="230">
        <v>3137.5</v>
      </c>
      <c r="U1636" s="231"/>
      <c r="V1636" s="230"/>
      <c r="W1636" s="230"/>
      <c r="X1636" s="231"/>
      <c r="Y1636" s="85"/>
      <c r="Z1636" s="101">
        <v>0.1</v>
      </c>
      <c r="AA1636" s="102">
        <v>0.09</v>
      </c>
      <c r="AB1636" s="77"/>
      <c r="AC1636" s="78"/>
    </row>
    <row r="1637" spans="1:29" hidden="1" x14ac:dyDescent="0.2">
      <c r="A1637" s="117" t="s">
        <v>5303</v>
      </c>
      <c r="B1637" s="118" t="e">
        <f t="shared" si="177"/>
        <v>#VALUE!</v>
      </c>
      <c r="C1637" s="118" t="s">
        <v>612</v>
      </c>
      <c r="D1637" s="113">
        <v>41256</v>
      </c>
      <c r="E1637" s="84"/>
      <c r="F1637" s="84"/>
      <c r="G1637" s="229">
        <v>97.04</v>
      </c>
      <c r="H1637" s="71"/>
      <c r="I1637" s="71"/>
      <c r="J1637" s="238" t="s">
        <v>5290</v>
      </c>
      <c r="K1637" s="55"/>
      <c r="L1637" s="239"/>
      <c r="M1637" s="239"/>
      <c r="N1637" s="73"/>
      <c r="O1637" s="73"/>
      <c r="P1637" s="74"/>
      <c r="Q1637" s="75"/>
      <c r="R1637" s="230">
        <v>493</v>
      </c>
      <c r="S1637" s="230">
        <v>882</v>
      </c>
      <c r="T1637" s="230">
        <v>1375</v>
      </c>
      <c r="U1637" s="231"/>
      <c r="V1637" s="230"/>
      <c r="W1637" s="230"/>
      <c r="X1637" s="231"/>
      <c r="Y1637" s="85"/>
      <c r="Z1637" s="101">
        <v>0.1</v>
      </c>
      <c r="AA1637" s="102">
        <v>0.09</v>
      </c>
      <c r="AB1637" s="77"/>
      <c r="AC1637" s="78"/>
    </row>
    <row r="1638" spans="1:29" hidden="1" x14ac:dyDescent="0.2">
      <c r="A1638" s="117" t="s">
        <v>5304</v>
      </c>
      <c r="B1638" s="118" t="e">
        <f t="shared" si="177"/>
        <v>#VALUE!</v>
      </c>
      <c r="C1638" s="118" t="s">
        <v>612</v>
      </c>
      <c r="D1638" s="113">
        <v>41256</v>
      </c>
      <c r="E1638" s="84"/>
      <c r="F1638" s="84"/>
      <c r="G1638" s="229">
        <v>237.64</v>
      </c>
      <c r="H1638" s="71"/>
      <c r="I1638" s="71"/>
      <c r="J1638" s="238" t="s">
        <v>5290</v>
      </c>
      <c r="K1638" s="55"/>
      <c r="L1638" s="239"/>
      <c r="M1638" s="239"/>
      <c r="N1638" s="73"/>
      <c r="O1638" s="73"/>
      <c r="P1638" s="74"/>
      <c r="Q1638" s="75"/>
      <c r="R1638" s="230">
        <v>983</v>
      </c>
      <c r="S1638" s="230">
        <v>1904</v>
      </c>
      <c r="T1638" s="230">
        <v>2887</v>
      </c>
      <c r="U1638" s="231"/>
      <c r="V1638" s="230"/>
      <c r="W1638" s="230"/>
      <c r="X1638" s="231"/>
      <c r="Y1638" s="85"/>
      <c r="Z1638" s="101">
        <v>0.1</v>
      </c>
      <c r="AA1638" s="102">
        <v>0.09</v>
      </c>
      <c r="AB1638" s="77"/>
      <c r="AC1638" s="78"/>
    </row>
    <row r="1639" spans="1:29" hidden="1" x14ac:dyDescent="0.2">
      <c r="A1639" s="117" t="s">
        <v>5305</v>
      </c>
      <c r="B1639" s="118" t="e">
        <f t="shared" si="177"/>
        <v>#VALUE!</v>
      </c>
      <c r="C1639" s="118" t="s">
        <v>612</v>
      </c>
      <c r="D1639" s="113">
        <v>41256</v>
      </c>
      <c r="E1639" s="84"/>
      <c r="F1639" s="84"/>
      <c r="G1639" s="229">
        <v>152.85</v>
      </c>
      <c r="H1639" s="71"/>
      <c r="I1639" s="71"/>
      <c r="J1639" s="238" t="s">
        <v>5290</v>
      </c>
      <c r="K1639" s="55"/>
      <c r="L1639" s="239"/>
      <c r="M1639" s="239"/>
      <c r="N1639" s="73"/>
      <c r="O1639" s="73"/>
      <c r="P1639" s="74"/>
      <c r="Q1639" s="75"/>
      <c r="R1639" s="230">
        <v>685.5</v>
      </c>
      <c r="S1639" s="230">
        <v>1377</v>
      </c>
      <c r="T1639" s="230">
        <v>2062.5</v>
      </c>
      <c r="U1639" s="231"/>
      <c r="V1639" s="230"/>
      <c r="W1639" s="230"/>
      <c r="X1639" s="231"/>
      <c r="Y1639" s="85"/>
      <c r="Z1639" s="101">
        <v>0.1</v>
      </c>
      <c r="AA1639" s="102">
        <v>0.09</v>
      </c>
      <c r="AB1639" s="77"/>
      <c r="AC1639" s="78"/>
    </row>
    <row r="1640" spans="1:29" hidden="1" x14ac:dyDescent="0.2">
      <c r="A1640" s="117" t="s">
        <v>5306</v>
      </c>
      <c r="B1640" s="118" t="e">
        <f t="shared" si="177"/>
        <v>#VALUE!</v>
      </c>
      <c r="C1640" s="118" t="s">
        <v>612</v>
      </c>
      <c r="D1640" s="113">
        <v>41256</v>
      </c>
      <c r="E1640" s="84"/>
      <c r="F1640" s="84"/>
      <c r="G1640" s="229">
        <v>597.26</v>
      </c>
      <c r="H1640" s="71"/>
      <c r="I1640" s="71"/>
      <c r="J1640" s="238" t="s">
        <v>5290</v>
      </c>
      <c r="K1640" s="55"/>
      <c r="L1640" s="239"/>
      <c r="M1640" s="239"/>
      <c r="N1640" s="73"/>
      <c r="O1640" s="73"/>
      <c r="P1640" s="74"/>
      <c r="Q1640" s="75"/>
      <c r="R1640" s="230">
        <v>2243</v>
      </c>
      <c r="S1640" s="230">
        <v>5382</v>
      </c>
      <c r="T1640" s="230">
        <v>7625</v>
      </c>
      <c r="U1640" s="231"/>
      <c r="V1640" s="230"/>
      <c r="W1640" s="230"/>
      <c r="X1640" s="231"/>
      <c r="Y1640" s="85"/>
      <c r="Z1640" s="101">
        <v>0.1</v>
      </c>
      <c r="AA1640" s="102">
        <v>0.09</v>
      </c>
      <c r="AB1640" s="77"/>
      <c r="AC1640" s="78"/>
    </row>
    <row r="1641" spans="1:29" hidden="1" x14ac:dyDescent="0.2">
      <c r="A1641" s="117" t="s">
        <v>5307</v>
      </c>
      <c r="B1641" s="118" t="e">
        <f t="shared" si="177"/>
        <v>#VALUE!</v>
      </c>
      <c r="C1641" s="118" t="s">
        <v>612</v>
      </c>
      <c r="D1641" s="113">
        <v>41256</v>
      </c>
      <c r="E1641" s="84"/>
      <c r="F1641" s="84"/>
      <c r="G1641" s="229">
        <v>80.75</v>
      </c>
      <c r="H1641" s="71"/>
      <c r="I1641" s="71"/>
      <c r="J1641" s="238" t="s">
        <v>5290</v>
      </c>
      <c r="K1641" s="55"/>
      <c r="L1641" s="239"/>
      <c r="M1641" s="239"/>
      <c r="N1641" s="73"/>
      <c r="O1641" s="73"/>
      <c r="P1641" s="74"/>
      <c r="Q1641" s="75"/>
      <c r="R1641" s="230">
        <v>433.5</v>
      </c>
      <c r="S1641" s="230">
        <v>648</v>
      </c>
      <c r="T1641" s="230">
        <v>1081.5</v>
      </c>
      <c r="U1641" s="231"/>
      <c r="V1641" s="230"/>
      <c r="W1641" s="230"/>
      <c r="X1641" s="231"/>
      <c r="Y1641" s="85"/>
      <c r="Z1641" s="101">
        <v>0.1</v>
      </c>
      <c r="AA1641" s="102">
        <v>0.09</v>
      </c>
      <c r="AB1641" s="77"/>
      <c r="AC1641" s="78"/>
    </row>
    <row r="1642" spans="1:29" hidden="1" x14ac:dyDescent="0.2">
      <c r="A1642" s="117" t="s">
        <v>5308</v>
      </c>
      <c r="B1642" s="118" t="e">
        <f t="shared" si="177"/>
        <v>#VALUE!</v>
      </c>
      <c r="C1642" s="118" t="s">
        <v>612</v>
      </c>
      <c r="D1642" s="113">
        <v>41256</v>
      </c>
      <c r="E1642" s="84"/>
      <c r="F1642" s="84"/>
      <c r="G1642" s="229">
        <v>263.35000000000002</v>
      </c>
      <c r="H1642" s="71"/>
      <c r="I1642" s="71"/>
      <c r="J1642" s="238" t="s">
        <v>5290</v>
      </c>
      <c r="K1642" s="55"/>
      <c r="L1642" s="239"/>
      <c r="M1642" s="239"/>
      <c r="N1642" s="73"/>
      <c r="O1642" s="73"/>
      <c r="P1642" s="74"/>
      <c r="Q1642" s="75"/>
      <c r="R1642" s="230">
        <v>1074</v>
      </c>
      <c r="S1642" s="230">
        <v>2376</v>
      </c>
      <c r="T1642" s="230">
        <v>3450</v>
      </c>
      <c r="U1642" s="231"/>
      <c r="V1642" s="230"/>
      <c r="W1642" s="230"/>
      <c r="X1642" s="231"/>
      <c r="Y1642" s="85"/>
      <c r="Z1642" s="101">
        <v>0.1</v>
      </c>
      <c r="AA1642" s="102">
        <v>0.09</v>
      </c>
      <c r="AB1642" s="77"/>
      <c r="AC1642" s="78"/>
    </row>
    <row r="1643" spans="1:29" hidden="1" x14ac:dyDescent="0.2">
      <c r="A1643" s="117" t="s">
        <v>5309</v>
      </c>
      <c r="B1643" s="118" t="e">
        <f t="shared" si="177"/>
        <v>#VALUE!</v>
      </c>
      <c r="C1643" s="118" t="s">
        <v>612</v>
      </c>
      <c r="D1643" s="113">
        <v>41256</v>
      </c>
      <c r="E1643" s="84"/>
      <c r="F1643" s="84"/>
      <c r="G1643" s="229">
        <v>483</v>
      </c>
      <c r="H1643" s="71"/>
      <c r="I1643" s="71"/>
      <c r="J1643" s="238" t="s">
        <v>5290</v>
      </c>
      <c r="K1643" s="55"/>
      <c r="L1643" s="239"/>
      <c r="M1643" s="239"/>
      <c r="N1643" s="73"/>
      <c r="O1643" s="73"/>
      <c r="P1643" s="74"/>
      <c r="Q1643" s="75"/>
      <c r="R1643" s="230">
        <v>1840.5</v>
      </c>
      <c r="S1643" s="230">
        <v>4347</v>
      </c>
      <c r="T1643" s="230">
        <v>6187.5</v>
      </c>
      <c r="U1643" s="231"/>
      <c r="V1643" s="230"/>
      <c r="W1643" s="230"/>
      <c r="X1643" s="231"/>
      <c r="Y1643" s="85"/>
      <c r="Z1643" s="101">
        <v>0.1</v>
      </c>
      <c r="AA1643" s="102">
        <v>0.09</v>
      </c>
      <c r="AB1643" s="77"/>
      <c r="AC1643" s="78"/>
    </row>
    <row r="1644" spans="1:29" hidden="1" x14ac:dyDescent="0.2">
      <c r="A1644" s="117" t="s">
        <v>5310</v>
      </c>
      <c r="B1644" s="118" t="e">
        <f t="shared" si="177"/>
        <v>#VALUE!</v>
      </c>
      <c r="C1644" s="118" t="s">
        <v>612</v>
      </c>
      <c r="D1644" s="113">
        <v>41256</v>
      </c>
      <c r="E1644" s="84"/>
      <c r="F1644" s="84"/>
      <c r="G1644" s="229">
        <v>437.2</v>
      </c>
      <c r="H1644" s="71"/>
      <c r="I1644" s="71"/>
      <c r="J1644" s="238" t="s">
        <v>5290</v>
      </c>
      <c r="K1644" s="55"/>
      <c r="L1644" s="239"/>
      <c r="M1644" s="239"/>
      <c r="N1644" s="73"/>
      <c r="O1644" s="73"/>
      <c r="P1644" s="74"/>
      <c r="Q1644" s="75"/>
      <c r="R1644" s="230">
        <v>1683</v>
      </c>
      <c r="S1644" s="230">
        <v>3504</v>
      </c>
      <c r="T1644" s="230">
        <v>5187</v>
      </c>
      <c r="U1644" s="231"/>
      <c r="V1644" s="230"/>
      <c r="W1644" s="230"/>
      <c r="X1644" s="231"/>
      <c r="Y1644" s="85"/>
      <c r="Z1644" s="101">
        <v>0.1</v>
      </c>
      <c r="AA1644" s="102">
        <v>0.09</v>
      </c>
      <c r="AB1644" s="77"/>
      <c r="AC1644" s="78"/>
    </row>
    <row r="1645" spans="1:29" hidden="1" x14ac:dyDescent="0.2">
      <c r="A1645" s="117" t="s">
        <v>5311</v>
      </c>
      <c r="B1645" s="118" t="e">
        <f t="shared" si="177"/>
        <v>#VALUE!</v>
      </c>
      <c r="C1645" s="118" t="s">
        <v>612</v>
      </c>
      <c r="D1645" s="113">
        <v>41256</v>
      </c>
      <c r="E1645" s="84"/>
      <c r="F1645" s="84"/>
      <c r="G1645" s="229">
        <v>218.81</v>
      </c>
      <c r="H1645" s="71"/>
      <c r="I1645" s="71"/>
      <c r="J1645" s="238" t="s">
        <v>5290</v>
      </c>
      <c r="K1645" s="55"/>
      <c r="L1645" s="239"/>
      <c r="M1645" s="239"/>
      <c r="N1645" s="73"/>
      <c r="O1645" s="73"/>
      <c r="P1645" s="74"/>
      <c r="Q1645" s="75"/>
      <c r="R1645" s="230">
        <v>916.5</v>
      </c>
      <c r="S1645" s="230">
        <v>1971</v>
      </c>
      <c r="T1645" s="230">
        <v>2887.5</v>
      </c>
      <c r="U1645" s="231"/>
      <c r="V1645" s="230"/>
      <c r="W1645" s="230"/>
      <c r="X1645" s="231"/>
      <c r="Y1645" s="85"/>
      <c r="Z1645" s="101">
        <v>0.1</v>
      </c>
      <c r="AA1645" s="102">
        <v>0.09</v>
      </c>
      <c r="AB1645" s="77"/>
      <c r="AC1645" s="78"/>
    </row>
    <row r="1646" spans="1:29" hidden="1" x14ac:dyDescent="0.2">
      <c r="A1646" s="117" t="s">
        <v>5312</v>
      </c>
      <c r="B1646" s="118" t="e">
        <f t="shared" si="177"/>
        <v>#VALUE!</v>
      </c>
      <c r="C1646" s="118" t="s">
        <v>612</v>
      </c>
      <c r="D1646" s="113">
        <v>41256</v>
      </c>
      <c r="E1646" s="84"/>
      <c r="F1646" s="84"/>
      <c r="G1646" s="229">
        <v>252.52</v>
      </c>
      <c r="H1646" s="71"/>
      <c r="I1646" s="71"/>
      <c r="J1646" s="238" t="s">
        <v>5290</v>
      </c>
      <c r="K1646" s="55"/>
      <c r="L1646" s="239"/>
      <c r="M1646" s="239"/>
      <c r="N1646" s="73"/>
      <c r="O1646" s="73"/>
      <c r="P1646" s="74"/>
      <c r="Q1646" s="75"/>
      <c r="R1646" s="230">
        <v>1035.5</v>
      </c>
      <c r="S1646" s="230">
        <v>2277</v>
      </c>
      <c r="T1646" s="230">
        <v>3312.5</v>
      </c>
      <c r="U1646" s="231"/>
      <c r="V1646" s="230"/>
      <c r="W1646" s="230"/>
      <c r="X1646" s="231"/>
      <c r="Y1646" s="85"/>
      <c r="Z1646" s="101">
        <v>0.1</v>
      </c>
      <c r="AA1646" s="102">
        <v>0.09</v>
      </c>
      <c r="AB1646" s="77"/>
      <c r="AC1646" s="78"/>
    </row>
    <row r="1647" spans="1:29" hidden="1" x14ac:dyDescent="0.2">
      <c r="A1647" s="117" t="s">
        <v>5313</v>
      </c>
      <c r="B1647" s="118" t="e">
        <f t="shared" si="177"/>
        <v>#VALUE!</v>
      </c>
      <c r="C1647" s="118" t="s">
        <v>612</v>
      </c>
      <c r="D1647" s="113">
        <v>41256</v>
      </c>
      <c r="E1647" s="84"/>
      <c r="F1647" s="84"/>
      <c r="G1647" s="229">
        <v>638.38</v>
      </c>
      <c r="H1647" s="71"/>
      <c r="I1647" s="71"/>
      <c r="J1647" s="238" t="s">
        <v>5290</v>
      </c>
      <c r="K1647" s="55"/>
      <c r="L1647" s="239"/>
      <c r="M1647" s="239"/>
      <c r="N1647" s="73"/>
      <c r="O1647" s="73"/>
      <c r="P1647" s="74"/>
      <c r="Q1647" s="75"/>
      <c r="R1647" s="230">
        <v>2386.5</v>
      </c>
      <c r="S1647" s="230">
        <v>5112</v>
      </c>
      <c r="T1647" s="230">
        <v>7498.5</v>
      </c>
      <c r="U1647" s="231"/>
      <c r="V1647" s="230"/>
      <c r="W1647" s="230"/>
      <c r="X1647" s="231"/>
      <c r="Y1647" s="85"/>
      <c r="Z1647" s="101">
        <v>0.1</v>
      </c>
      <c r="AA1647" s="102">
        <v>0.09</v>
      </c>
      <c r="AB1647" s="77"/>
      <c r="AC1647" s="78"/>
    </row>
    <row r="1648" spans="1:29" hidden="1" x14ac:dyDescent="0.2">
      <c r="A1648" s="117" t="s">
        <v>5314</v>
      </c>
      <c r="B1648" s="118" t="e">
        <f t="shared" si="177"/>
        <v>#VALUE!</v>
      </c>
      <c r="C1648" s="118" t="s">
        <v>612</v>
      </c>
      <c r="D1648" s="113">
        <v>41256</v>
      </c>
      <c r="E1648" s="84"/>
      <c r="F1648" s="84"/>
      <c r="G1648" s="229">
        <v>75</v>
      </c>
      <c r="H1648" s="71"/>
      <c r="I1648" s="71"/>
      <c r="J1648" s="238" t="s">
        <v>5290</v>
      </c>
      <c r="K1648" s="55"/>
      <c r="L1648" s="239"/>
      <c r="M1648" s="239"/>
      <c r="N1648" s="73"/>
      <c r="O1648" s="73"/>
      <c r="P1648" s="74"/>
      <c r="Q1648" s="75"/>
      <c r="R1648" s="230">
        <v>412.5</v>
      </c>
      <c r="S1648" s="230">
        <v>675</v>
      </c>
      <c r="T1648" s="230">
        <v>1087.5</v>
      </c>
      <c r="U1648" s="231"/>
      <c r="V1648" s="230"/>
      <c r="W1648" s="230"/>
      <c r="X1648" s="231"/>
      <c r="Y1648" s="85"/>
      <c r="Z1648" s="101">
        <v>0.1</v>
      </c>
      <c r="AA1648" s="102">
        <v>0.09</v>
      </c>
      <c r="AB1648" s="77"/>
      <c r="AC1648" s="78"/>
    </row>
    <row r="1649" spans="1:29" hidden="1" x14ac:dyDescent="0.2">
      <c r="A1649" s="117" t="s">
        <v>5315</v>
      </c>
      <c r="B1649" s="118" t="e">
        <f t="shared" si="177"/>
        <v>#VALUE!</v>
      </c>
      <c r="C1649" s="118" t="s">
        <v>612</v>
      </c>
      <c r="D1649" s="113">
        <v>41256</v>
      </c>
      <c r="E1649" s="84"/>
      <c r="F1649" s="84"/>
      <c r="G1649" s="229">
        <v>95.39</v>
      </c>
      <c r="H1649" s="71"/>
      <c r="I1649" s="71"/>
      <c r="J1649" s="238" t="s">
        <v>5290</v>
      </c>
      <c r="K1649" s="55"/>
      <c r="L1649" s="239"/>
      <c r="M1649" s="239"/>
      <c r="N1649" s="73"/>
      <c r="O1649" s="73"/>
      <c r="P1649" s="74"/>
      <c r="Q1649" s="75"/>
      <c r="R1649" s="230">
        <v>486</v>
      </c>
      <c r="S1649" s="230">
        <v>864</v>
      </c>
      <c r="T1649" s="230">
        <v>1350</v>
      </c>
      <c r="U1649" s="231"/>
      <c r="V1649" s="230"/>
      <c r="W1649" s="230"/>
      <c r="X1649" s="231"/>
      <c r="Y1649" s="85"/>
      <c r="Z1649" s="101">
        <v>0.1</v>
      </c>
      <c r="AA1649" s="102">
        <v>0.09</v>
      </c>
      <c r="AB1649" s="77"/>
      <c r="AC1649" s="78"/>
    </row>
    <row r="1650" spans="1:29" hidden="1" x14ac:dyDescent="0.2">
      <c r="A1650" s="117" t="s">
        <v>5316</v>
      </c>
      <c r="B1650" s="118" t="e">
        <f t="shared" si="177"/>
        <v>#VALUE!</v>
      </c>
      <c r="C1650" s="118" t="s">
        <v>612</v>
      </c>
      <c r="D1650" s="113">
        <v>41256</v>
      </c>
      <c r="E1650" s="84"/>
      <c r="F1650" s="84"/>
      <c r="G1650" s="229">
        <v>77.69</v>
      </c>
      <c r="H1650" s="71"/>
      <c r="I1650" s="71"/>
      <c r="J1650" s="238" t="s">
        <v>5290</v>
      </c>
      <c r="K1650" s="55"/>
      <c r="L1650" s="239"/>
      <c r="M1650" s="239"/>
      <c r="N1650" s="73"/>
      <c r="O1650" s="73"/>
      <c r="P1650" s="74"/>
      <c r="Q1650" s="75"/>
      <c r="R1650" s="230">
        <v>423</v>
      </c>
      <c r="S1650" s="230">
        <v>624</v>
      </c>
      <c r="T1650" s="230">
        <v>1047</v>
      </c>
      <c r="U1650" s="231"/>
      <c r="V1650" s="230"/>
      <c r="W1650" s="230"/>
      <c r="X1650" s="231"/>
      <c r="Y1650" s="85"/>
      <c r="Z1650" s="101">
        <v>0.1</v>
      </c>
      <c r="AA1650" s="102">
        <v>0.09</v>
      </c>
      <c r="AB1650" s="77"/>
      <c r="AC1650" s="78"/>
    </row>
    <row r="1651" spans="1:29" hidden="1" x14ac:dyDescent="0.2">
      <c r="A1651" s="117" t="s">
        <v>5317</v>
      </c>
      <c r="B1651" s="118" t="e">
        <f t="shared" si="177"/>
        <v>#VALUE!</v>
      </c>
      <c r="C1651" s="118" t="s">
        <v>612</v>
      </c>
      <c r="D1651" s="113">
        <v>41256</v>
      </c>
      <c r="E1651" s="84"/>
      <c r="F1651" s="84"/>
      <c r="G1651" s="229">
        <v>598.84</v>
      </c>
      <c r="H1651" s="71"/>
      <c r="I1651" s="71"/>
      <c r="J1651" s="238" t="s">
        <v>5290</v>
      </c>
      <c r="K1651" s="55"/>
      <c r="L1651" s="239"/>
      <c r="M1651" s="239"/>
      <c r="N1651" s="73"/>
      <c r="O1651" s="73"/>
      <c r="P1651" s="74"/>
      <c r="Q1651" s="75"/>
      <c r="R1651" s="230">
        <v>2246.5</v>
      </c>
      <c r="S1651" s="230">
        <v>5391</v>
      </c>
      <c r="T1651" s="230">
        <v>7637.5</v>
      </c>
      <c r="U1651" s="231"/>
      <c r="V1651" s="230"/>
      <c r="W1651" s="230"/>
      <c r="X1651" s="231"/>
      <c r="Y1651" s="85"/>
      <c r="Z1651" s="101">
        <v>0.1</v>
      </c>
      <c r="AA1651" s="102">
        <v>0.09</v>
      </c>
      <c r="AB1651" s="77"/>
      <c r="AC1651" s="78"/>
    </row>
    <row r="1652" spans="1:29" hidden="1" x14ac:dyDescent="0.2">
      <c r="A1652" s="117" t="s">
        <v>5318</v>
      </c>
      <c r="B1652" s="118" t="e">
        <f t="shared" si="177"/>
        <v>#VALUE!</v>
      </c>
      <c r="C1652" s="118" t="s">
        <v>612</v>
      </c>
      <c r="D1652" s="113">
        <v>41256</v>
      </c>
      <c r="E1652" s="84"/>
      <c r="F1652" s="84"/>
      <c r="G1652" s="229">
        <v>318.94</v>
      </c>
      <c r="H1652" s="71"/>
      <c r="I1652" s="71"/>
      <c r="J1652" s="238" t="s">
        <v>5290</v>
      </c>
      <c r="K1652" s="55"/>
      <c r="L1652" s="239"/>
      <c r="M1652" s="239"/>
      <c r="N1652" s="73"/>
      <c r="O1652" s="73"/>
      <c r="P1652" s="74"/>
      <c r="Q1652" s="75"/>
      <c r="R1652" s="230">
        <v>1266.5</v>
      </c>
      <c r="S1652" s="230">
        <v>2552</v>
      </c>
      <c r="T1652" s="230">
        <v>3818.5</v>
      </c>
      <c r="U1652" s="231"/>
      <c r="V1652" s="230"/>
      <c r="W1652" s="230"/>
      <c r="X1652" s="231"/>
      <c r="Y1652" s="85"/>
      <c r="Z1652" s="101">
        <v>0.1</v>
      </c>
      <c r="AA1652" s="102">
        <v>0.09</v>
      </c>
      <c r="AB1652" s="77"/>
      <c r="AC1652" s="78"/>
    </row>
    <row r="1653" spans="1:29" hidden="1" x14ac:dyDescent="0.2">
      <c r="A1653" s="117" t="s">
        <v>5319</v>
      </c>
      <c r="B1653" s="118" t="e">
        <f t="shared" si="177"/>
        <v>#VALUE!</v>
      </c>
      <c r="C1653" s="118" t="s">
        <v>612</v>
      </c>
      <c r="D1653" s="113">
        <v>41256</v>
      </c>
      <c r="E1653" s="84"/>
      <c r="F1653" s="84"/>
      <c r="G1653" s="229">
        <v>199.07</v>
      </c>
      <c r="H1653" s="71"/>
      <c r="I1653" s="71"/>
      <c r="J1653" s="238" t="s">
        <v>5290</v>
      </c>
      <c r="K1653" s="55"/>
      <c r="L1653" s="239"/>
      <c r="M1653" s="239"/>
      <c r="N1653" s="73"/>
      <c r="O1653" s="73"/>
      <c r="P1653" s="74"/>
      <c r="Q1653" s="75"/>
      <c r="R1653" s="230">
        <v>850</v>
      </c>
      <c r="S1653" s="230">
        <v>1800</v>
      </c>
      <c r="T1653" s="230">
        <v>2650</v>
      </c>
      <c r="U1653" s="231"/>
      <c r="V1653" s="230"/>
      <c r="W1653" s="230"/>
      <c r="X1653" s="231"/>
      <c r="Y1653" s="85"/>
      <c r="Z1653" s="101">
        <v>0.1</v>
      </c>
      <c r="AA1653" s="102">
        <v>0.09</v>
      </c>
      <c r="AB1653" s="77"/>
      <c r="AC1653" s="78"/>
    </row>
    <row r="1654" spans="1:29" hidden="1" x14ac:dyDescent="0.2">
      <c r="A1654" s="117" t="s">
        <v>5320</v>
      </c>
      <c r="B1654" s="118" t="e">
        <f t="shared" si="177"/>
        <v>#VALUE!</v>
      </c>
      <c r="C1654" s="118" t="s">
        <v>612</v>
      </c>
      <c r="D1654" s="113">
        <v>41256</v>
      </c>
      <c r="E1654" s="84"/>
      <c r="F1654" s="84"/>
      <c r="G1654" s="229">
        <v>137.4</v>
      </c>
      <c r="H1654" s="71"/>
      <c r="I1654" s="71"/>
      <c r="J1654" s="238" t="s">
        <v>5290</v>
      </c>
      <c r="K1654" s="55"/>
      <c r="L1654" s="239"/>
      <c r="M1654" s="239"/>
      <c r="N1654" s="73"/>
      <c r="O1654" s="73"/>
      <c r="P1654" s="74"/>
      <c r="Q1654" s="75"/>
      <c r="R1654" s="230">
        <v>633</v>
      </c>
      <c r="S1654" s="230">
        <v>1242</v>
      </c>
      <c r="T1654" s="230">
        <v>1875</v>
      </c>
      <c r="U1654" s="231"/>
      <c r="V1654" s="230"/>
      <c r="W1654" s="230"/>
      <c r="X1654" s="231"/>
      <c r="Y1654" s="85"/>
      <c r="Z1654" s="101">
        <v>0.1</v>
      </c>
      <c r="AA1654" s="102">
        <v>0.09</v>
      </c>
      <c r="AB1654" s="77"/>
      <c r="AC1654" s="78"/>
    </row>
    <row r="1655" spans="1:29" hidden="1" x14ac:dyDescent="0.2">
      <c r="A1655" s="117" t="s">
        <v>5321</v>
      </c>
      <c r="B1655" s="118" t="e">
        <f t="shared" ref="B1655:B1678" si="178">IF(COUNTIF(GIS,A1655),"YES","NO")</f>
        <v>#VALUE!</v>
      </c>
      <c r="C1655" s="118" t="s">
        <v>612</v>
      </c>
      <c r="D1655" s="113">
        <v>41256</v>
      </c>
      <c r="E1655" s="84"/>
      <c r="F1655" s="84"/>
      <c r="G1655" s="229">
        <v>517.99</v>
      </c>
      <c r="H1655" s="71"/>
      <c r="I1655" s="71"/>
      <c r="J1655" s="238" t="s">
        <v>5290</v>
      </c>
      <c r="K1655" s="55"/>
      <c r="L1655" s="239"/>
      <c r="M1655" s="239"/>
      <c r="N1655" s="73"/>
      <c r="O1655" s="73"/>
      <c r="P1655" s="74"/>
      <c r="Q1655" s="75"/>
      <c r="R1655" s="230">
        <v>1963</v>
      </c>
      <c r="S1655" s="230">
        <v>4144</v>
      </c>
      <c r="T1655" s="230">
        <v>6107</v>
      </c>
      <c r="U1655" s="231"/>
      <c r="V1655" s="230"/>
      <c r="W1655" s="230"/>
      <c r="X1655" s="231"/>
      <c r="Y1655" s="85"/>
      <c r="Z1655" s="101">
        <v>0.1</v>
      </c>
      <c r="AA1655" s="102">
        <v>0.09</v>
      </c>
      <c r="AB1655" s="77"/>
      <c r="AC1655" s="78"/>
    </row>
    <row r="1656" spans="1:29" hidden="1" x14ac:dyDescent="0.2">
      <c r="A1656" s="117" t="s">
        <v>5322</v>
      </c>
      <c r="B1656" s="118" t="e">
        <f t="shared" si="178"/>
        <v>#VALUE!</v>
      </c>
      <c r="C1656" s="118" t="s">
        <v>612</v>
      </c>
      <c r="D1656" s="113">
        <v>41256</v>
      </c>
      <c r="E1656" s="84"/>
      <c r="F1656" s="84"/>
      <c r="G1656" s="229">
        <v>478.34</v>
      </c>
      <c r="H1656" s="71"/>
      <c r="I1656" s="71"/>
      <c r="J1656" s="238" t="s">
        <v>5290</v>
      </c>
      <c r="K1656" s="55"/>
      <c r="L1656" s="239"/>
      <c r="M1656" s="239"/>
      <c r="N1656" s="73"/>
      <c r="O1656" s="73"/>
      <c r="P1656" s="74"/>
      <c r="Q1656" s="75"/>
      <c r="R1656" s="230">
        <v>1826.5</v>
      </c>
      <c r="S1656" s="230">
        <v>4311</v>
      </c>
      <c r="T1656" s="230">
        <v>6137.5</v>
      </c>
      <c r="U1656" s="231"/>
      <c r="V1656" s="230"/>
      <c r="W1656" s="230"/>
      <c r="X1656" s="231"/>
      <c r="Y1656" s="85"/>
      <c r="Z1656" s="101">
        <v>0.1</v>
      </c>
      <c r="AA1656" s="102">
        <v>0.09</v>
      </c>
      <c r="AB1656" s="77"/>
      <c r="AC1656" s="78"/>
    </row>
    <row r="1657" spans="1:29" hidden="1" x14ac:dyDescent="0.2">
      <c r="A1657" s="117" t="s">
        <v>5323</v>
      </c>
      <c r="B1657" s="118" t="e">
        <f t="shared" si="178"/>
        <v>#VALUE!</v>
      </c>
      <c r="C1657" s="118" t="s">
        <v>612</v>
      </c>
      <c r="D1657" s="113">
        <v>41256</v>
      </c>
      <c r="E1657" s="84"/>
      <c r="F1657" s="84"/>
      <c r="G1657" s="229">
        <v>479.21</v>
      </c>
      <c r="H1657" s="71"/>
      <c r="I1657" s="71"/>
      <c r="J1657" s="238" t="s">
        <v>5290</v>
      </c>
      <c r="K1657" s="55"/>
      <c r="L1657" s="239"/>
      <c r="M1657" s="239"/>
      <c r="N1657" s="73"/>
      <c r="O1657" s="73"/>
      <c r="P1657" s="74"/>
      <c r="Q1657" s="75"/>
      <c r="R1657" s="230">
        <v>1830</v>
      </c>
      <c r="S1657" s="230">
        <v>3840</v>
      </c>
      <c r="T1657" s="230">
        <v>5670</v>
      </c>
      <c r="U1657" s="231"/>
      <c r="V1657" s="230"/>
      <c r="W1657" s="230"/>
      <c r="X1657" s="231"/>
      <c r="Y1657" s="85"/>
      <c r="Z1657" s="101">
        <v>0.1</v>
      </c>
      <c r="AA1657" s="102">
        <v>0.09</v>
      </c>
      <c r="AB1657" s="77"/>
      <c r="AC1657" s="78"/>
    </row>
    <row r="1658" spans="1:29" hidden="1" x14ac:dyDescent="0.2">
      <c r="A1658" s="117" t="s">
        <v>5324</v>
      </c>
      <c r="B1658" s="118" t="e">
        <f t="shared" si="178"/>
        <v>#VALUE!</v>
      </c>
      <c r="C1658" s="118" t="s">
        <v>612</v>
      </c>
      <c r="D1658" s="113">
        <v>41256</v>
      </c>
      <c r="E1658" s="84"/>
      <c r="F1658" s="84"/>
      <c r="G1658" s="229">
        <v>439.1</v>
      </c>
      <c r="H1658" s="71"/>
      <c r="I1658" s="71"/>
      <c r="J1658" s="238" t="s">
        <v>5290</v>
      </c>
      <c r="K1658" s="55"/>
      <c r="L1658" s="239"/>
      <c r="M1658" s="239"/>
      <c r="N1658" s="73"/>
      <c r="O1658" s="73"/>
      <c r="P1658" s="74"/>
      <c r="Q1658" s="75"/>
      <c r="R1658" s="230">
        <v>1690</v>
      </c>
      <c r="S1658" s="230">
        <v>3960</v>
      </c>
      <c r="T1658" s="230">
        <v>5650</v>
      </c>
      <c r="U1658" s="231"/>
      <c r="V1658" s="230"/>
      <c r="W1658" s="230"/>
      <c r="X1658" s="231"/>
      <c r="Y1658" s="85"/>
      <c r="Z1658" s="101">
        <v>0.1</v>
      </c>
      <c r="AA1658" s="102">
        <v>0.09</v>
      </c>
      <c r="AB1658" s="77"/>
      <c r="AC1658" s="78"/>
    </row>
    <row r="1659" spans="1:29" hidden="1" x14ac:dyDescent="0.2">
      <c r="A1659" s="117" t="s">
        <v>5325</v>
      </c>
      <c r="B1659" s="118" t="e">
        <f t="shared" si="178"/>
        <v>#VALUE!</v>
      </c>
      <c r="C1659" s="118" t="s">
        <v>612</v>
      </c>
      <c r="D1659" s="113">
        <v>41256</v>
      </c>
      <c r="E1659" s="84"/>
      <c r="F1659" s="84"/>
      <c r="G1659" s="229">
        <v>638.70000000000005</v>
      </c>
      <c r="H1659" s="71"/>
      <c r="I1659" s="71"/>
      <c r="J1659" s="238" t="s">
        <v>5290</v>
      </c>
      <c r="K1659" s="55"/>
      <c r="L1659" s="239"/>
      <c r="M1659" s="239"/>
      <c r="N1659" s="73"/>
      <c r="O1659" s="73"/>
      <c r="P1659" s="74"/>
      <c r="Q1659" s="75"/>
      <c r="R1659" s="230">
        <v>2386.5</v>
      </c>
      <c r="S1659" s="230">
        <v>5112</v>
      </c>
      <c r="T1659" s="230">
        <v>7498.5</v>
      </c>
      <c r="U1659" s="231"/>
      <c r="V1659" s="230"/>
      <c r="W1659" s="230"/>
      <c r="X1659" s="231"/>
      <c r="Y1659" s="85"/>
      <c r="Z1659" s="101">
        <v>0.1</v>
      </c>
      <c r="AA1659" s="102">
        <v>0.09</v>
      </c>
      <c r="AB1659" s="77"/>
      <c r="AC1659" s="78"/>
    </row>
    <row r="1660" spans="1:29" hidden="1" x14ac:dyDescent="0.2">
      <c r="A1660" s="117" t="s">
        <v>5326</v>
      </c>
      <c r="B1660" s="118" t="e">
        <f t="shared" si="178"/>
        <v>#VALUE!</v>
      </c>
      <c r="C1660" s="118" t="s">
        <v>612</v>
      </c>
      <c r="D1660" s="113">
        <v>41256</v>
      </c>
      <c r="E1660" s="84"/>
      <c r="F1660" s="84"/>
      <c r="G1660" s="229">
        <v>472.88</v>
      </c>
      <c r="H1660" s="71"/>
      <c r="I1660" s="71"/>
      <c r="J1660" s="238" t="s">
        <v>5290</v>
      </c>
      <c r="K1660" s="55"/>
      <c r="L1660" s="239"/>
      <c r="M1660" s="239"/>
      <c r="N1660" s="73"/>
      <c r="O1660" s="73"/>
      <c r="P1660" s="74"/>
      <c r="Q1660" s="75"/>
      <c r="R1660" s="230">
        <v>1805.5</v>
      </c>
      <c r="S1660" s="230">
        <v>4257</v>
      </c>
      <c r="T1660" s="230">
        <v>6062.5</v>
      </c>
      <c r="U1660" s="231"/>
      <c r="V1660" s="230"/>
      <c r="W1660" s="230"/>
      <c r="X1660" s="231"/>
      <c r="Y1660" s="85"/>
      <c r="Z1660" s="101">
        <v>0.1</v>
      </c>
      <c r="AA1660" s="102">
        <v>0.09</v>
      </c>
      <c r="AB1660" s="77"/>
      <c r="AC1660" s="78"/>
    </row>
    <row r="1661" spans="1:29" hidden="1" x14ac:dyDescent="0.2">
      <c r="A1661" s="117" t="s">
        <v>5327</v>
      </c>
      <c r="B1661" s="118" t="e">
        <f t="shared" si="178"/>
        <v>#VALUE!</v>
      </c>
      <c r="C1661" s="118" t="s">
        <v>612</v>
      </c>
      <c r="D1661" s="113">
        <v>41256</v>
      </c>
      <c r="E1661" s="84"/>
      <c r="F1661" s="84"/>
      <c r="G1661" s="229">
        <v>336.1</v>
      </c>
      <c r="H1661" s="71"/>
      <c r="I1661" s="71"/>
      <c r="J1661" s="238" t="s">
        <v>5290</v>
      </c>
      <c r="K1661" s="55"/>
      <c r="L1661" s="239"/>
      <c r="M1661" s="239"/>
      <c r="N1661" s="73"/>
      <c r="O1661" s="73"/>
      <c r="P1661" s="74"/>
      <c r="Q1661" s="75"/>
      <c r="R1661" s="230">
        <v>1329.5</v>
      </c>
      <c r="S1661" s="230">
        <v>3033</v>
      </c>
      <c r="T1661" s="230">
        <v>4362.5</v>
      </c>
      <c r="U1661" s="231"/>
      <c r="V1661" s="230"/>
      <c r="W1661" s="230"/>
      <c r="X1661" s="231"/>
      <c r="Y1661" s="85"/>
      <c r="Z1661" s="101">
        <v>0.1</v>
      </c>
      <c r="AA1661" s="102">
        <v>0.09</v>
      </c>
      <c r="AB1661" s="77"/>
      <c r="AC1661" s="78"/>
    </row>
    <row r="1662" spans="1:29" hidden="1" x14ac:dyDescent="0.2">
      <c r="A1662" s="117" t="s">
        <v>5328</v>
      </c>
      <c r="B1662" s="118" t="e">
        <f t="shared" si="178"/>
        <v>#VALUE!</v>
      </c>
      <c r="C1662" s="118" t="s">
        <v>612</v>
      </c>
      <c r="D1662" s="113">
        <v>41256</v>
      </c>
      <c r="E1662" s="84"/>
      <c r="F1662" s="84"/>
      <c r="G1662" s="229">
        <v>269.02999999999997</v>
      </c>
      <c r="H1662" s="71"/>
      <c r="I1662" s="71"/>
      <c r="J1662" s="238" t="s">
        <v>5290</v>
      </c>
      <c r="K1662" s="55"/>
      <c r="L1662" s="239"/>
      <c r="M1662" s="239"/>
      <c r="N1662" s="73"/>
      <c r="O1662" s="73"/>
      <c r="P1662" s="74"/>
      <c r="Q1662" s="75"/>
      <c r="R1662" s="230">
        <v>1095</v>
      </c>
      <c r="S1662" s="230">
        <v>2160</v>
      </c>
      <c r="T1662" s="230">
        <v>3255</v>
      </c>
      <c r="U1662" s="231"/>
      <c r="V1662" s="230"/>
      <c r="W1662" s="230"/>
      <c r="X1662" s="231"/>
      <c r="Y1662" s="85"/>
      <c r="Z1662" s="101">
        <v>0.1</v>
      </c>
      <c r="AA1662" s="102">
        <v>0.09</v>
      </c>
      <c r="AB1662" s="77"/>
      <c r="AC1662" s="78"/>
    </row>
    <row r="1663" spans="1:29" hidden="1" x14ac:dyDescent="0.2">
      <c r="A1663" s="117" t="s">
        <v>5329</v>
      </c>
      <c r="B1663" s="118" t="e">
        <f t="shared" si="178"/>
        <v>#VALUE!</v>
      </c>
      <c r="C1663" s="118" t="s">
        <v>612</v>
      </c>
      <c r="D1663" s="113">
        <v>41256</v>
      </c>
      <c r="E1663" s="84"/>
      <c r="F1663" s="84"/>
      <c r="G1663" s="229">
        <v>638.4</v>
      </c>
      <c r="H1663" s="71"/>
      <c r="I1663" s="71"/>
      <c r="J1663" s="238" t="s">
        <v>5290</v>
      </c>
      <c r="K1663" s="55"/>
      <c r="L1663" s="239"/>
      <c r="M1663" s="239"/>
      <c r="N1663" s="73"/>
      <c r="O1663" s="73"/>
      <c r="P1663" s="74"/>
      <c r="Q1663" s="75"/>
      <c r="R1663" s="230">
        <v>2386.5</v>
      </c>
      <c r="S1663" s="230">
        <v>5751</v>
      </c>
      <c r="T1663" s="230">
        <v>8137.5</v>
      </c>
      <c r="U1663" s="231"/>
      <c r="V1663" s="230"/>
      <c r="W1663" s="230"/>
      <c r="X1663" s="231"/>
      <c r="Y1663" s="85"/>
      <c r="Z1663" s="101">
        <v>0.1</v>
      </c>
      <c r="AA1663" s="102">
        <v>0.09</v>
      </c>
      <c r="AB1663" s="77"/>
      <c r="AC1663" s="78"/>
    </row>
    <row r="1664" spans="1:29" hidden="1" x14ac:dyDescent="0.2">
      <c r="A1664" s="117" t="s">
        <v>5330</v>
      </c>
      <c r="B1664" s="118" t="e">
        <f t="shared" si="178"/>
        <v>#VALUE!</v>
      </c>
      <c r="C1664" s="118" t="s">
        <v>612</v>
      </c>
      <c r="D1664" s="113">
        <v>41256</v>
      </c>
      <c r="E1664" s="84"/>
      <c r="F1664" s="84"/>
      <c r="G1664" s="229">
        <v>637.20000000000005</v>
      </c>
      <c r="H1664" s="71"/>
      <c r="I1664" s="71"/>
      <c r="J1664" s="238" t="s">
        <v>5290</v>
      </c>
      <c r="K1664" s="55"/>
      <c r="L1664" s="239"/>
      <c r="M1664" s="239"/>
      <c r="N1664" s="73"/>
      <c r="O1664" s="73"/>
      <c r="P1664" s="74"/>
      <c r="Q1664" s="75"/>
      <c r="R1664" s="230">
        <v>2383</v>
      </c>
      <c r="S1664" s="230">
        <v>5104</v>
      </c>
      <c r="T1664" s="230">
        <v>7487</v>
      </c>
      <c r="U1664" s="231"/>
      <c r="V1664" s="230"/>
      <c r="W1664" s="230"/>
      <c r="X1664" s="231"/>
      <c r="Y1664" s="85"/>
      <c r="Z1664" s="101">
        <v>0.1</v>
      </c>
      <c r="AA1664" s="102">
        <v>0.09</v>
      </c>
      <c r="AB1664" s="77"/>
      <c r="AC1664" s="78"/>
    </row>
    <row r="1665" spans="1:29" hidden="1" x14ac:dyDescent="0.2">
      <c r="A1665" s="117" t="s">
        <v>5331</v>
      </c>
      <c r="B1665" s="118" t="e">
        <f t="shared" si="178"/>
        <v>#VALUE!</v>
      </c>
      <c r="C1665" s="118" t="s">
        <v>612</v>
      </c>
      <c r="D1665" s="113">
        <v>41256</v>
      </c>
      <c r="E1665" s="84"/>
      <c r="F1665" s="84"/>
      <c r="G1665" s="229">
        <v>239.45</v>
      </c>
      <c r="H1665" s="71"/>
      <c r="I1665" s="71"/>
      <c r="J1665" s="238" t="s">
        <v>5290</v>
      </c>
      <c r="K1665" s="55"/>
      <c r="L1665" s="239"/>
      <c r="M1665" s="239"/>
      <c r="N1665" s="73"/>
      <c r="O1665" s="73"/>
      <c r="P1665" s="74"/>
      <c r="Q1665" s="75"/>
      <c r="R1665" s="230">
        <v>990</v>
      </c>
      <c r="S1665" s="230">
        <v>2160</v>
      </c>
      <c r="T1665" s="230">
        <v>3150</v>
      </c>
      <c r="U1665" s="231"/>
      <c r="V1665" s="230"/>
      <c r="W1665" s="230"/>
      <c r="X1665" s="231"/>
      <c r="Y1665" s="85"/>
      <c r="Z1665" s="101">
        <v>0.1</v>
      </c>
      <c r="AA1665" s="102">
        <v>0.09</v>
      </c>
      <c r="AB1665" s="77"/>
      <c r="AC1665" s="78"/>
    </row>
    <row r="1666" spans="1:29" hidden="1" x14ac:dyDescent="0.2">
      <c r="A1666" s="117" t="s">
        <v>5332</v>
      </c>
      <c r="B1666" s="118" t="e">
        <f t="shared" si="178"/>
        <v>#VALUE!</v>
      </c>
      <c r="C1666" s="118" t="s">
        <v>612</v>
      </c>
      <c r="D1666" s="113">
        <v>41256</v>
      </c>
      <c r="E1666" s="84"/>
      <c r="F1666" s="84"/>
      <c r="G1666" s="229">
        <v>91.69</v>
      </c>
      <c r="H1666" s="71"/>
      <c r="I1666" s="71"/>
      <c r="J1666" s="238" t="s">
        <v>5290</v>
      </c>
      <c r="K1666" s="55"/>
      <c r="L1666" s="239"/>
      <c r="M1666" s="239"/>
      <c r="N1666" s="73"/>
      <c r="O1666" s="73"/>
      <c r="P1666" s="74"/>
      <c r="Q1666" s="75"/>
      <c r="R1666" s="230">
        <v>472</v>
      </c>
      <c r="S1666" s="230">
        <v>736</v>
      </c>
      <c r="T1666" s="230">
        <v>1208</v>
      </c>
      <c r="U1666" s="231"/>
      <c r="V1666" s="230"/>
      <c r="W1666" s="230"/>
      <c r="X1666" s="231"/>
      <c r="Y1666" s="85"/>
      <c r="Z1666" s="101">
        <v>0.1</v>
      </c>
      <c r="AA1666" s="102">
        <v>0.09</v>
      </c>
      <c r="AB1666" s="77"/>
      <c r="AC1666" s="78"/>
    </row>
    <row r="1667" spans="1:29" hidden="1" x14ac:dyDescent="0.2">
      <c r="A1667" s="117" t="s">
        <v>5333</v>
      </c>
      <c r="B1667" s="118" t="e">
        <f t="shared" si="178"/>
        <v>#VALUE!</v>
      </c>
      <c r="C1667" s="118" t="s">
        <v>612</v>
      </c>
      <c r="D1667" s="113">
        <v>41256</v>
      </c>
      <c r="E1667" s="84"/>
      <c r="F1667" s="84"/>
      <c r="G1667" s="229">
        <v>393.62</v>
      </c>
      <c r="H1667" s="71"/>
      <c r="I1667" s="71"/>
      <c r="J1667" s="238" t="s">
        <v>5290</v>
      </c>
      <c r="K1667" s="55"/>
      <c r="L1667" s="239"/>
      <c r="M1667" s="239"/>
      <c r="N1667" s="73"/>
      <c r="O1667" s="73"/>
      <c r="P1667" s="74"/>
      <c r="Q1667" s="75"/>
      <c r="R1667" s="230">
        <v>1529</v>
      </c>
      <c r="S1667" s="230">
        <v>3546</v>
      </c>
      <c r="T1667" s="230">
        <v>5075</v>
      </c>
      <c r="U1667" s="231"/>
      <c r="V1667" s="230"/>
      <c r="W1667" s="230"/>
      <c r="X1667" s="231"/>
      <c r="Y1667" s="85"/>
      <c r="Z1667" s="101">
        <v>0.1</v>
      </c>
      <c r="AA1667" s="102">
        <v>0.09</v>
      </c>
      <c r="AB1667" s="77"/>
      <c r="AC1667" s="78"/>
    </row>
    <row r="1668" spans="1:29" hidden="1" x14ac:dyDescent="0.2">
      <c r="A1668" s="117" t="s">
        <v>5334</v>
      </c>
      <c r="B1668" s="118" t="e">
        <f t="shared" si="178"/>
        <v>#VALUE!</v>
      </c>
      <c r="C1668" s="118" t="s">
        <v>612</v>
      </c>
      <c r="D1668" s="113">
        <v>41256</v>
      </c>
      <c r="E1668" s="84"/>
      <c r="F1668" s="84"/>
      <c r="G1668" s="229">
        <v>633.97</v>
      </c>
      <c r="H1668" s="71"/>
      <c r="I1668" s="71"/>
      <c r="J1668" s="238" t="s">
        <v>5290</v>
      </c>
      <c r="K1668" s="55"/>
      <c r="L1668" s="239"/>
      <c r="M1668" s="239"/>
      <c r="N1668" s="73"/>
      <c r="O1668" s="73"/>
      <c r="P1668" s="74"/>
      <c r="Q1668" s="75"/>
      <c r="R1668" s="230">
        <v>2369</v>
      </c>
      <c r="S1668" s="230">
        <v>5072</v>
      </c>
      <c r="T1668" s="230">
        <v>7441</v>
      </c>
      <c r="U1668" s="231"/>
      <c r="V1668" s="230"/>
      <c r="W1668" s="230"/>
      <c r="X1668" s="231"/>
      <c r="Y1668" s="85"/>
      <c r="Z1668" s="101">
        <v>0.1</v>
      </c>
      <c r="AA1668" s="102">
        <v>0.09</v>
      </c>
      <c r="AB1668" s="77"/>
      <c r="AC1668" s="78"/>
    </row>
    <row r="1669" spans="1:29" hidden="1" x14ac:dyDescent="0.2">
      <c r="A1669" s="117" t="s">
        <v>5335</v>
      </c>
      <c r="B1669" s="118" t="e">
        <f t="shared" si="178"/>
        <v>#VALUE!</v>
      </c>
      <c r="C1669" s="118" t="s">
        <v>612</v>
      </c>
      <c r="D1669" s="113">
        <v>41256</v>
      </c>
      <c r="E1669" s="84"/>
      <c r="F1669" s="84"/>
      <c r="G1669" s="229">
        <v>639.08000000000004</v>
      </c>
      <c r="H1669" s="71"/>
      <c r="I1669" s="71"/>
      <c r="J1669" s="238" t="s">
        <v>5290</v>
      </c>
      <c r="K1669" s="55"/>
      <c r="L1669" s="239"/>
      <c r="M1669" s="239"/>
      <c r="N1669" s="73"/>
      <c r="O1669" s="73"/>
      <c r="P1669" s="74"/>
      <c r="Q1669" s="75"/>
      <c r="R1669" s="230">
        <v>2390</v>
      </c>
      <c r="S1669" s="230">
        <v>5760</v>
      </c>
      <c r="T1669" s="230">
        <v>8150</v>
      </c>
      <c r="U1669" s="231"/>
      <c r="V1669" s="230"/>
      <c r="W1669" s="230"/>
      <c r="X1669" s="231"/>
      <c r="Y1669" s="85"/>
      <c r="Z1669" s="101">
        <v>0.1</v>
      </c>
      <c r="AA1669" s="102">
        <v>0.09</v>
      </c>
      <c r="AB1669" s="77"/>
      <c r="AC1669" s="78"/>
    </row>
    <row r="1670" spans="1:29" hidden="1" x14ac:dyDescent="0.2">
      <c r="A1670" s="117" t="s">
        <v>5336</v>
      </c>
      <c r="B1670" s="118" t="e">
        <f t="shared" si="178"/>
        <v>#VALUE!</v>
      </c>
      <c r="C1670" s="118" t="s">
        <v>612</v>
      </c>
      <c r="D1670" s="113">
        <v>41256</v>
      </c>
      <c r="E1670" s="84"/>
      <c r="F1670" s="84"/>
      <c r="G1670" s="229">
        <v>638.72</v>
      </c>
      <c r="H1670" s="71"/>
      <c r="I1670" s="71"/>
      <c r="J1670" s="238" t="s">
        <v>5290</v>
      </c>
      <c r="K1670" s="55"/>
      <c r="L1670" s="239"/>
      <c r="M1670" s="239"/>
      <c r="N1670" s="73"/>
      <c r="O1670" s="73"/>
      <c r="P1670" s="74"/>
      <c r="Q1670" s="75"/>
      <c r="R1670" s="230">
        <v>2386.5</v>
      </c>
      <c r="S1670" s="230">
        <v>5112</v>
      </c>
      <c r="T1670" s="230">
        <v>7498.5</v>
      </c>
      <c r="U1670" s="231"/>
      <c r="V1670" s="230"/>
      <c r="W1670" s="230"/>
      <c r="X1670" s="231"/>
      <c r="Y1670" s="85"/>
      <c r="Z1670" s="101">
        <v>0.1</v>
      </c>
      <c r="AA1670" s="102">
        <v>0.09</v>
      </c>
      <c r="AB1670" s="77"/>
      <c r="AC1670" s="78"/>
    </row>
    <row r="1671" spans="1:29" hidden="1" x14ac:dyDescent="0.2">
      <c r="A1671" s="117" t="s">
        <v>5337</v>
      </c>
      <c r="B1671" s="118" t="e">
        <f t="shared" si="178"/>
        <v>#VALUE!</v>
      </c>
      <c r="C1671" s="118" t="s">
        <v>612</v>
      </c>
      <c r="D1671" s="113">
        <v>41256</v>
      </c>
      <c r="E1671" s="84"/>
      <c r="F1671" s="84"/>
      <c r="G1671" s="229">
        <v>638.08000000000004</v>
      </c>
      <c r="H1671" s="71"/>
      <c r="I1671" s="71"/>
      <c r="J1671" s="238" t="s">
        <v>5290</v>
      </c>
      <c r="K1671" s="55"/>
      <c r="L1671" s="239"/>
      <c r="M1671" s="239"/>
      <c r="N1671" s="73"/>
      <c r="O1671" s="73"/>
      <c r="P1671" s="74"/>
      <c r="Q1671" s="75"/>
      <c r="R1671" s="230">
        <v>2386.5</v>
      </c>
      <c r="S1671" s="230">
        <v>5751</v>
      </c>
      <c r="T1671" s="230">
        <v>8137.5</v>
      </c>
      <c r="U1671" s="231"/>
      <c r="V1671" s="230"/>
      <c r="W1671" s="230"/>
      <c r="X1671" s="231"/>
      <c r="Y1671" s="85"/>
      <c r="Z1671" s="101">
        <v>0.1</v>
      </c>
      <c r="AA1671" s="102">
        <v>0.09</v>
      </c>
      <c r="AB1671" s="77"/>
      <c r="AC1671" s="78"/>
    </row>
    <row r="1672" spans="1:29" hidden="1" x14ac:dyDescent="0.2">
      <c r="A1672" s="117" t="s">
        <v>5338</v>
      </c>
      <c r="B1672" s="118" t="e">
        <f t="shared" si="178"/>
        <v>#VALUE!</v>
      </c>
      <c r="C1672" s="118" t="s">
        <v>612</v>
      </c>
      <c r="D1672" s="113">
        <v>41256</v>
      </c>
      <c r="E1672" s="84"/>
      <c r="F1672" s="84"/>
      <c r="G1672" s="229">
        <v>638.74</v>
      </c>
      <c r="H1672" s="71"/>
      <c r="I1672" s="71"/>
      <c r="J1672" s="238" t="s">
        <v>5290</v>
      </c>
      <c r="K1672" s="55"/>
      <c r="L1672" s="239"/>
      <c r="M1672" s="239"/>
      <c r="N1672" s="73"/>
      <c r="O1672" s="73"/>
      <c r="P1672" s="74"/>
      <c r="Q1672" s="75"/>
      <c r="R1672" s="230">
        <v>2386.5</v>
      </c>
      <c r="S1672" s="230">
        <v>5751</v>
      </c>
      <c r="T1672" s="230">
        <v>8137.5</v>
      </c>
      <c r="U1672" s="231"/>
      <c r="V1672" s="230"/>
      <c r="W1672" s="230"/>
      <c r="X1672" s="231"/>
      <c r="Y1672" s="85"/>
      <c r="Z1672" s="101">
        <v>0.1</v>
      </c>
      <c r="AA1672" s="102">
        <v>0.09</v>
      </c>
      <c r="AB1672" s="77"/>
      <c r="AC1672" s="78"/>
    </row>
    <row r="1673" spans="1:29" hidden="1" x14ac:dyDescent="0.2">
      <c r="A1673" s="117" t="s">
        <v>5339</v>
      </c>
      <c r="B1673" s="118" t="e">
        <f t="shared" si="178"/>
        <v>#VALUE!</v>
      </c>
      <c r="C1673" s="118" t="s">
        <v>612</v>
      </c>
      <c r="D1673" s="113">
        <v>41256</v>
      </c>
      <c r="E1673" s="84"/>
      <c r="F1673" s="84"/>
      <c r="G1673" s="229">
        <v>639.64</v>
      </c>
      <c r="H1673" s="71"/>
      <c r="I1673" s="71"/>
      <c r="J1673" s="238" t="s">
        <v>5290</v>
      </c>
      <c r="K1673" s="55"/>
      <c r="L1673" s="239"/>
      <c r="M1673" s="239"/>
      <c r="N1673" s="73"/>
      <c r="O1673" s="73"/>
      <c r="P1673" s="74"/>
      <c r="Q1673" s="75"/>
      <c r="R1673" s="230">
        <v>2390</v>
      </c>
      <c r="S1673" s="230">
        <v>5120</v>
      </c>
      <c r="T1673" s="230">
        <v>7510</v>
      </c>
      <c r="U1673" s="231"/>
      <c r="V1673" s="230"/>
      <c r="W1673" s="230"/>
      <c r="X1673" s="231"/>
      <c r="Y1673" s="85"/>
      <c r="Z1673" s="101">
        <v>0.1</v>
      </c>
      <c r="AA1673" s="102">
        <v>0.09</v>
      </c>
      <c r="AB1673" s="77"/>
      <c r="AC1673" s="78"/>
    </row>
    <row r="1674" spans="1:29" hidden="1" x14ac:dyDescent="0.2">
      <c r="A1674" s="117" t="s">
        <v>5340</v>
      </c>
      <c r="B1674" s="118" t="e">
        <f t="shared" si="178"/>
        <v>#VALUE!</v>
      </c>
      <c r="C1674" s="118" t="s">
        <v>612</v>
      </c>
      <c r="D1674" s="113">
        <v>41256</v>
      </c>
      <c r="E1674" s="84"/>
      <c r="F1674" s="84"/>
      <c r="G1674" s="229">
        <v>637.24</v>
      </c>
      <c r="H1674" s="71"/>
      <c r="I1674" s="71"/>
      <c r="J1674" s="238" t="s">
        <v>5290</v>
      </c>
      <c r="K1674" s="55"/>
      <c r="L1674" s="239"/>
      <c r="M1674" s="239"/>
      <c r="N1674" s="73"/>
      <c r="O1674" s="73"/>
      <c r="P1674" s="74"/>
      <c r="Q1674" s="75"/>
      <c r="R1674" s="230">
        <v>2383</v>
      </c>
      <c r="S1674" s="230">
        <v>5742</v>
      </c>
      <c r="T1674" s="230">
        <v>8125</v>
      </c>
      <c r="U1674" s="231"/>
      <c r="V1674" s="230"/>
      <c r="W1674" s="230"/>
      <c r="X1674" s="231"/>
      <c r="Y1674" s="85"/>
      <c r="Z1674" s="101">
        <v>0.1</v>
      </c>
      <c r="AA1674" s="102">
        <v>0.09</v>
      </c>
      <c r="AB1674" s="77"/>
      <c r="AC1674" s="78"/>
    </row>
    <row r="1675" spans="1:29" hidden="1" x14ac:dyDescent="0.2">
      <c r="A1675" s="117" t="s">
        <v>5341</v>
      </c>
      <c r="B1675" s="118" t="e">
        <f t="shared" si="178"/>
        <v>#VALUE!</v>
      </c>
      <c r="C1675" s="118" t="s">
        <v>612</v>
      </c>
      <c r="D1675" s="113">
        <v>41256</v>
      </c>
      <c r="E1675" s="84"/>
      <c r="F1675" s="84"/>
      <c r="G1675" s="229">
        <v>637.44000000000005</v>
      </c>
      <c r="H1675" s="71"/>
      <c r="I1675" s="71"/>
      <c r="J1675" s="238" t="s">
        <v>5290</v>
      </c>
      <c r="K1675" s="55"/>
      <c r="L1675" s="239"/>
      <c r="M1675" s="239"/>
      <c r="N1675" s="73"/>
      <c r="O1675" s="73"/>
      <c r="P1675" s="74"/>
      <c r="Q1675" s="75"/>
      <c r="R1675" s="230">
        <v>2383</v>
      </c>
      <c r="S1675" s="230">
        <v>5742</v>
      </c>
      <c r="T1675" s="230">
        <v>8125</v>
      </c>
      <c r="U1675" s="231"/>
      <c r="V1675" s="230"/>
      <c r="W1675" s="230"/>
      <c r="X1675" s="231"/>
      <c r="Y1675" s="85"/>
      <c r="Z1675" s="101">
        <v>0.1</v>
      </c>
      <c r="AA1675" s="102">
        <v>0.09</v>
      </c>
      <c r="AB1675" s="77"/>
      <c r="AC1675" s="78"/>
    </row>
    <row r="1676" spans="1:29" hidden="1" x14ac:dyDescent="0.2">
      <c r="A1676" s="117" t="s">
        <v>5342</v>
      </c>
      <c r="B1676" s="118" t="e">
        <f t="shared" si="178"/>
        <v>#VALUE!</v>
      </c>
      <c r="C1676" s="118" t="s">
        <v>612</v>
      </c>
      <c r="D1676" s="113">
        <v>41256</v>
      </c>
      <c r="E1676" s="84"/>
      <c r="F1676" s="84"/>
      <c r="G1676" s="229">
        <v>638</v>
      </c>
      <c r="H1676" s="71"/>
      <c r="I1676" s="71"/>
      <c r="J1676" s="238" t="s">
        <v>5290</v>
      </c>
      <c r="K1676" s="55"/>
      <c r="L1676" s="239"/>
      <c r="M1676" s="239"/>
      <c r="N1676" s="73"/>
      <c r="O1676" s="73"/>
      <c r="P1676" s="74"/>
      <c r="Q1676" s="75"/>
      <c r="R1676" s="230">
        <v>2383</v>
      </c>
      <c r="S1676" s="230">
        <v>5104</v>
      </c>
      <c r="T1676" s="230">
        <v>7487</v>
      </c>
      <c r="U1676" s="231"/>
      <c r="V1676" s="230"/>
      <c r="W1676" s="230"/>
      <c r="X1676" s="231"/>
      <c r="Y1676" s="85"/>
      <c r="Z1676" s="101">
        <v>0.1</v>
      </c>
      <c r="AA1676" s="102">
        <v>0.09</v>
      </c>
      <c r="AB1676" s="77"/>
      <c r="AC1676" s="78"/>
    </row>
    <row r="1677" spans="1:29" hidden="1" x14ac:dyDescent="0.2">
      <c r="A1677" s="117" t="s">
        <v>5343</v>
      </c>
      <c r="B1677" s="118" t="e">
        <f t="shared" si="178"/>
        <v>#VALUE!</v>
      </c>
      <c r="C1677" s="118" t="s">
        <v>612</v>
      </c>
      <c r="D1677" s="113">
        <v>41256</v>
      </c>
      <c r="E1677" s="84"/>
      <c r="F1677" s="84"/>
      <c r="G1677" s="229">
        <v>637.44000000000005</v>
      </c>
      <c r="H1677" s="71"/>
      <c r="I1677" s="71"/>
      <c r="J1677" s="238" t="s">
        <v>5290</v>
      </c>
      <c r="K1677" s="55"/>
      <c r="L1677" s="239"/>
      <c r="M1677" s="239"/>
      <c r="N1677" s="73"/>
      <c r="O1677" s="73"/>
      <c r="P1677" s="74"/>
      <c r="Q1677" s="75"/>
      <c r="R1677" s="230">
        <v>2383</v>
      </c>
      <c r="S1677" s="230">
        <v>5742</v>
      </c>
      <c r="T1677" s="230">
        <v>8125</v>
      </c>
      <c r="U1677" s="231"/>
      <c r="V1677" s="230"/>
      <c r="W1677" s="230"/>
      <c r="X1677" s="231"/>
      <c r="Y1677" s="85"/>
      <c r="Z1677" s="101">
        <v>0.1</v>
      </c>
      <c r="AA1677" s="102">
        <v>0.09</v>
      </c>
      <c r="AB1677" s="77"/>
      <c r="AC1677" s="78"/>
    </row>
    <row r="1678" spans="1:29" hidden="1" x14ac:dyDescent="0.2">
      <c r="A1678" s="117" t="s">
        <v>5344</v>
      </c>
      <c r="B1678" s="118" t="e">
        <f t="shared" si="178"/>
        <v>#VALUE!</v>
      </c>
      <c r="C1678" s="118" t="s">
        <v>612</v>
      </c>
      <c r="D1678" s="113">
        <v>41256</v>
      </c>
      <c r="E1678" s="84"/>
      <c r="F1678" s="84"/>
      <c r="G1678" s="229">
        <v>636.96</v>
      </c>
      <c r="H1678" s="71"/>
      <c r="I1678" s="71"/>
      <c r="J1678" s="238" t="s">
        <v>5290</v>
      </c>
      <c r="K1678" s="55"/>
      <c r="L1678" s="239"/>
      <c r="M1678" s="239"/>
      <c r="N1678" s="73"/>
      <c r="O1678" s="73"/>
      <c r="P1678" s="74"/>
      <c r="Q1678" s="75"/>
      <c r="R1678" s="230">
        <v>2379.5</v>
      </c>
      <c r="S1678" s="230">
        <v>5096</v>
      </c>
      <c r="T1678" s="230">
        <v>7475.5</v>
      </c>
      <c r="U1678" s="231"/>
      <c r="V1678" s="230"/>
      <c r="W1678" s="230"/>
      <c r="X1678" s="231"/>
      <c r="Y1678" s="85"/>
      <c r="Z1678" s="101">
        <v>0.1</v>
      </c>
      <c r="AA1678" s="102">
        <v>0.09</v>
      </c>
      <c r="AB1678" s="77"/>
      <c r="AC1678" s="78"/>
    </row>
    <row r="1679" spans="1:29" ht="15" hidden="1" customHeight="1" thickBot="1" x14ac:dyDescent="0.25">
      <c r="A1679" s="117"/>
      <c r="D1679" s="113"/>
      <c r="E1679" s="84"/>
      <c r="F1679" s="84"/>
      <c r="G1679" s="229"/>
      <c r="H1679" s="71"/>
      <c r="I1679" s="71"/>
      <c r="J1679" s="79"/>
      <c r="K1679" s="79"/>
      <c r="L1679" s="80"/>
      <c r="M1679" s="80"/>
      <c r="N1679" s="73"/>
      <c r="O1679" s="73"/>
      <c r="P1679" s="74"/>
      <c r="Q1679" s="75"/>
      <c r="R1679" s="241">
        <v>83062</v>
      </c>
      <c r="S1679" s="241">
        <v>182363</v>
      </c>
      <c r="T1679" s="241">
        <v>265425</v>
      </c>
      <c r="U1679" s="231"/>
      <c r="V1679" s="230"/>
      <c r="W1679" s="230"/>
      <c r="X1679" s="231"/>
      <c r="Y1679" s="85"/>
      <c r="Z1679" s="110"/>
      <c r="AA1679" s="111"/>
      <c r="AB1679" s="77"/>
      <c r="AC1679" s="78"/>
    </row>
    <row r="1680" spans="1:29" hidden="1" x14ac:dyDescent="0.2">
      <c r="A1680" s="117"/>
      <c r="D1680" s="71"/>
      <c r="E1680" s="78"/>
      <c r="F1680" s="84"/>
      <c r="G1680" s="229"/>
      <c r="H1680" s="71"/>
      <c r="I1680" s="71"/>
      <c r="J1680" s="79"/>
      <c r="K1680" s="79"/>
      <c r="L1680" s="80"/>
      <c r="M1680" s="80"/>
      <c r="N1680" s="73"/>
      <c r="O1680" s="73"/>
      <c r="P1680" s="74"/>
      <c r="Q1680" s="75"/>
      <c r="R1680" s="230"/>
      <c r="S1680" s="230"/>
      <c r="T1680" s="230"/>
      <c r="U1680" s="231"/>
      <c r="V1680" s="230"/>
      <c r="W1680" s="230"/>
      <c r="X1680" s="231"/>
      <c r="Y1680" s="85"/>
      <c r="Z1680" s="85"/>
      <c r="AA1680" s="76"/>
      <c r="AB1680" s="77"/>
      <c r="AC1680" s="78"/>
    </row>
    <row r="1681" spans="1:29" x14ac:dyDescent="0.2">
      <c r="A1681" s="117" t="s">
        <v>5345</v>
      </c>
      <c r="B1681" s="118" t="e">
        <f>IF(COUNTIF(GIS,A1681),"YES","NO")</f>
        <v>#VALUE!</v>
      </c>
      <c r="C1681" s="118" t="s">
        <v>612</v>
      </c>
      <c r="D1681" s="113">
        <v>41199</v>
      </c>
      <c r="E1681" s="84">
        <v>41275</v>
      </c>
      <c r="F1681" s="84">
        <f>DATE(YEAR(E1681)+10,MONTH(E1681),DAY(E1681))</f>
        <v>44927</v>
      </c>
      <c r="G1681" s="229">
        <v>240</v>
      </c>
      <c r="H1681" s="71" t="s">
        <v>1540</v>
      </c>
      <c r="I1681" s="71" t="s">
        <v>1147</v>
      </c>
      <c r="J1681" s="79"/>
      <c r="K1681" s="55">
        <f>YEAR(F1681)</f>
        <v>2023</v>
      </c>
      <c r="L1681" s="80"/>
      <c r="M1681" s="80"/>
      <c r="N1681" s="73" t="s">
        <v>5346</v>
      </c>
      <c r="O1681" s="73" t="s">
        <v>5347</v>
      </c>
      <c r="P1681" s="74"/>
      <c r="Q1681" s="75" t="s">
        <v>5348</v>
      </c>
      <c r="R1681" s="230">
        <v>990</v>
      </c>
      <c r="S1681" s="230">
        <v>95520</v>
      </c>
      <c r="T1681" s="230">
        <v>96510</v>
      </c>
      <c r="U1681" s="231">
        <v>360</v>
      </c>
      <c r="V1681" s="230"/>
      <c r="W1681" s="230"/>
      <c r="X1681" s="231"/>
      <c r="Y1681" s="85"/>
      <c r="Z1681" s="101">
        <v>0.1</v>
      </c>
      <c r="AA1681" s="102">
        <v>0.09</v>
      </c>
      <c r="AB1681" s="77"/>
      <c r="AC1681" s="78"/>
    </row>
    <row r="1682" spans="1:29" hidden="1" x14ac:dyDescent="0.2">
      <c r="A1682" s="117"/>
      <c r="D1682" s="71"/>
      <c r="E1682" s="78"/>
      <c r="F1682" s="84"/>
      <c r="G1682" s="229"/>
      <c r="H1682" s="71"/>
      <c r="I1682" s="71"/>
      <c r="J1682" s="79"/>
      <c r="K1682" s="79"/>
      <c r="L1682" s="80"/>
      <c r="M1682" s="80"/>
      <c r="N1682" s="73"/>
      <c r="O1682" s="73"/>
      <c r="P1682" s="74"/>
      <c r="Q1682" s="75"/>
      <c r="R1682" s="230"/>
      <c r="S1682" s="230"/>
      <c r="T1682" s="230"/>
      <c r="U1682" s="231"/>
      <c r="V1682" s="230"/>
      <c r="W1682" s="230"/>
      <c r="X1682" s="231"/>
      <c r="Y1682" s="85"/>
      <c r="Z1682" s="85"/>
      <c r="AA1682" s="76"/>
      <c r="AB1682" s="77"/>
      <c r="AC1682" s="78"/>
    </row>
    <row r="1683" spans="1:29" x14ac:dyDescent="0.2">
      <c r="A1683" s="117" t="s">
        <v>5349</v>
      </c>
      <c r="B1683" s="118" t="e">
        <f t="shared" ref="B1683:B1695" si="179">IF(COUNTIF(GIS,A1683),"YES","NO")</f>
        <v>#VALUE!</v>
      </c>
      <c r="C1683" s="118" t="s">
        <v>612</v>
      </c>
      <c r="D1683" s="113">
        <v>41290</v>
      </c>
      <c r="E1683" s="84">
        <v>41365</v>
      </c>
      <c r="F1683" s="84">
        <f t="shared" ref="F1683:F1695" si="180">DATE(YEAR(E1683)+10,MONTH(E1683),DAY(E1683))</f>
        <v>45017</v>
      </c>
      <c r="G1683" s="229">
        <v>640</v>
      </c>
      <c r="H1683" s="71" t="s">
        <v>1534</v>
      </c>
      <c r="I1683" s="71" t="s">
        <v>1147</v>
      </c>
      <c r="J1683" s="79"/>
      <c r="K1683" s="55">
        <f t="shared" ref="K1683:K1695" si="181">YEAR(F1683)</f>
        <v>2023</v>
      </c>
      <c r="L1683" s="80"/>
      <c r="M1683" s="80"/>
      <c r="N1683" s="73" t="s">
        <v>5350</v>
      </c>
      <c r="O1683" s="73" t="s">
        <v>5351</v>
      </c>
      <c r="P1683" s="74"/>
      <c r="Q1683" s="75" t="s">
        <v>5352</v>
      </c>
      <c r="R1683" s="230">
        <v>2390</v>
      </c>
      <c r="S1683" s="230">
        <v>81920</v>
      </c>
      <c r="T1683" s="230">
        <v>84310</v>
      </c>
      <c r="U1683" s="231">
        <v>960</v>
      </c>
      <c r="V1683" s="230"/>
      <c r="W1683" s="230"/>
      <c r="X1683" s="231"/>
      <c r="Y1683" s="85"/>
      <c r="Z1683" s="101">
        <v>0.1</v>
      </c>
      <c r="AA1683" s="102">
        <v>0.09</v>
      </c>
      <c r="AB1683" s="77"/>
      <c r="AC1683" s="78"/>
    </row>
    <row r="1684" spans="1:29" x14ac:dyDescent="0.2">
      <c r="A1684" s="117" t="s">
        <v>5353</v>
      </c>
      <c r="B1684" s="118" t="e">
        <f t="shared" si="179"/>
        <v>#VALUE!</v>
      </c>
      <c r="C1684" s="118" t="s">
        <v>612</v>
      </c>
      <c r="D1684" s="113">
        <v>41290</v>
      </c>
      <c r="E1684" s="84">
        <v>41365</v>
      </c>
      <c r="F1684" s="84">
        <f t="shared" si="180"/>
        <v>45017</v>
      </c>
      <c r="G1684" s="229">
        <v>637.4</v>
      </c>
      <c r="H1684" s="71" t="s">
        <v>1553</v>
      </c>
      <c r="I1684" s="71" t="s">
        <v>1147</v>
      </c>
      <c r="J1684" s="79"/>
      <c r="K1684" s="55">
        <f t="shared" si="181"/>
        <v>2023</v>
      </c>
      <c r="L1684" s="80"/>
      <c r="M1684" s="80"/>
      <c r="N1684" s="73" t="s">
        <v>5354</v>
      </c>
      <c r="O1684" s="73" t="s">
        <v>5355</v>
      </c>
      <c r="P1684" s="74"/>
      <c r="Q1684" s="75" t="s">
        <v>5356</v>
      </c>
      <c r="R1684" s="230">
        <v>2383</v>
      </c>
      <c r="S1684" s="230">
        <v>43384</v>
      </c>
      <c r="T1684" s="230">
        <v>45767</v>
      </c>
      <c r="U1684" s="231">
        <v>957</v>
      </c>
      <c r="V1684" s="230"/>
      <c r="W1684" s="230"/>
      <c r="X1684" s="231"/>
      <c r="Y1684" s="85"/>
      <c r="Z1684" s="101">
        <v>0.1</v>
      </c>
      <c r="AA1684" s="102">
        <v>0.09</v>
      </c>
      <c r="AB1684" s="77"/>
      <c r="AC1684" s="78"/>
    </row>
    <row r="1685" spans="1:29" x14ac:dyDescent="0.2">
      <c r="A1685" s="117" t="s">
        <v>5357</v>
      </c>
      <c r="B1685" s="118" t="e">
        <f t="shared" si="179"/>
        <v>#VALUE!</v>
      </c>
      <c r="C1685" s="118" t="s">
        <v>612</v>
      </c>
      <c r="D1685" s="113">
        <v>41290</v>
      </c>
      <c r="E1685" s="84">
        <v>41365</v>
      </c>
      <c r="F1685" s="84">
        <f t="shared" si="180"/>
        <v>45017</v>
      </c>
      <c r="G1685" s="229">
        <v>160</v>
      </c>
      <c r="H1685" s="71" t="s">
        <v>1157</v>
      </c>
      <c r="I1685" s="71" t="s">
        <v>1147</v>
      </c>
      <c r="J1685" s="79"/>
      <c r="K1685" s="55">
        <f t="shared" si="181"/>
        <v>2023</v>
      </c>
      <c r="L1685" s="80"/>
      <c r="M1685" s="80"/>
      <c r="N1685" s="73" t="s">
        <v>5358</v>
      </c>
      <c r="O1685" s="73" t="s">
        <v>5359</v>
      </c>
      <c r="P1685" s="74"/>
      <c r="Q1685" s="75" t="s">
        <v>5360</v>
      </c>
      <c r="R1685" s="230">
        <v>710</v>
      </c>
      <c r="S1685" s="230">
        <v>49280</v>
      </c>
      <c r="T1685" s="230">
        <v>49990</v>
      </c>
      <c r="U1685" s="231">
        <v>240</v>
      </c>
      <c r="V1685" s="230"/>
      <c r="W1685" s="230"/>
      <c r="X1685" s="231"/>
      <c r="Y1685" s="85"/>
      <c r="Z1685" s="101">
        <v>0.1</v>
      </c>
      <c r="AA1685" s="102">
        <v>0.09</v>
      </c>
      <c r="AB1685" s="77"/>
      <c r="AC1685" s="78"/>
    </row>
    <row r="1686" spans="1:29" ht="27" customHeight="1" x14ac:dyDescent="0.2">
      <c r="A1686" s="117" t="s">
        <v>5361</v>
      </c>
      <c r="B1686" s="118" t="e">
        <f t="shared" si="179"/>
        <v>#VALUE!</v>
      </c>
      <c r="C1686" s="118" t="s">
        <v>612</v>
      </c>
      <c r="D1686" s="113">
        <v>41290</v>
      </c>
      <c r="E1686" s="84">
        <v>41365</v>
      </c>
      <c r="F1686" s="84">
        <f t="shared" si="180"/>
        <v>45017</v>
      </c>
      <c r="G1686" s="229">
        <v>177.77</v>
      </c>
      <c r="H1686" s="71" t="s">
        <v>5362</v>
      </c>
      <c r="I1686" s="71" t="s">
        <v>614</v>
      </c>
      <c r="J1686" s="79"/>
      <c r="K1686" s="55">
        <f t="shared" si="181"/>
        <v>2023</v>
      </c>
      <c r="L1686" s="80"/>
      <c r="M1686" s="80"/>
      <c r="N1686" s="73" t="s">
        <v>5363</v>
      </c>
      <c r="O1686" s="73" t="s">
        <v>5364</v>
      </c>
      <c r="P1686" s="74"/>
      <c r="Q1686" s="75" t="s">
        <v>5365</v>
      </c>
      <c r="R1686" s="230">
        <v>773</v>
      </c>
      <c r="S1686" s="230">
        <v>12104</v>
      </c>
      <c r="T1686" s="230">
        <v>12877</v>
      </c>
      <c r="U1686" s="231">
        <v>267</v>
      </c>
      <c r="V1686" s="230"/>
      <c r="W1686" s="230"/>
      <c r="X1686" s="231"/>
      <c r="Y1686" s="85"/>
      <c r="Z1686" s="101">
        <v>0.1</v>
      </c>
      <c r="AA1686" s="102">
        <v>0.09</v>
      </c>
      <c r="AC1686" s="78" t="s">
        <v>3321</v>
      </c>
    </row>
    <row r="1687" spans="1:29" ht="27" customHeight="1" x14ac:dyDescent="0.2">
      <c r="A1687" s="117" t="s">
        <v>5366</v>
      </c>
      <c r="B1687" s="118" t="e">
        <f t="shared" si="179"/>
        <v>#VALUE!</v>
      </c>
      <c r="C1687" s="118" t="s">
        <v>612</v>
      </c>
      <c r="D1687" s="113">
        <v>41290</v>
      </c>
      <c r="E1687" s="84">
        <v>41365</v>
      </c>
      <c r="F1687" s="84">
        <f t="shared" si="180"/>
        <v>45017</v>
      </c>
      <c r="G1687" s="229">
        <v>2178.17</v>
      </c>
      <c r="H1687" s="71" t="s">
        <v>824</v>
      </c>
      <c r="I1687" s="71" t="s">
        <v>614</v>
      </c>
      <c r="J1687" s="79"/>
      <c r="K1687" s="55">
        <f t="shared" si="181"/>
        <v>2023</v>
      </c>
      <c r="L1687" s="80"/>
      <c r="M1687" s="80"/>
      <c r="N1687" s="73" t="s">
        <v>5367</v>
      </c>
      <c r="O1687" s="73" t="s">
        <v>5368</v>
      </c>
      <c r="P1687" s="74"/>
      <c r="Q1687" s="75" t="s">
        <v>5369</v>
      </c>
      <c r="R1687" s="230">
        <v>7776.5</v>
      </c>
      <c r="S1687" s="230">
        <v>126382</v>
      </c>
      <c r="T1687" s="230">
        <v>134158.5</v>
      </c>
      <c r="U1687" s="231">
        <v>3268.5</v>
      </c>
      <c r="V1687" s="230"/>
      <c r="W1687" s="230"/>
      <c r="X1687" s="231"/>
      <c r="Y1687" s="85"/>
      <c r="Z1687" s="101">
        <v>0.1</v>
      </c>
      <c r="AA1687" s="102">
        <v>0.09</v>
      </c>
      <c r="AB1687" s="77"/>
      <c r="AC1687" s="78"/>
    </row>
    <row r="1688" spans="1:29" ht="27" customHeight="1" x14ac:dyDescent="0.2">
      <c r="A1688" s="117" t="s">
        <v>5370</v>
      </c>
      <c r="B1688" s="118" t="e">
        <f t="shared" si="179"/>
        <v>#VALUE!</v>
      </c>
      <c r="C1688" s="118" t="s">
        <v>612</v>
      </c>
      <c r="D1688" s="113">
        <v>41290</v>
      </c>
      <c r="E1688" s="84">
        <v>41365</v>
      </c>
      <c r="F1688" s="84">
        <f t="shared" si="180"/>
        <v>45017</v>
      </c>
      <c r="G1688" s="229">
        <v>478.74</v>
      </c>
      <c r="H1688" s="71" t="s">
        <v>824</v>
      </c>
      <c r="I1688" s="71" t="s">
        <v>614</v>
      </c>
      <c r="J1688" s="79"/>
      <c r="K1688" s="55">
        <f t="shared" si="181"/>
        <v>2023</v>
      </c>
      <c r="L1688" s="80"/>
      <c r="M1688" s="80"/>
      <c r="N1688" s="73" t="s">
        <v>5371</v>
      </c>
      <c r="O1688" s="73" t="s">
        <v>5368</v>
      </c>
      <c r="P1688" s="74"/>
      <c r="Q1688" s="75" t="s">
        <v>5372</v>
      </c>
      <c r="R1688" s="230">
        <v>1826.5</v>
      </c>
      <c r="S1688" s="230">
        <v>190642</v>
      </c>
      <c r="T1688" s="230">
        <v>192468.5</v>
      </c>
      <c r="U1688" s="231">
        <v>718.5</v>
      </c>
      <c r="V1688" s="230"/>
      <c r="W1688" s="230"/>
      <c r="X1688" s="231"/>
      <c r="Y1688" s="85"/>
      <c r="Z1688" s="101">
        <v>0.1</v>
      </c>
      <c r="AA1688" s="102">
        <v>0.09</v>
      </c>
      <c r="AB1688" s="77"/>
      <c r="AC1688" s="78"/>
    </row>
    <row r="1689" spans="1:29" ht="53" customHeight="1" x14ac:dyDescent="0.2">
      <c r="A1689" s="117" t="s">
        <v>5373</v>
      </c>
      <c r="B1689" s="118" t="e">
        <f t="shared" si="179"/>
        <v>#VALUE!</v>
      </c>
      <c r="C1689" s="118" t="s">
        <v>612</v>
      </c>
      <c r="D1689" s="113">
        <v>41290</v>
      </c>
      <c r="E1689" s="84">
        <v>41365</v>
      </c>
      <c r="F1689" s="84">
        <f t="shared" si="180"/>
        <v>45017</v>
      </c>
      <c r="G1689" s="229">
        <v>1450.84</v>
      </c>
      <c r="H1689" s="71" t="s">
        <v>824</v>
      </c>
      <c r="I1689" s="71" t="s">
        <v>614</v>
      </c>
      <c r="J1689" s="79"/>
      <c r="K1689" s="55">
        <f t="shared" si="181"/>
        <v>2023</v>
      </c>
      <c r="L1689" s="80"/>
      <c r="M1689" s="80"/>
      <c r="N1689" s="73" t="s">
        <v>5374</v>
      </c>
      <c r="O1689" s="73" t="s">
        <v>5375</v>
      </c>
      <c r="P1689" s="74"/>
      <c r="Q1689" s="75" t="s">
        <v>5376</v>
      </c>
      <c r="R1689" s="230">
        <v>5228.5</v>
      </c>
      <c r="S1689" s="230">
        <v>98668</v>
      </c>
      <c r="T1689" s="230">
        <v>103896.5</v>
      </c>
      <c r="U1689" s="231">
        <v>2176.5</v>
      </c>
      <c r="V1689" s="230"/>
      <c r="W1689" s="230"/>
      <c r="X1689" s="231"/>
      <c r="Y1689" s="85"/>
      <c r="Z1689" s="101">
        <v>0.1</v>
      </c>
      <c r="AA1689" s="102">
        <v>0.09</v>
      </c>
      <c r="AB1689" s="77"/>
      <c r="AC1689" s="78"/>
    </row>
    <row r="1690" spans="1:29" ht="27" customHeight="1" x14ac:dyDescent="0.2">
      <c r="A1690" s="117" t="s">
        <v>5377</v>
      </c>
      <c r="B1690" s="118" t="e">
        <f t="shared" si="179"/>
        <v>#VALUE!</v>
      </c>
      <c r="C1690" s="118" t="s">
        <v>612</v>
      </c>
      <c r="D1690" s="113">
        <v>41290</v>
      </c>
      <c r="E1690" s="84">
        <v>41365</v>
      </c>
      <c r="F1690" s="84">
        <f t="shared" si="180"/>
        <v>45017</v>
      </c>
      <c r="G1690" s="229">
        <v>884.96</v>
      </c>
      <c r="H1690" s="71" t="s">
        <v>824</v>
      </c>
      <c r="I1690" s="71" t="s">
        <v>614</v>
      </c>
      <c r="J1690" s="79"/>
      <c r="K1690" s="55">
        <f t="shared" si="181"/>
        <v>2023</v>
      </c>
      <c r="L1690" s="80"/>
      <c r="M1690" s="80"/>
      <c r="N1690" s="73" t="s">
        <v>5378</v>
      </c>
      <c r="O1690" s="73" t="s">
        <v>5368</v>
      </c>
      <c r="P1690" s="74"/>
      <c r="Q1690" s="75" t="s">
        <v>5379</v>
      </c>
      <c r="R1690" s="230">
        <v>3247.5</v>
      </c>
      <c r="S1690" s="230">
        <v>46905</v>
      </c>
      <c r="T1690" s="230">
        <v>50152.5</v>
      </c>
      <c r="U1690" s="231">
        <v>1327.5</v>
      </c>
      <c r="V1690" s="230"/>
      <c r="W1690" s="230"/>
      <c r="X1690" s="231"/>
      <c r="Y1690" s="85"/>
      <c r="Z1690" s="101">
        <v>0.1</v>
      </c>
      <c r="AA1690" s="102">
        <v>0.09</v>
      </c>
      <c r="AB1690" s="77"/>
      <c r="AC1690" s="78"/>
    </row>
    <row r="1691" spans="1:29" ht="27" customHeight="1" x14ac:dyDescent="0.2">
      <c r="A1691" s="117" t="s">
        <v>5380</v>
      </c>
      <c r="B1691" s="118" t="e">
        <f t="shared" si="179"/>
        <v>#VALUE!</v>
      </c>
      <c r="C1691" s="118" t="s">
        <v>612</v>
      </c>
      <c r="D1691" s="113">
        <v>41290</v>
      </c>
      <c r="E1691" s="84">
        <v>41365</v>
      </c>
      <c r="F1691" s="84">
        <f t="shared" si="180"/>
        <v>45017</v>
      </c>
      <c r="G1691" s="229">
        <v>310</v>
      </c>
      <c r="H1691" s="71" t="s">
        <v>845</v>
      </c>
      <c r="I1691" s="71" t="s">
        <v>614</v>
      </c>
      <c r="J1691" s="79"/>
      <c r="K1691" s="55">
        <f t="shared" si="181"/>
        <v>2023</v>
      </c>
      <c r="L1691" s="80"/>
      <c r="M1691" s="80"/>
      <c r="N1691" s="73" t="s">
        <v>5381</v>
      </c>
      <c r="O1691" s="73" t="s">
        <v>5368</v>
      </c>
      <c r="P1691" s="74"/>
      <c r="Q1691" s="75" t="s">
        <v>5382</v>
      </c>
      <c r="R1691" s="230">
        <v>1235</v>
      </c>
      <c r="S1691" s="230">
        <v>24180</v>
      </c>
      <c r="T1691" s="230">
        <v>25415</v>
      </c>
      <c r="U1691" s="231">
        <v>465</v>
      </c>
      <c r="V1691" s="230"/>
      <c r="W1691" s="230"/>
      <c r="X1691" s="231"/>
      <c r="Y1691" s="85"/>
      <c r="Z1691" s="101">
        <v>0.1</v>
      </c>
      <c r="AA1691" s="102">
        <v>0.09</v>
      </c>
      <c r="AB1691" s="77"/>
      <c r="AC1691" s="78"/>
    </row>
    <row r="1692" spans="1:29" ht="27" customHeight="1" x14ac:dyDescent="0.2">
      <c r="A1692" s="117" t="s">
        <v>5383</v>
      </c>
      <c r="B1692" s="118" t="e">
        <f t="shared" si="179"/>
        <v>#VALUE!</v>
      </c>
      <c r="C1692" s="118" t="s">
        <v>612</v>
      </c>
      <c r="D1692" s="113">
        <v>41290</v>
      </c>
      <c r="E1692" s="84">
        <v>41365</v>
      </c>
      <c r="F1692" s="84">
        <f t="shared" si="180"/>
        <v>45017</v>
      </c>
      <c r="G1692" s="229">
        <v>120</v>
      </c>
      <c r="H1692" s="71" t="s">
        <v>845</v>
      </c>
      <c r="I1692" s="71" t="s">
        <v>614</v>
      </c>
      <c r="J1692" s="79"/>
      <c r="K1692" s="55">
        <f t="shared" si="181"/>
        <v>2023</v>
      </c>
      <c r="L1692" s="80"/>
      <c r="M1692" s="80"/>
      <c r="N1692" s="73" t="s">
        <v>5384</v>
      </c>
      <c r="O1692" s="73" t="s">
        <v>5368</v>
      </c>
      <c r="P1692" s="74"/>
      <c r="Q1692" s="75" t="s">
        <v>5385</v>
      </c>
      <c r="R1692" s="230">
        <v>570</v>
      </c>
      <c r="S1692" s="230">
        <v>6960</v>
      </c>
      <c r="T1692" s="230">
        <v>7530</v>
      </c>
      <c r="U1692" s="231">
        <v>180</v>
      </c>
      <c r="V1692" s="230"/>
      <c r="W1692" s="230"/>
      <c r="X1692" s="231"/>
      <c r="Y1692" s="85"/>
      <c r="Z1692" s="101">
        <v>0.1</v>
      </c>
      <c r="AA1692" s="102">
        <v>0.09</v>
      </c>
      <c r="AB1692" s="77"/>
      <c r="AC1692" s="78"/>
    </row>
    <row r="1693" spans="1:29" ht="27" customHeight="1" x14ac:dyDescent="0.2">
      <c r="A1693" s="117" t="s">
        <v>5386</v>
      </c>
      <c r="B1693" s="118" t="e">
        <f t="shared" si="179"/>
        <v>#VALUE!</v>
      </c>
      <c r="C1693" s="118" t="s">
        <v>612</v>
      </c>
      <c r="D1693" s="113">
        <v>41290</v>
      </c>
      <c r="E1693" s="84">
        <v>41365</v>
      </c>
      <c r="F1693" s="84">
        <f t="shared" si="180"/>
        <v>45017</v>
      </c>
      <c r="G1693" s="229">
        <v>150</v>
      </c>
      <c r="H1693" s="71" t="s">
        <v>824</v>
      </c>
      <c r="I1693" s="71" t="s">
        <v>614</v>
      </c>
      <c r="J1693" s="79"/>
      <c r="K1693" s="55">
        <f t="shared" si="181"/>
        <v>2023</v>
      </c>
      <c r="L1693" s="80"/>
      <c r="M1693" s="80"/>
      <c r="N1693" s="73" t="s">
        <v>5387</v>
      </c>
      <c r="O1693" s="73" t="s">
        <v>5368</v>
      </c>
      <c r="P1693" s="74"/>
      <c r="Q1693" s="75" t="s">
        <v>5388</v>
      </c>
      <c r="R1693" s="230">
        <v>675</v>
      </c>
      <c r="S1693" s="230">
        <v>10200</v>
      </c>
      <c r="T1693" s="230">
        <v>10875</v>
      </c>
      <c r="U1693" s="231">
        <v>225</v>
      </c>
      <c r="V1693" s="230"/>
      <c r="W1693" s="230"/>
      <c r="X1693" s="231"/>
      <c r="Y1693" s="85"/>
      <c r="Z1693" s="101">
        <v>0.1</v>
      </c>
      <c r="AA1693" s="102">
        <v>0.09</v>
      </c>
      <c r="AB1693" s="77"/>
      <c r="AC1693" s="78"/>
    </row>
    <row r="1694" spans="1:29" ht="27" customHeight="1" x14ac:dyDescent="0.2">
      <c r="A1694" s="117" t="s">
        <v>5389</v>
      </c>
      <c r="B1694" s="118" t="e">
        <f t="shared" si="179"/>
        <v>#VALUE!</v>
      </c>
      <c r="C1694" s="118" t="s">
        <v>612</v>
      </c>
      <c r="D1694" s="113">
        <v>41290</v>
      </c>
      <c r="E1694" s="84">
        <v>41365</v>
      </c>
      <c r="F1694" s="84">
        <f t="shared" si="180"/>
        <v>45017</v>
      </c>
      <c r="G1694" s="229">
        <v>1015</v>
      </c>
      <c r="H1694" s="71" t="s">
        <v>5390</v>
      </c>
      <c r="I1694" s="71" t="s">
        <v>614</v>
      </c>
      <c r="J1694" s="79"/>
      <c r="K1694" s="55">
        <f t="shared" si="181"/>
        <v>2023</v>
      </c>
      <c r="L1694" s="80"/>
      <c r="M1694" s="80"/>
      <c r="N1694" s="73" t="s">
        <v>5391</v>
      </c>
      <c r="O1694" s="73" t="s">
        <v>5392</v>
      </c>
      <c r="P1694" s="74"/>
      <c r="Q1694" s="75" t="s">
        <v>5393</v>
      </c>
      <c r="R1694" s="230">
        <v>3702.5</v>
      </c>
      <c r="S1694" s="230">
        <v>34510</v>
      </c>
      <c r="T1694" s="230">
        <v>38212.5</v>
      </c>
      <c r="U1694" s="231">
        <v>1522.5</v>
      </c>
      <c r="V1694" s="230"/>
      <c r="W1694" s="230"/>
      <c r="X1694" s="231"/>
      <c r="Y1694" s="85"/>
      <c r="Z1694" s="101">
        <v>0.1</v>
      </c>
      <c r="AA1694" s="102">
        <v>0.09</v>
      </c>
      <c r="AB1694" s="77"/>
      <c r="AC1694" s="78"/>
    </row>
    <row r="1695" spans="1:29" ht="27" customHeight="1" x14ac:dyDescent="0.2">
      <c r="A1695" s="117" t="s">
        <v>5394</v>
      </c>
      <c r="B1695" s="118" t="e">
        <f t="shared" si="179"/>
        <v>#VALUE!</v>
      </c>
      <c r="C1695" s="118" t="s">
        <v>612</v>
      </c>
      <c r="D1695" s="113">
        <v>41290</v>
      </c>
      <c r="E1695" s="84">
        <v>41365</v>
      </c>
      <c r="F1695" s="84">
        <f t="shared" si="180"/>
        <v>45017</v>
      </c>
      <c r="G1695" s="229">
        <v>116</v>
      </c>
      <c r="H1695" s="71" t="s">
        <v>824</v>
      </c>
      <c r="I1695" s="71" t="s">
        <v>614</v>
      </c>
      <c r="J1695" s="79"/>
      <c r="K1695" s="55">
        <f t="shared" si="181"/>
        <v>2023</v>
      </c>
      <c r="L1695" s="80"/>
      <c r="M1695" s="80"/>
      <c r="N1695" s="73" t="s">
        <v>5395</v>
      </c>
      <c r="O1695" s="73" t="s">
        <v>5368</v>
      </c>
      <c r="P1695" s="74"/>
      <c r="Q1695" s="75" t="s">
        <v>5396</v>
      </c>
      <c r="R1695" s="230">
        <v>556</v>
      </c>
      <c r="S1695" s="230">
        <v>4408</v>
      </c>
      <c r="T1695" s="230">
        <v>4964</v>
      </c>
      <c r="U1695" s="231">
        <v>174</v>
      </c>
      <c r="V1695" s="230"/>
      <c r="W1695" s="230"/>
      <c r="X1695" s="231"/>
      <c r="Y1695" s="85"/>
      <c r="Z1695" s="101">
        <v>0.1</v>
      </c>
      <c r="AA1695" s="102">
        <v>0.09</v>
      </c>
      <c r="AB1695" s="77"/>
      <c r="AC1695" s="78"/>
    </row>
    <row r="1696" spans="1:29" ht="15" hidden="1" customHeight="1" thickBot="1" x14ac:dyDescent="0.25">
      <c r="A1696" s="117"/>
      <c r="D1696" s="113"/>
      <c r="E1696" s="78"/>
      <c r="F1696" s="84"/>
      <c r="G1696" s="229"/>
      <c r="H1696" s="71"/>
      <c r="I1696" s="71"/>
      <c r="J1696" s="79"/>
      <c r="K1696" s="79"/>
      <c r="L1696" s="80"/>
      <c r="M1696" s="80"/>
      <c r="N1696" s="73"/>
      <c r="O1696" s="73"/>
      <c r="P1696" s="74"/>
      <c r="Q1696" s="75"/>
      <c r="R1696" s="241">
        <v>31073.5</v>
      </c>
      <c r="S1696" s="241">
        <v>729543</v>
      </c>
      <c r="T1696" s="241">
        <v>760616.5</v>
      </c>
      <c r="U1696" s="231"/>
      <c r="V1696" s="230"/>
      <c r="W1696" s="230"/>
      <c r="X1696" s="231"/>
      <c r="Y1696" s="85"/>
      <c r="Z1696" s="85"/>
      <c r="AA1696" s="76"/>
      <c r="AB1696" s="77"/>
      <c r="AC1696" s="78"/>
    </row>
    <row r="1697" spans="1:29" hidden="1" x14ac:dyDescent="0.2">
      <c r="A1697" s="117"/>
      <c r="D1697" s="113"/>
      <c r="E1697" s="78"/>
      <c r="F1697" s="84"/>
      <c r="G1697" s="229"/>
      <c r="H1697" s="71"/>
      <c r="I1697" s="71"/>
      <c r="J1697" s="79"/>
      <c r="K1697" s="79"/>
      <c r="L1697" s="80"/>
      <c r="M1697" s="80"/>
      <c r="N1697" s="73"/>
      <c r="O1697" s="73"/>
      <c r="P1697" s="74"/>
      <c r="Q1697" s="75"/>
      <c r="R1697" s="230"/>
      <c r="S1697" s="230"/>
      <c r="T1697" s="230"/>
      <c r="U1697" s="231"/>
      <c r="V1697" s="230"/>
      <c r="W1697" s="230"/>
      <c r="X1697" s="231"/>
      <c r="Y1697" s="85"/>
      <c r="Z1697" s="85"/>
      <c r="AA1697" s="76"/>
      <c r="AB1697" s="77"/>
      <c r="AC1697" s="78"/>
    </row>
    <row r="1698" spans="1:29" ht="27" customHeight="1" x14ac:dyDescent="0.2">
      <c r="A1698" s="117" t="s">
        <v>5397</v>
      </c>
      <c r="B1698" s="118" t="e">
        <f t="shared" ref="B1698:B1732" si="182">IF(COUNTIF(GIS,A1698),"YES","NO")</f>
        <v>#VALUE!</v>
      </c>
      <c r="C1698" s="118" t="s">
        <v>612</v>
      </c>
      <c r="D1698" s="113">
        <v>41354</v>
      </c>
      <c r="E1698" s="84">
        <v>41426</v>
      </c>
      <c r="F1698" s="84">
        <f t="shared" ref="F1698:F1732" si="183">DATE(YEAR(E1698)+10,MONTH(E1698),DAY(E1698))</f>
        <v>45078</v>
      </c>
      <c r="G1698" s="229">
        <v>1321.39</v>
      </c>
      <c r="H1698" s="71" t="s">
        <v>5398</v>
      </c>
      <c r="I1698" s="71" t="s">
        <v>684</v>
      </c>
      <c r="J1698" s="248"/>
      <c r="K1698" s="55">
        <f t="shared" ref="K1698:K1732" si="184">YEAR(F1698)</f>
        <v>2023</v>
      </c>
      <c r="L1698" s="249"/>
      <c r="M1698" s="249"/>
      <c r="N1698" s="73" t="s">
        <v>5399</v>
      </c>
      <c r="O1698" s="73" t="s">
        <v>5400</v>
      </c>
      <c r="P1698" s="74"/>
      <c r="Q1698" s="75" t="s">
        <v>5401</v>
      </c>
      <c r="R1698" s="230">
        <v>4777</v>
      </c>
      <c r="S1698" s="230">
        <v>0</v>
      </c>
      <c r="T1698" s="230">
        <v>4777</v>
      </c>
      <c r="U1698" s="231">
        <v>1983</v>
      </c>
      <c r="V1698" s="230"/>
      <c r="W1698" s="230"/>
      <c r="X1698" s="231"/>
      <c r="Y1698" s="85"/>
      <c r="Z1698" s="101">
        <v>0.1</v>
      </c>
      <c r="AA1698" s="102">
        <v>0.09</v>
      </c>
      <c r="AB1698" s="77"/>
      <c r="AC1698" s="78"/>
    </row>
    <row r="1699" spans="1:29" x14ac:dyDescent="0.2">
      <c r="A1699" s="117" t="s">
        <v>5402</v>
      </c>
      <c r="B1699" s="118" t="e">
        <f t="shared" si="182"/>
        <v>#VALUE!</v>
      </c>
      <c r="C1699" s="118" t="s">
        <v>612</v>
      </c>
      <c r="D1699" s="113">
        <v>41354</v>
      </c>
      <c r="E1699" s="84">
        <v>41426</v>
      </c>
      <c r="F1699" s="84">
        <f t="shared" si="183"/>
        <v>45078</v>
      </c>
      <c r="G1699" s="229">
        <v>560</v>
      </c>
      <c r="H1699" s="71" t="s">
        <v>5403</v>
      </c>
      <c r="I1699" s="71" t="s">
        <v>1703</v>
      </c>
      <c r="J1699" s="248"/>
      <c r="K1699" s="55">
        <f t="shared" si="184"/>
        <v>2023</v>
      </c>
      <c r="L1699" s="249"/>
      <c r="M1699" s="249"/>
      <c r="N1699" s="73" t="s">
        <v>5404</v>
      </c>
      <c r="O1699" s="73" t="s">
        <v>5405</v>
      </c>
      <c r="P1699" s="74"/>
      <c r="Q1699" s="75" t="s">
        <v>5406</v>
      </c>
      <c r="R1699" s="230">
        <v>2110</v>
      </c>
      <c r="S1699" s="230">
        <v>10080</v>
      </c>
      <c r="T1699" s="230">
        <v>12190</v>
      </c>
      <c r="U1699" s="231">
        <v>840</v>
      </c>
      <c r="V1699" s="230"/>
      <c r="W1699" s="230"/>
      <c r="X1699" s="231"/>
      <c r="Y1699" s="85"/>
      <c r="Z1699" s="101">
        <v>0.1</v>
      </c>
      <c r="AA1699" s="102">
        <v>0.09</v>
      </c>
      <c r="AB1699" s="77"/>
      <c r="AC1699" s="78"/>
    </row>
    <row r="1700" spans="1:29" x14ac:dyDescent="0.2">
      <c r="A1700" s="117" t="s">
        <v>5407</v>
      </c>
      <c r="B1700" s="118" t="e">
        <f t="shared" si="182"/>
        <v>#VALUE!</v>
      </c>
      <c r="C1700" s="118" t="s">
        <v>612</v>
      </c>
      <c r="D1700" s="113">
        <v>41354</v>
      </c>
      <c r="E1700" s="103">
        <v>42644</v>
      </c>
      <c r="F1700" s="84">
        <f t="shared" si="183"/>
        <v>46296</v>
      </c>
      <c r="G1700" s="229">
        <v>1517.02</v>
      </c>
      <c r="H1700" s="71" t="s">
        <v>5408</v>
      </c>
      <c r="I1700" s="71" t="s">
        <v>684</v>
      </c>
      <c r="J1700" s="238"/>
      <c r="K1700" s="55">
        <f t="shared" si="184"/>
        <v>2026</v>
      </c>
      <c r="L1700" s="239"/>
      <c r="M1700" s="239"/>
      <c r="N1700" s="73" t="s">
        <v>5409</v>
      </c>
      <c r="O1700" s="73" t="s">
        <v>5410</v>
      </c>
      <c r="P1700" s="74"/>
      <c r="Q1700" s="75" t="s">
        <v>5411</v>
      </c>
      <c r="R1700" s="230">
        <v>5463</v>
      </c>
      <c r="S1700" s="230">
        <v>95634</v>
      </c>
      <c r="T1700" s="230">
        <v>101097</v>
      </c>
      <c r="U1700" s="231">
        <v>2277</v>
      </c>
      <c r="V1700" s="230"/>
      <c r="W1700" s="230"/>
      <c r="X1700" s="231"/>
      <c r="Y1700" s="85"/>
      <c r="Z1700" s="101">
        <v>0.1</v>
      </c>
      <c r="AA1700" s="102">
        <v>0.09</v>
      </c>
      <c r="AB1700" s="77"/>
      <c r="AC1700" s="78"/>
    </row>
    <row r="1701" spans="1:29" ht="27" customHeight="1" x14ac:dyDescent="0.2">
      <c r="A1701" s="117" t="s">
        <v>5412</v>
      </c>
      <c r="B1701" s="118" t="e">
        <f t="shared" si="182"/>
        <v>#VALUE!</v>
      </c>
      <c r="C1701" s="118" t="s">
        <v>612</v>
      </c>
      <c r="D1701" s="113">
        <v>41354</v>
      </c>
      <c r="E1701" s="103">
        <v>42644</v>
      </c>
      <c r="F1701" s="84">
        <f t="shared" si="183"/>
        <v>46296</v>
      </c>
      <c r="G1701" s="229">
        <v>699.51</v>
      </c>
      <c r="H1701" s="71" t="s">
        <v>5408</v>
      </c>
      <c r="I1701" s="71" t="s">
        <v>684</v>
      </c>
      <c r="J1701" s="238"/>
      <c r="K1701" s="55">
        <f t="shared" si="184"/>
        <v>2026</v>
      </c>
      <c r="L1701" s="239"/>
      <c r="M1701" s="239"/>
      <c r="N1701" s="73" t="s">
        <v>5409</v>
      </c>
      <c r="O1701" s="73" t="s">
        <v>5413</v>
      </c>
      <c r="P1701" s="74"/>
      <c r="Q1701" s="75" t="s">
        <v>5414</v>
      </c>
      <c r="R1701" s="230">
        <v>2600</v>
      </c>
      <c r="S1701" s="230">
        <v>44100</v>
      </c>
      <c r="T1701" s="230">
        <v>46700</v>
      </c>
      <c r="U1701" s="231">
        <v>1050</v>
      </c>
      <c r="V1701" s="230"/>
      <c r="W1701" s="230"/>
      <c r="X1701" s="231"/>
      <c r="Y1701" s="85"/>
      <c r="Z1701" s="101">
        <v>0.1</v>
      </c>
      <c r="AA1701" s="102">
        <v>0.09</v>
      </c>
      <c r="AB1701" s="77"/>
      <c r="AC1701" s="78"/>
    </row>
    <row r="1702" spans="1:29" ht="27" customHeight="1" x14ac:dyDescent="0.2">
      <c r="A1702" s="117" t="s">
        <v>5415</v>
      </c>
      <c r="B1702" s="118" t="e">
        <f t="shared" si="182"/>
        <v>#VALUE!</v>
      </c>
      <c r="C1702" s="118" t="s">
        <v>612</v>
      </c>
      <c r="D1702" s="113">
        <v>41354</v>
      </c>
      <c r="E1702" s="103">
        <v>42644</v>
      </c>
      <c r="F1702" s="84">
        <f t="shared" si="183"/>
        <v>46296</v>
      </c>
      <c r="G1702" s="229">
        <v>1064.51</v>
      </c>
      <c r="H1702" s="65" t="s">
        <v>951</v>
      </c>
      <c r="I1702" s="71" t="s">
        <v>684</v>
      </c>
      <c r="J1702" s="238"/>
      <c r="K1702" s="55">
        <f t="shared" si="184"/>
        <v>2026</v>
      </c>
      <c r="L1702" s="239"/>
      <c r="M1702" s="239"/>
      <c r="N1702" s="73" t="s">
        <v>5416</v>
      </c>
      <c r="O1702" s="73" t="s">
        <v>5417</v>
      </c>
      <c r="P1702" s="74" t="s">
        <v>5418</v>
      </c>
      <c r="Q1702" s="75" t="s">
        <v>5419</v>
      </c>
      <c r="R1702" s="230">
        <v>3877.5</v>
      </c>
      <c r="S1702" s="230">
        <v>0</v>
      </c>
      <c r="T1702" s="230">
        <v>3877.5</v>
      </c>
      <c r="U1702" s="231">
        <v>1597.5</v>
      </c>
      <c r="V1702" s="230"/>
      <c r="W1702" s="230"/>
      <c r="X1702" s="231"/>
      <c r="Y1702" s="85"/>
      <c r="Z1702" s="101">
        <v>0.1</v>
      </c>
      <c r="AA1702" s="102">
        <v>0.09</v>
      </c>
      <c r="AB1702" s="77"/>
      <c r="AC1702" s="78"/>
    </row>
    <row r="1703" spans="1:29" ht="27" customHeight="1" x14ac:dyDescent="0.2">
      <c r="A1703" s="117" t="s">
        <v>5420</v>
      </c>
      <c r="B1703" s="118" t="e">
        <f t="shared" si="182"/>
        <v>#VALUE!</v>
      </c>
      <c r="C1703" s="118" t="s">
        <v>612</v>
      </c>
      <c r="D1703" s="113">
        <v>41354</v>
      </c>
      <c r="E1703" s="103">
        <v>42644</v>
      </c>
      <c r="F1703" s="84">
        <f t="shared" si="183"/>
        <v>46296</v>
      </c>
      <c r="G1703" s="229">
        <v>1344.91</v>
      </c>
      <c r="H1703" s="65" t="s">
        <v>951</v>
      </c>
      <c r="I1703" s="71" t="s">
        <v>684</v>
      </c>
      <c r="J1703" s="238"/>
      <c r="K1703" s="55">
        <f t="shared" si="184"/>
        <v>2026</v>
      </c>
      <c r="L1703" s="239"/>
      <c r="M1703" s="239"/>
      <c r="N1703" s="73" t="s">
        <v>5416</v>
      </c>
      <c r="O1703" s="73" t="s">
        <v>5421</v>
      </c>
      <c r="P1703" s="74"/>
      <c r="Q1703" s="75" t="s">
        <v>5422</v>
      </c>
      <c r="R1703" s="230">
        <v>4857.5</v>
      </c>
      <c r="S1703" s="230">
        <v>0</v>
      </c>
      <c r="T1703" s="230">
        <v>4857.5</v>
      </c>
      <c r="U1703" s="231">
        <v>2017.5</v>
      </c>
      <c r="V1703" s="230"/>
      <c r="W1703" s="230"/>
      <c r="X1703" s="231"/>
      <c r="Y1703" s="85"/>
      <c r="Z1703" s="101">
        <v>0.1</v>
      </c>
      <c r="AA1703" s="102">
        <v>0.09</v>
      </c>
      <c r="AB1703" s="77"/>
      <c r="AC1703" s="78"/>
    </row>
    <row r="1704" spans="1:29" x14ac:dyDescent="0.2">
      <c r="A1704" s="117" t="s">
        <v>5423</v>
      </c>
      <c r="B1704" s="118" t="e">
        <f t="shared" si="182"/>
        <v>#VALUE!</v>
      </c>
      <c r="C1704" s="118" t="s">
        <v>612</v>
      </c>
      <c r="D1704" s="113">
        <v>41354</v>
      </c>
      <c r="E1704" s="103">
        <v>42644</v>
      </c>
      <c r="F1704" s="84">
        <f t="shared" si="183"/>
        <v>46296</v>
      </c>
      <c r="G1704" s="229">
        <v>41</v>
      </c>
      <c r="H1704" s="65" t="s">
        <v>951</v>
      </c>
      <c r="I1704" s="71" t="s">
        <v>684</v>
      </c>
      <c r="J1704" s="238"/>
      <c r="K1704" s="55">
        <f t="shared" si="184"/>
        <v>2026</v>
      </c>
      <c r="L1704" s="239"/>
      <c r="M1704" s="239"/>
      <c r="N1704" s="73" t="s">
        <v>5416</v>
      </c>
      <c r="O1704" s="73" t="s">
        <v>5424</v>
      </c>
      <c r="P1704" s="74"/>
      <c r="Q1704" s="75" t="s">
        <v>5425</v>
      </c>
      <c r="R1704" s="230">
        <v>293.5</v>
      </c>
      <c r="S1704" s="230">
        <v>0</v>
      </c>
      <c r="T1704" s="230">
        <v>293.5</v>
      </c>
      <c r="U1704" s="231">
        <v>61.5</v>
      </c>
      <c r="V1704" s="230"/>
      <c r="W1704" s="230"/>
      <c r="X1704" s="231"/>
      <c r="Y1704" s="85"/>
      <c r="Z1704" s="101">
        <v>0.1</v>
      </c>
      <c r="AA1704" s="102">
        <v>0.09</v>
      </c>
      <c r="AB1704" s="77"/>
      <c r="AC1704" s="78"/>
    </row>
    <row r="1705" spans="1:29" ht="27" customHeight="1" x14ac:dyDescent="0.2">
      <c r="A1705" s="117" t="s">
        <v>5426</v>
      </c>
      <c r="B1705" s="118" t="e">
        <f t="shared" si="182"/>
        <v>#VALUE!</v>
      </c>
      <c r="C1705" s="118" t="s">
        <v>612</v>
      </c>
      <c r="D1705" s="113">
        <v>41354</v>
      </c>
      <c r="E1705" s="103">
        <v>42644</v>
      </c>
      <c r="F1705" s="84">
        <f t="shared" si="183"/>
        <v>46296</v>
      </c>
      <c r="G1705" s="229">
        <v>1278.4100000000001</v>
      </c>
      <c r="H1705" s="65" t="s">
        <v>951</v>
      </c>
      <c r="I1705" s="71" t="s">
        <v>684</v>
      </c>
      <c r="J1705" s="238"/>
      <c r="K1705" s="55">
        <f t="shared" si="184"/>
        <v>2026</v>
      </c>
      <c r="L1705" s="239"/>
      <c r="M1705" s="239"/>
      <c r="N1705" s="73" t="s">
        <v>5416</v>
      </c>
      <c r="O1705" s="73" t="s">
        <v>5427</v>
      </c>
      <c r="P1705" s="74" t="s">
        <v>5428</v>
      </c>
      <c r="Q1705" s="75" t="s">
        <v>5429</v>
      </c>
      <c r="R1705" s="230">
        <v>4626.5</v>
      </c>
      <c r="S1705" s="230">
        <v>0</v>
      </c>
      <c r="T1705" s="230">
        <v>4626.5</v>
      </c>
      <c r="U1705" s="231">
        <v>1918.5</v>
      </c>
      <c r="V1705" s="230"/>
      <c r="W1705" s="230"/>
      <c r="X1705" s="231"/>
      <c r="Y1705" s="85"/>
      <c r="Z1705" s="101">
        <v>0.1</v>
      </c>
      <c r="AA1705" s="102">
        <v>0.09</v>
      </c>
      <c r="AB1705" s="77"/>
      <c r="AC1705" s="78"/>
    </row>
    <row r="1706" spans="1:29" x14ac:dyDescent="0.2">
      <c r="A1706" s="117" t="s">
        <v>5430</v>
      </c>
      <c r="B1706" s="118" t="e">
        <f t="shared" si="182"/>
        <v>#VALUE!</v>
      </c>
      <c r="C1706" s="118" t="s">
        <v>612</v>
      </c>
      <c r="D1706" s="113">
        <v>41354</v>
      </c>
      <c r="E1706" s="103">
        <v>42644</v>
      </c>
      <c r="F1706" s="84">
        <f t="shared" si="183"/>
        <v>46296</v>
      </c>
      <c r="G1706" s="229">
        <v>1880.89</v>
      </c>
      <c r="H1706" s="65" t="s">
        <v>951</v>
      </c>
      <c r="I1706" s="71" t="s">
        <v>684</v>
      </c>
      <c r="J1706" s="238"/>
      <c r="K1706" s="55">
        <f t="shared" si="184"/>
        <v>2026</v>
      </c>
      <c r="L1706" s="239"/>
      <c r="M1706" s="239"/>
      <c r="N1706" s="73" t="s">
        <v>5416</v>
      </c>
      <c r="O1706" s="73" t="s">
        <v>5431</v>
      </c>
      <c r="P1706" s="74"/>
      <c r="Q1706" s="75" t="s">
        <v>5432</v>
      </c>
      <c r="R1706" s="230">
        <v>6733.5</v>
      </c>
      <c r="S1706" s="230">
        <v>0</v>
      </c>
      <c r="T1706" s="230">
        <v>6733.5</v>
      </c>
      <c r="U1706" s="231">
        <v>2821.5</v>
      </c>
      <c r="V1706" s="230"/>
      <c r="W1706" s="230"/>
      <c r="X1706" s="231"/>
      <c r="Y1706" s="85"/>
      <c r="Z1706" s="101">
        <v>0.1</v>
      </c>
      <c r="AA1706" s="102">
        <v>0.09</v>
      </c>
      <c r="AB1706" s="77"/>
      <c r="AC1706" s="78"/>
    </row>
    <row r="1707" spans="1:29" ht="53" customHeight="1" x14ac:dyDescent="0.2">
      <c r="A1707" s="117" t="s">
        <v>5433</v>
      </c>
      <c r="B1707" s="118" t="e">
        <f t="shared" si="182"/>
        <v>#VALUE!</v>
      </c>
      <c r="C1707" s="118" t="s">
        <v>612</v>
      </c>
      <c r="D1707" s="113">
        <v>41354</v>
      </c>
      <c r="E1707" s="103">
        <v>42644</v>
      </c>
      <c r="F1707" s="84">
        <f t="shared" si="183"/>
        <v>46296</v>
      </c>
      <c r="G1707" s="229">
        <v>1265.42</v>
      </c>
      <c r="H1707" s="65" t="s">
        <v>951</v>
      </c>
      <c r="I1707" s="71" t="s">
        <v>684</v>
      </c>
      <c r="J1707" s="238"/>
      <c r="K1707" s="55">
        <f t="shared" si="184"/>
        <v>2026</v>
      </c>
      <c r="L1707" s="239"/>
      <c r="M1707" s="239"/>
      <c r="N1707" s="73" t="s">
        <v>5416</v>
      </c>
      <c r="O1707" s="73" t="s">
        <v>5434</v>
      </c>
      <c r="P1707" s="74" t="s">
        <v>5435</v>
      </c>
      <c r="Q1707" s="75" t="s">
        <v>5436</v>
      </c>
      <c r="R1707" s="230">
        <v>4581</v>
      </c>
      <c r="S1707" s="230">
        <v>0</v>
      </c>
      <c r="T1707" s="230">
        <v>4581</v>
      </c>
      <c r="U1707" s="231">
        <v>1899</v>
      </c>
      <c r="V1707" s="230"/>
      <c r="W1707" s="230"/>
      <c r="X1707" s="231"/>
      <c r="Y1707" s="85"/>
      <c r="Z1707" s="101">
        <v>0.1</v>
      </c>
      <c r="AA1707" s="102">
        <v>0.09</v>
      </c>
      <c r="AB1707" s="77"/>
      <c r="AC1707" s="78"/>
    </row>
    <row r="1708" spans="1:29" ht="27" customHeight="1" x14ac:dyDescent="0.2">
      <c r="A1708" s="117" t="s">
        <v>5437</v>
      </c>
      <c r="B1708" s="118" t="e">
        <f t="shared" si="182"/>
        <v>#VALUE!</v>
      </c>
      <c r="C1708" s="118" t="s">
        <v>612</v>
      </c>
      <c r="D1708" s="113">
        <v>41354</v>
      </c>
      <c r="E1708" s="103">
        <v>42644</v>
      </c>
      <c r="F1708" s="84">
        <f t="shared" si="183"/>
        <v>46296</v>
      </c>
      <c r="G1708" s="229">
        <v>1243.25</v>
      </c>
      <c r="H1708" s="65" t="s">
        <v>951</v>
      </c>
      <c r="I1708" s="71" t="s">
        <v>684</v>
      </c>
      <c r="J1708" s="238"/>
      <c r="K1708" s="55">
        <f t="shared" si="184"/>
        <v>2026</v>
      </c>
      <c r="L1708" s="239"/>
      <c r="M1708" s="239"/>
      <c r="N1708" s="73" t="s">
        <v>5416</v>
      </c>
      <c r="O1708" s="73" t="s">
        <v>5438</v>
      </c>
      <c r="P1708" s="74" t="s">
        <v>5439</v>
      </c>
      <c r="Q1708" s="75" t="s">
        <v>5440</v>
      </c>
      <c r="R1708" s="230">
        <v>4504</v>
      </c>
      <c r="S1708" s="230">
        <v>0</v>
      </c>
      <c r="T1708" s="230">
        <v>4504</v>
      </c>
      <c r="U1708" s="231">
        <v>1866</v>
      </c>
      <c r="V1708" s="230"/>
      <c r="W1708" s="230"/>
      <c r="X1708" s="231"/>
      <c r="Y1708" s="85"/>
      <c r="Z1708" s="101">
        <v>0.1</v>
      </c>
      <c r="AA1708" s="102">
        <v>0.09</v>
      </c>
      <c r="AB1708" s="77"/>
      <c r="AC1708" s="78"/>
    </row>
    <row r="1709" spans="1:29" ht="27" customHeight="1" x14ac:dyDescent="0.2">
      <c r="A1709" s="117" t="s">
        <v>5441</v>
      </c>
      <c r="B1709" s="118" t="e">
        <f t="shared" si="182"/>
        <v>#VALUE!</v>
      </c>
      <c r="C1709" s="118" t="s">
        <v>612</v>
      </c>
      <c r="D1709" s="113">
        <v>41354</v>
      </c>
      <c r="E1709" s="103">
        <v>42644</v>
      </c>
      <c r="F1709" s="84">
        <f t="shared" si="183"/>
        <v>46296</v>
      </c>
      <c r="G1709" s="229">
        <v>1441.45</v>
      </c>
      <c r="H1709" s="65" t="s">
        <v>951</v>
      </c>
      <c r="I1709" s="71" t="s">
        <v>684</v>
      </c>
      <c r="J1709" s="238"/>
      <c r="K1709" s="55">
        <f t="shared" si="184"/>
        <v>2026</v>
      </c>
      <c r="L1709" s="239"/>
      <c r="M1709" s="239"/>
      <c r="N1709" s="73" t="s">
        <v>5416</v>
      </c>
      <c r="O1709" s="73" t="s">
        <v>5442</v>
      </c>
      <c r="P1709" s="74"/>
      <c r="Q1709" s="75" t="s">
        <v>5443</v>
      </c>
      <c r="R1709" s="230">
        <v>5197</v>
      </c>
      <c r="S1709" s="230">
        <v>0</v>
      </c>
      <c r="T1709" s="230">
        <v>5197</v>
      </c>
      <c r="U1709" s="231">
        <v>2163</v>
      </c>
      <c r="V1709" s="230"/>
      <c r="W1709" s="230"/>
      <c r="X1709" s="231"/>
      <c r="Y1709" s="85"/>
      <c r="Z1709" s="101">
        <v>0.1</v>
      </c>
      <c r="AA1709" s="102">
        <v>0.09</v>
      </c>
      <c r="AB1709" s="77"/>
      <c r="AC1709" s="78"/>
    </row>
    <row r="1710" spans="1:29" x14ac:dyDescent="0.2">
      <c r="A1710" s="117" t="s">
        <v>5444</v>
      </c>
      <c r="B1710" s="118" t="e">
        <f t="shared" si="182"/>
        <v>#VALUE!</v>
      </c>
      <c r="C1710" s="118" t="s">
        <v>612</v>
      </c>
      <c r="D1710" s="113">
        <v>41354</v>
      </c>
      <c r="E1710" s="103">
        <v>42644</v>
      </c>
      <c r="F1710" s="84">
        <f t="shared" si="183"/>
        <v>46296</v>
      </c>
      <c r="G1710" s="229">
        <v>1885.87</v>
      </c>
      <c r="H1710" s="65" t="s">
        <v>951</v>
      </c>
      <c r="I1710" s="71" t="s">
        <v>684</v>
      </c>
      <c r="J1710" s="238"/>
      <c r="K1710" s="55">
        <f t="shared" si="184"/>
        <v>2026</v>
      </c>
      <c r="L1710" s="239"/>
      <c r="M1710" s="239"/>
      <c r="N1710" s="73" t="s">
        <v>5416</v>
      </c>
      <c r="O1710" s="73" t="s">
        <v>5445</v>
      </c>
      <c r="P1710" s="74"/>
      <c r="Q1710" s="75" t="s">
        <v>5446</v>
      </c>
      <c r="R1710" s="230">
        <v>6751</v>
      </c>
      <c r="S1710" s="230">
        <v>0</v>
      </c>
      <c r="T1710" s="230">
        <v>6751</v>
      </c>
      <c r="U1710" s="231">
        <v>2829</v>
      </c>
      <c r="V1710" s="230"/>
      <c r="W1710" s="230"/>
      <c r="X1710" s="231"/>
      <c r="Y1710" s="85"/>
      <c r="Z1710" s="101">
        <v>0.1</v>
      </c>
      <c r="AA1710" s="102">
        <v>0.09</v>
      </c>
      <c r="AB1710" s="77"/>
      <c r="AC1710" s="78"/>
    </row>
    <row r="1711" spans="1:29" ht="29" x14ac:dyDescent="0.2">
      <c r="A1711" s="117" t="s">
        <v>5447</v>
      </c>
      <c r="B1711" s="118" t="e">
        <f t="shared" si="182"/>
        <v>#VALUE!</v>
      </c>
      <c r="C1711" s="118" t="s">
        <v>612</v>
      </c>
      <c r="D1711" s="113">
        <v>41354</v>
      </c>
      <c r="E1711" s="103">
        <v>42644</v>
      </c>
      <c r="F1711" s="84">
        <f t="shared" si="183"/>
        <v>46296</v>
      </c>
      <c r="G1711" s="229">
        <v>1555.6</v>
      </c>
      <c r="H1711" s="65" t="s">
        <v>951</v>
      </c>
      <c r="I1711" s="71" t="s">
        <v>684</v>
      </c>
      <c r="J1711" s="238"/>
      <c r="K1711" s="55">
        <f t="shared" si="184"/>
        <v>2026</v>
      </c>
      <c r="L1711" s="239"/>
      <c r="M1711" s="239"/>
      <c r="N1711" s="73" t="s">
        <v>5416</v>
      </c>
      <c r="O1711" s="73" t="s">
        <v>5448</v>
      </c>
      <c r="P1711" s="74"/>
      <c r="Q1711" s="75" t="s">
        <v>5449</v>
      </c>
      <c r="R1711" s="230">
        <v>5596</v>
      </c>
      <c r="S1711" s="230">
        <v>0</v>
      </c>
      <c r="T1711" s="230">
        <v>5596</v>
      </c>
      <c r="U1711" s="231">
        <v>2334</v>
      </c>
      <c r="V1711" s="230"/>
      <c r="W1711" s="230"/>
      <c r="X1711" s="231"/>
      <c r="Y1711" s="85"/>
      <c r="Z1711" s="101">
        <v>0.1</v>
      </c>
      <c r="AA1711" s="102">
        <v>0.09</v>
      </c>
      <c r="AB1711" s="77"/>
      <c r="AC1711" s="78"/>
    </row>
    <row r="1712" spans="1:29" ht="27" customHeight="1" x14ac:dyDescent="0.2">
      <c r="A1712" s="117" t="s">
        <v>5450</v>
      </c>
      <c r="B1712" s="118" t="e">
        <f t="shared" si="182"/>
        <v>#VALUE!</v>
      </c>
      <c r="C1712" s="118" t="s">
        <v>612</v>
      </c>
      <c r="D1712" s="113">
        <v>41354</v>
      </c>
      <c r="E1712" s="103">
        <v>42644</v>
      </c>
      <c r="F1712" s="84">
        <f t="shared" si="183"/>
        <v>46296</v>
      </c>
      <c r="G1712" s="229">
        <v>1336.8</v>
      </c>
      <c r="H1712" s="65" t="s">
        <v>951</v>
      </c>
      <c r="I1712" s="71" t="s">
        <v>684</v>
      </c>
      <c r="J1712" s="238"/>
      <c r="K1712" s="55">
        <f t="shared" si="184"/>
        <v>2026</v>
      </c>
      <c r="L1712" s="239"/>
      <c r="M1712" s="239"/>
      <c r="N1712" s="73" t="s">
        <v>5416</v>
      </c>
      <c r="O1712" s="73" t="s">
        <v>5451</v>
      </c>
      <c r="P1712" s="74"/>
      <c r="Q1712" s="75" t="s">
        <v>5452</v>
      </c>
      <c r="R1712" s="230">
        <v>4829.5</v>
      </c>
      <c r="S1712" s="230">
        <v>0</v>
      </c>
      <c r="T1712" s="230">
        <v>4829.5</v>
      </c>
      <c r="U1712" s="231">
        <v>2005.6</v>
      </c>
      <c r="V1712" s="230"/>
      <c r="W1712" s="230"/>
      <c r="X1712" s="231"/>
      <c r="Y1712" s="85"/>
      <c r="Z1712" s="101">
        <v>0.1</v>
      </c>
      <c r="AA1712" s="102">
        <v>0.09</v>
      </c>
      <c r="AB1712" s="77"/>
      <c r="AC1712" s="78"/>
    </row>
    <row r="1713" spans="1:29" ht="18" customHeight="1" x14ac:dyDescent="0.2">
      <c r="A1713" s="117" t="s">
        <v>5453</v>
      </c>
      <c r="B1713" s="114" t="e">
        <f t="shared" si="182"/>
        <v>#VALUE!</v>
      </c>
      <c r="C1713" s="118" t="s">
        <v>612</v>
      </c>
      <c r="D1713" s="113">
        <v>41354</v>
      </c>
      <c r="E1713" s="103">
        <v>42705</v>
      </c>
      <c r="F1713" s="84">
        <f t="shared" si="183"/>
        <v>46357</v>
      </c>
      <c r="G1713" s="229">
        <v>727.52</v>
      </c>
      <c r="H1713" s="71" t="s">
        <v>906</v>
      </c>
      <c r="I1713" s="71" t="s">
        <v>691</v>
      </c>
      <c r="J1713" s="238"/>
      <c r="K1713" s="55">
        <f t="shared" si="184"/>
        <v>2026</v>
      </c>
      <c r="L1713" s="239"/>
      <c r="M1713" s="239"/>
      <c r="N1713" s="73" t="s">
        <v>5454</v>
      </c>
      <c r="O1713" s="73" t="s">
        <v>5455</v>
      </c>
      <c r="P1713" s="74" t="s">
        <v>5456</v>
      </c>
      <c r="Q1713" s="75" t="s">
        <v>5457</v>
      </c>
      <c r="R1713" s="230">
        <v>2698</v>
      </c>
      <c r="S1713" s="230">
        <v>0</v>
      </c>
      <c r="T1713" s="230">
        <v>2698</v>
      </c>
      <c r="U1713" s="231">
        <v>1092</v>
      </c>
      <c r="V1713" s="230"/>
      <c r="W1713" s="230"/>
      <c r="X1713" s="231"/>
      <c r="Y1713" s="85"/>
      <c r="Z1713" s="101">
        <v>0.1</v>
      </c>
      <c r="AA1713" s="102">
        <v>0.09</v>
      </c>
      <c r="AB1713" s="77"/>
      <c r="AC1713" s="78"/>
    </row>
    <row r="1714" spans="1:29" ht="53" customHeight="1" x14ac:dyDescent="0.2">
      <c r="A1714" s="117" t="s">
        <v>5458</v>
      </c>
      <c r="B1714" s="118" t="e">
        <f t="shared" si="182"/>
        <v>#VALUE!</v>
      </c>
      <c r="C1714" s="118" t="s">
        <v>612</v>
      </c>
      <c r="D1714" s="113">
        <v>41354</v>
      </c>
      <c r="E1714" s="84">
        <v>41791</v>
      </c>
      <c r="F1714" s="84">
        <f t="shared" si="183"/>
        <v>45444</v>
      </c>
      <c r="G1714" s="229">
        <v>1260.25</v>
      </c>
      <c r="H1714" s="71" t="s">
        <v>906</v>
      </c>
      <c r="I1714" s="71" t="s">
        <v>691</v>
      </c>
      <c r="J1714" s="238"/>
      <c r="K1714" s="55">
        <f t="shared" si="184"/>
        <v>2024</v>
      </c>
      <c r="L1714" s="239"/>
      <c r="M1714" s="239"/>
      <c r="N1714" s="73" t="s">
        <v>5459</v>
      </c>
      <c r="O1714" s="73" t="s">
        <v>5460</v>
      </c>
      <c r="P1714" s="74"/>
      <c r="Q1714" s="75" t="s">
        <v>5461</v>
      </c>
      <c r="R1714" s="230">
        <v>4563.5</v>
      </c>
      <c r="S1714" s="230">
        <v>0</v>
      </c>
      <c r="T1714" s="230">
        <v>4563.5</v>
      </c>
      <c r="U1714" s="231">
        <v>1891.5</v>
      </c>
      <c r="V1714" s="230"/>
      <c r="W1714" s="230"/>
      <c r="X1714" s="231"/>
      <c r="Y1714" s="85"/>
      <c r="Z1714" s="101">
        <v>0.1</v>
      </c>
      <c r="AA1714" s="102">
        <v>0.09</v>
      </c>
      <c r="AB1714" s="77"/>
      <c r="AC1714" s="78"/>
    </row>
    <row r="1715" spans="1:29" ht="40" customHeight="1" x14ac:dyDescent="0.2">
      <c r="A1715" s="117" t="s">
        <v>5462</v>
      </c>
      <c r="B1715" s="118" t="e">
        <f t="shared" si="182"/>
        <v>#VALUE!</v>
      </c>
      <c r="C1715" s="118" t="s">
        <v>612</v>
      </c>
      <c r="D1715" s="113">
        <v>41354</v>
      </c>
      <c r="E1715" s="84">
        <v>41791</v>
      </c>
      <c r="F1715" s="84">
        <f t="shared" si="183"/>
        <v>45444</v>
      </c>
      <c r="G1715" s="229">
        <v>1064.8399999999999</v>
      </c>
      <c r="H1715" s="71" t="s">
        <v>906</v>
      </c>
      <c r="I1715" s="71" t="s">
        <v>691</v>
      </c>
      <c r="J1715" s="238"/>
      <c r="K1715" s="55">
        <f t="shared" si="184"/>
        <v>2024</v>
      </c>
      <c r="L1715" s="239"/>
      <c r="M1715" s="239"/>
      <c r="N1715" s="73" t="s">
        <v>5459</v>
      </c>
      <c r="O1715" s="73" t="s">
        <v>5463</v>
      </c>
      <c r="P1715" s="74"/>
      <c r="Q1715" s="75" t="s">
        <v>5464</v>
      </c>
      <c r="R1715" s="230">
        <v>3877.5</v>
      </c>
      <c r="S1715" s="230">
        <v>0</v>
      </c>
      <c r="T1715" s="230">
        <v>3877.5</v>
      </c>
      <c r="U1715" s="231">
        <v>1597.5</v>
      </c>
      <c r="V1715" s="230"/>
      <c r="W1715" s="230"/>
      <c r="X1715" s="231"/>
      <c r="Y1715" s="85"/>
      <c r="Z1715" s="101">
        <v>0.1</v>
      </c>
      <c r="AA1715" s="102">
        <v>0.09</v>
      </c>
      <c r="AB1715" s="77"/>
      <c r="AC1715" s="78"/>
    </row>
    <row r="1716" spans="1:29" ht="79" customHeight="1" x14ac:dyDescent="0.2">
      <c r="A1716" s="117" t="s">
        <v>5465</v>
      </c>
      <c r="B1716" s="118" t="e">
        <f t="shared" si="182"/>
        <v>#VALUE!</v>
      </c>
      <c r="C1716" s="118" t="s">
        <v>612</v>
      </c>
      <c r="D1716" s="113">
        <v>41354</v>
      </c>
      <c r="E1716" s="84">
        <v>41791</v>
      </c>
      <c r="F1716" s="84">
        <f t="shared" si="183"/>
        <v>45444</v>
      </c>
      <c r="G1716" s="229">
        <v>1230.8499999999999</v>
      </c>
      <c r="H1716" s="71" t="s">
        <v>906</v>
      </c>
      <c r="I1716" s="71" t="s">
        <v>691</v>
      </c>
      <c r="J1716" s="238"/>
      <c r="K1716" s="55">
        <f t="shared" si="184"/>
        <v>2024</v>
      </c>
      <c r="L1716" s="239"/>
      <c r="M1716" s="239"/>
      <c r="N1716" s="73" t="s">
        <v>5459</v>
      </c>
      <c r="O1716" s="73" t="s">
        <v>5466</v>
      </c>
      <c r="P1716" s="74"/>
      <c r="Q1716" s="75" t="s">
        <v>5467</v>
      </c>
      <c r="R1716" s="230">
        <v>4458.5</v>
      </c>
      <c r="S1716" s="230">
        <v>0</v>
      </c>
      <c r="T1716" s="230">
        <v>4458.5</v>
      </c>
      <c r="U1716" s="231">
        <v>1846.5</v>
      </c>
      <c r="V1716" s="230"/>
      <c r="W1716" s="230"/>
      <c r="X1716" s="231"/>
      <c r="Y1716" s="85"/>
      <c r="Z1716" s="101">
        <v>0.1</v>
      </c>
      <c r="AA1716" s="102">
        <v>0.09</v>
      </c>
      <c r="AB1716" s="77"/>
      <c r="AC1716" s="78"/>
    </row>
    <row r="1717" spans="1:29" ht="53" customHeight="1" x14ac:dyDescent="0.2">
      <c r="A1717" s="117" t="s">
        <v>5468</v>
      </c>
      <c r="B1717" s="118" t="e">
        <f t="shared" si="182"/>
        <v>#VALUE!</v>
      </c>
      <c r="C1717" s="118" t="s">
        <v>612</v>
      </c>
      <c r="D1717" s="113">
        <v>41354</v>
      </c>
      <c r="E1717" s="84">
        <v>41791</v>
      </c>
      <c r="F1717" s="84">
        <f t="shared" si="183"/>
        <v>45444</v>
      </c>
      <c r="G1717" s="229">
        <v>1627.29</v>
      </c>
      <c r="H1717" s="71" t="s">
        <v>906</v>
      </c>
      <c r="I1717" s="71" t="s">
        <v>691</v>
      </c>
      <c r="J1717" s="238"/>
      <c r="K1717" s="55">
        <f t="shared" si="184"/>
        <v>2024</v>
      </c>
      <c r="L1717" s="239"/>
      <c r="M1717" s="239"/>
      <c r="N1717" s="73" t="s">
        <v>5459</v>
      </c>
      <c r="O1717" s="73" t="s">
        <v>5469</v>
      </c>
      <c r="P1717" s="74"/>
      <c r="Q1717" s="75" t="s">
        <v>5470</v>
      </c>
      <c r="R1717" s="230">
        <v>5848</v>
      </c>
      <c r="S1717" s="230">
        <v>0</v>
      </c>
      <c r="T1717" s="230">
        <v>5848</v>
      </c>
      <c r="U1717" s="231">
        <v>2442</v>
      </c>
      <c r="V1717" s="230"/>
      <c r="W1717" s="230"/>
      <c r="X1717" s="231"/>
      <c r="Y1717" s="85"/>
      <c r="Z1717" s="101">
        <v>0.1</v>
      </c>
      <c r="AA1717" s="102">
        <v>0.09</v>
      </c>
      <c r="AB1717" s="77"/>
      <c r="AC1717" s="78"/>
    </row>
    <row r="1718" spans="1:29" x14ac:dyDescent="0.2">
      <c r="A1718" s="117" t="s">
        <v>5471</v>
      </c>
      <c r="B1718" s="118" t="e">
        <f t="shared" si="182"/>
        <v>#VALUE!</v>
      </c>
      <c r="C1718" s="118" t="s">
        <v>612</v>
      </c>
      <c r="D1718" s="113">
        <v>41354</v>
      </c>
      <c r="E1718" s="84">
        <v>41791</v>
      </c>
      <c r="F1718" s="84">
        <f t="shared" si="183"/>
        <v>45444</v>
      </c>
      <c r="G1718" s="229">
        <v>641.55999999999995</v>
      </c>
      <c r="H1718" s="71" t="s">
        <v>906</v>
      </c>
      <c r="I1718" s="71" t="s">
        <v>691</v>
      </c>
      <c r="J1718" s="238"/>
      <c r="K1718" s="55">
        <f t="shared" si="184"/>
        <v>2024</v>
      </c>
      <c r="L1718" s="239"/>
      <c r="M1718" s="239"/>
      <c r="N1718" s="73" t="s">
        <v>5459</v>
      </c>
      <c r="O1718" s="73" t="s">
        <v>1280</v>
      </c>
      <c r="P1718" s="74"/>
      <c r="Q1718" s="75" t="s">
        <v>5472</v>
      </c>
      <c r="R1718" s="230">
        <v>2397</v>
      </c>
      <c r="S1718" s="230">
        <v>0</v>
      </c>
      <c r="T1718" s="230">
        <v>2397</v>
      </c>
      <c r="U1718" s="231">
        <v>963</v>
      </c>
      <c r="V1718" s="230"/>
      <c r="W1718" s="230"/>
      <c r="X1718" s="231"/>
      <c r="Y1718" s="85"/>
      <c r="Z1718" s="101">
        <v>0.1</v>
      </c>
      <c r="AA1718" s="102">
        <v>0.09</v>
      </c>
      <c r="AB1718" s="77"/>
      <c r="AC1718" s="78"/>
    </row>
    <row r="1719" spans="1:29" ht="40" customHeight="1" x14ac:dyDescent="0.2">
      <c r="A1719" s="117" t="s">
        <v>5473</v>
      </c>
      <c r="B1719" s="118" t="e">
        <f t="shared" si="182"/>
        <v>#VALUE!</v>
      </c>
      <c r="C1719" s="118" t="s">
        <v>612</v>
      </c>
      <c r="D1719" s="113">
        <v>41354</v>
      </c>
      <c r="E1719" s="84">
        <v>41791</v>
      </c>
      <c r="F1719" s="84">
        <f t="shared" si="183"/>
        <v>45444</v>
      </c>
      <c r="G1719" s="229">
        <v>610.91</v>
      </c>
      <c r="H1719" s="71" t="s">
        <v>906</v>
      </c>
      <c r="I1719" s="71" t="s">
        <v>691</v>
      </c>
      <c r="J1719" s="238"/>
      <c r="K1719" s="55">
        <f t="shared" si="184"/>
        <v>2024</v>
      </c>
      <c r="L1719" s="239"/>
      <c r="M1719" s="239"/>
      <c r="N1719" s="73" t="s">
        <v>5474</v>
      </c>
      <c r="O1719" s="73" t="s">
        <v>5475</v>
      </c>
      <c r="P1719" s="74"/>
      <c r="Q1719" s="75" t="s">
        <v>5476</v>
      </c>
      <c r="R1719" s="230">
        <v>2288.5</v>
      </c>
      <c r="S1719" s="230">
        <v>0</v>
      </c>
      <c r="T1719" s="230">
        <v>2288.5</v>
      </c>
      <c r="U1719" s="231">
        <v>916.5</v>
      </c>
      <c r="V1719" s="230"/>
      <c r="W1719" s="230"/>
      <c r="X1719" s="231"/>
      <c r="Y1719" s="85"/>
      <c r="Z1719" s="101">
        <v>0.1</v>
      </c>
      <c r="AA1719" s="102">
        <v>0.09</v>
      </c>
      <c r="AB1719" s="77"/>
      <c r="AC1719" s="78"/>
    </row>
    <row r="1720" spans="1:29" ht="27" customHeight="1" x14ac:dyDescent="0.2">
      <c r="A1720" s="117" t="s">
        <v>5477</v>
      </c>
      <c r="B1720" s="118" t="e">
        <f t="shared" si="182"/>
        <v>#VALUE!</v>
      </c>
      <c r="C1720" s="118" t="s">
        <v>612</v>
      </c>
      <c r="D1720" s="113">
        <v>41354</v>
      </c>
      <c r="E1720" s="84">
        <v>41791</v>
      </c>
      <c r="F1720" s="84">
        <f t="shared" si="183"/>
        <v>45444</v>
      </c>
      <c r="G1720" s="229">
        <v>1465.81</v>
      </c>
      <c r="H1720" s="71" t="s">
        <v>906</v>
      </c>
      <c r="I1720" s="71" t="s">
        <v>691</v>
      </c>
      <c r="J1720" s="238"/>
      <c r="K1720" s="55">
        <f t="shared" si="184"/>
        <v>2024</v>
      </c>
      <c r="L1720" s="239"/>
      <c r="M1720" s="239"/>
      <c r="N1720" s="73" t="s">
        <v>5474</v>
      </c>
      <c r="O1720" s="73" t="s">
        <v>5478</v>
      </c>
      <c r="P1720" s="74"/>
      <c r="Q1720" s="75" t="s">
        <v>5479</v>
      </c>
      <c r="R1720" s="230">
        <v>5281</v>
      </c>
      <c r="S1720" s="230">
        <v>0</v>
      </c>
      <c r="T1720" s="230">
        <v>5281</v>
      </c>
      <c r="U1720" s="231">
        <v>2199</v>
      </c>
      <c r="V1720" s="230"/>
      <c r="W1720" s="230"/>
      <c r="X1720" s="231"/>
      <c r="Y1720" s="85"/>
      <c r="Z1720" s="101">
        <v>0.1</v>
      </c>
      <c r="AA1720" s="102">
        <v>0.09</v>
      </c>
      <c r="AB1720" s="77"/>
      <c r="AC1720" s="78"/>
    </row>
    <row r="1721" spans="1:29" ht="27" customHeight="1" x14ac:dyDescent="0.2">
      <c r="A1721" s="117" t="s">
        <v>5480</v>
      </c>
      <c r="B1721" s="118" t="e">
        <f t="shared" si="182"/>
        <v>#VALUE!</v>
      </c>
      <c r="C1721" s="118" t="s">
        <v>612</v>
      </c>
      <c r="D1721" s="113">
        <v>41354</v>
      </c>
      <c r="E1721" s="84">
        <v>41791</v>
      </c>
      <c r="F1721" s="84">
        <f t="shared" si="183"/>
        <v>45444</v>
      </c>
      <c r="G1721" s="229">
        <v>1680.49</v>
      </c>
      <c r="H1721" s="71" t="s">
        <v>906</v>
      </c>
      <c r="I1721" s="71" t="s">
        <v>691</v>
      </c>
      <c r="J1721" s="238"/>
      <c r="K1721" s="55">
        <f t="shared" si="184"/>
        <v>2024</v>
      </c>
      <c r="L1721" s="239"/>
      <c r="M1721" s="239"/>
      <c r="N1721" s="73" t="s">
        <v>5474</v>
      </c>
      <c r="O1721" s="73" t="s">
        <v>5481</v>
      </c>
      <c r="P1721" s="74"/>
      <c r="Q1721" s="75" t="s">
        <v>5482</v>
      </c>
      <c r="R1721" s="230">
        <v>6033.5</v>
      </c>
      <c r="S1721" s="230">
        <v>0</v>
      </c>
      <c r="T1721" s="230">
        <v>6033.5</v>
      </c>
      <c r="U1721" s="231">
        <v>2521.5</v>
      </c>
      <c r="V1721" s="230"/>
      <c r="W1721" s="230"/>
      <c r="X1721" s="231"/>
      <c r="Y1721" s="85"/>
      <c r="Z1721" s="101">
        <v>0.1</v>
      </c>
      <c r="AA1721" s="102">
        <v>0.09</v>
      </c>
      <c r="AB1721" s="77"/>
      <c r="AC1721" s="78"/>
    </row>
    <row r="1722" spans="1:29" ht="40" customHeight="1" x14ac:dyDescent="0.2">
      <c r="A1722" s="117" t="s">
        <v>5483</v>
      </c>
      <c r="B1722" s="118" t="e">
        <f t="shared" si="182"/>
        <v>#VALUE!</v>
      </c>
      <c r="C1722" s="118" t="s">
        <v>612</v>
      </c>
      <c r="D1722" s="113">
        <v>41354</v>
      </c>
      <c r="E1722" s="84">
        <v>41791</v>
      </c>
      <c r="F1722" s="84">
        <f t="shared" si="183"/>
        <v>45444</v>
      </c>
      <c r="G1722" s="229">
        <v>718.26</v>
      </c>
      <c r="H1722" s="71" t="s">
        <v>906</v>
      </c>
      <c r="I1722" s="71" t="s">
        <v>691</v>
      </c>
      <c r="J1722" s="238"/>
      <c r="K1722" s="55">
        <f t="shared" si="184"/>
        <v>2024</v>
      </c>
      <c r="L1722" s="239"/>
      <c r="M1722" s="239"/>
      <c r="N1722" s="73" t="s">
        <v>5474</v>
      </c>
      <c r="O1722" s="73" t="s">
        <v>5484</v>
      </c>
      <c r="P1722" s="74"/>
      <c r="Q1722" s="75" t="s">
        <v>5485</v>
      </c>
      <c r="R1722" s="230">
        <v>2666.5</v>
      </c>
      <c r="S1722" s="230">
        <v>0</v>
      </c>
      <c r="T1722" s="230">
        <v>2666.5</v>
      </c>
      <c r="U1722" s="231">
        <v>1078.5</v>
      </c>
      <c r="V1722" s="230"/>
      <c r="W1722" s="230"/>
      <c r="X1722" s="231"/>
      <c r="Y1722" s="85"/>
      <c r="Z1722" s="101">
        <v>0.1</v>
      </c>
      <c r="AA1722" s="102">
        <v>0.09</v>
      </c>
      <c r="AB1722" s="77"/>
      <c r="AC1722" s="78"/>
    </row>
    <row r="1723" spans="1:29" x14ac:dyDescent="0.2">
      <c r="A1723" s="117" t="s">
        <v>5486</v>
      </c>
      <c r="B1723" s="118" t="e">
        <f t="shared" si="182"/>
        <v>#VALUE!</v>
      </c>
      <c r="C1723" s="118" t="s">
        <v>612</v>
      </c>
      <c r="D1723" s="113">
        <v>41354</v>
      </c>
      <c r="E1723" s="84">
        <v>41791</v>
      </c>
      <c r="F1723" s="84">
        <f t="shared" si="183"/>
        <v>45444</v>
      </c>
      <c r="G1723" s="229">
        <v>52.1</v>
      </c>
      <c r="H1723" s="71" t="s">
        <v>1086</v>
      </c>
      <c r="I1723" s="71" t="s">
        <v>691</v>
      </c>
      <c r="J1723" s="238"/>
      <c r="K1723" s="55">
        <f t="shared" si="184"/>
        <v>2024</v>
      </c>
      <c r="L1723" s="239"/>
      <c r="M1723" s="239"/>
      <c r="N1723" s="73" t="s">
        <v>5487</v>
      </c>
      <c r="O1723" s="73" t="s">
        <v>5488</v>
      </c>
      <c r="P1723" s="74"/>
      <c r="Q1723" s="75" t="s">
        <v>5489</v>
      </c>
      <c r="R1723" s="230">
        <v>335.5</v>
      </c>
      <c r="S1723" s="230">
        <v>1060</v>
      </c>
      <c r="T1723" s="230">
        <v>1395.5</v>
      </c>
      <c r="U1723" s="231">
        <v>79.5</v>
      </c>
      <c r="V1723" s="230"/>
      <c r="W1723" s="230"/>
      <c r="X1723" s="231"/>
      <c r="Y1723" s="85"/>
      <c r="Z1723" s="101">
        <v>0.1</v>
      </c>
      <c r="AA1723" s="102">
        <v>0.09</v>
      </c>
      <c r="AB1723" s="77"/>
      <c r="AC1723" s="78"/>
    </row>
    <row r="1724" spans="1:29" ht="40" customHeight="1" x14ac:dyDescent="0.2">
      <c r="A1724" s="117" t="s">
        <v>5490</v>
      </c>
      <c r="B1724" s="118" t="e">
        <f t="shared" si="182"/>
        <v>#VALUE!</v>
      </c>
      <c r="C1724" s="118" t="s">
        <v>612</v>
      </c>
      <c r="D1724" s="113">
        <v>41354</v>
      </c>
      <c r="E1724" s="84">
        <v>41791</v>
      </c>
      <c r="F1724" s="84">
        <f t="shared" si="183"/>
        <v>45444</v>
      </c>
      <c r="G1724" s="229">
        <v>535.98</v>
      </c>
      <c r="H1724" s="71" t="s">
        <v>1086</v>
      </c>
      <c r="I1724" s="71" t="s">
        <v>691</v>
      </c>
      <c r="J1724" s="238"/>
      <c r="K1724" s="55">
        <f t="shared" si="184"/>
        <v>2024</v>
      </c>
      <c r="L1724" s="239"/>
      <c r="M1724" s="239"/>
      <c r="N1724" s="73" t="s">
        <v>5487</v>
      </c>
      <c r="O1724" s="73" t="s">
        <v>5491</v>
      </c>
      <c r="P1724" s="74"/>
      <c r="Q1724" s="75" t="s">
        <v>5492</v>
      </c>
      <c r="R1724" s="230">
        <v>2026</v>
      </c>
      <c r="S1724" s="230">
        <v>0</v>
      </c>
      <c r="T1724" s="230">
        <v>2026</v>
      </c>
      <c r="U1724" s="231">
        <v>804</v>
      </c>
      <c r="V1724" s="230"/>
      <c r="W1724" s="230"/>
      <c r="X1724" s="231"/>
      <c r="Y1724" s="85"/>
      <c r="Z1724" s="101">
        <v>0.1</v>
      </c>
      <c r="AA1724" s="102">
        <v>0.09</v>
      </c>
      <c r="AB1724" s="77"/>
      <c r="AC1724" s="78"/>
    </row>
    <row r="1725" spans="1:29" x14ac:dyDescent="0.2">
      <c r="A1725" s="117" t="s">
        <v>5493</v>
      </c>
      <c r="B1725" s="118" t="e">
        <f t="shared" si="182"/>
        <v>#VALUE!</v>
      </c>
      <c r="C1725" s="118" t="s">
        <v>612</v>
      </c>
      <c r="D1725" s="113">
        <v>41354</v>
      </c>
      <c r="E1725" s="84">
        <v>41791</v>
      </c>
      <c r="F1725" s="84">
        <f t="shared" si="183"/>
        <v>45444</v>
      </c>
      <c r="G1725" s="229">
        <v>105.84</v>
      </c>
      <c r="H1725" s="71" t="s">
        <v>1086</v>
      </c>
      <c r="I1725" s="71" t="s">
        <v>691</v>
      </c>
      <c r="J1725" s="238"/>
      <c r="K1725" s="55">
        <f t="shared" si="184"/>
        <v>2024</v>
      </c>
      <c r="L1725" s="239"/>
      <c r="M1725" s="239"/>
      <c r="N1725" s="73" t="s">
        <v>5487</v>
      </c>
      <c r="O1725" s="73" t="s">
        <v>5494</v>
      </c>
      <c r="P1725" s="74"/>
      <c r="Q1725" s="75" t="s">
        <v>5495</v>
      </c>
      <c r="R1725" s="230">
        <v>521</v>
      </c>
      <c r="S1725" s="230">
        <v>1908</v>
      </c>
      <c r="T1725" s="230">
        <v>2429</v>
      </c>
      <c r="U1725" s="231">
        <v>159</v>
      </c>
      <c r="V1725" s="230"/>
      <c r="W1725" s="230"/>
      <c r="X1725" s="231"/>
      <c r="Y1725" s="85"/>
      <c r="Z1725" s="101">
        <v>0.1</v>
      </c>
      <c r="AA1725" s="102">
        <v>0.09</v>
      </c>
      <c r="AB1725" s="77"/>
      <c r="AC1725" s="78"/>
    </row>
    <row r="1726" spans="1:29" x14ac:dyDescent="0.2">
      <c r="A1726" s="117" t="s">
        <v>5496</v>
      </c>
      <c r="B1726" s="118" t="e">
        <f t="shared" si="182"/>
        <v>#VALUE!</v>
      </c>
      <c r="C1726" s="118" t="s">
        <v>612</v>
      </c>
      <c r="D1726" s="113">
        <v>41354</v>
      </c>
      <c r="E1726" s="84">
        <v>41791</v>
      </c>
      <c r="F1726" s="84">
        <f t="shared" si="183"/>
        <v>45444</v>
      </c>
      <c r="G1726" s="229">
        <v>329.28</v>
      </c>
      <c r="H1726" s="71" t="s">
        <v>960</v>
      </c>
      <c r="I1726" s="71" t="s">
        <v>691</v>
      </c>
      <c r="J1726" s="238"/>
      <c r="K1726" s="55">
        <f t="shared" si="184"/>
        <v>2024</v>
      </c>
      <c r="L1726" s="239"/>
      <c r="M1726" s="239"/>
      <c r="N1726" s="73" t="s">
        <v>5487</v>
      </c>
      <c r="O1726" s="73" t="s">
        <v>5497</v>
      </c>
      <c r="P1726" s="74"/>
      <c r="Q1726" s="75" t="s">
        <v>5498</v>
      </c>
      <c r="R1726" s="230">
        <v>1305</v>
      </c>
      <c r="S1726" s="230">
        <v>0</v>
      </c>
      <c r="T1726" s="230">
        <v>1305</v>
      </c>
      <c r="U1726" s="231">
        <v>495</v>
      </c>
      <c r="V1726" s="230"/>
      <c r="W1726" s="230"/>
      <c r="X1726" s="231"/>
      <c r="Y1726" s="85"/>
      <c r="Z1726" s="101">
        <v>0.1</v>
      </c>
      <c r="AA1726" s="102">
        <v>0.09</v>
      </c>
      <c r="AB1726" s="77"/>
      <c r="AC1726" s="78"/>
    </row>
    <row r="1727" spans="1:29" ht="40" customHeight="1" x14ac:dyDescent="0.2">
      <c r="A1727" s="117" t="s">
        <v>5499</v>
      </c>
      <c r="B1727" s="118" t="e">
        <f t="shared" si="182"/>
        <v>#VALUE!</v>
      </c>
      <c r="C1727" s="118" t="s">
        <v>612</v>
      </c>
      <c r="D1727" s="113">
        <v>41354</v>
      </c>
      <c r="E1727" s="84">
        <v>41791</v>
      </c>
      <c r="F1727" s="84">
        <f t="shared" si="183"/>
        <v>45444</v>
      </c>
      <c r="G1727" s="229">
        <v>454</v>
      </c>
      <c r="H1727" s="71" t="s">
        <v>4397</v>
      </c>
      <c r="I1727" s="71" t="s">
        <v>691</v>
      </c>
      <c r="J1727" s="238"/>
      <c r="K1727" s="55">
        <f t="shared" si="184"/>
        <v>2024</v>
      </c>
      <c r="L1727" s="239"/>
      <c r="M1727" s="239"/>
      <c r="N1727" s="73" t="s">
        <v>5487</v>
      </c>
      <c r="O1727" s="73" t="s">
        <v>5500</v>
      </c>
      <c r="P1727" s="74"/>
      <c r="Q1727" s="75" t="s">
        <v>5501</v>
      </c>
      <c r="R1727" s="230">
        <v>1739</v>
      </c>
      <c r="S1727" s="230">
        <v>0</v>
      </c>
      <c r="T1727" s="230">
        <v>1739</v>
      </c>
      <c r="U1727" s="231">
        <v>681</v>
      </c>
      <c r="V1727" s="230"/>
      <c r="W1727" s="230"/>
      <c r="X1727" s="231"/>
      <c r="Y1727" s="85"/>
      <c r="Z1727" s="101">
        <v>0.1</v>
      </c>
      <c r="AA1727" s="102">
        <v>0.09</v>
      </c>
      <c r="AB1727" s="77"/>
      <c r="AC1727" s="78"/>
    </row>
    <row r="1728" spans="1:29" x14ac:dyDescent="0.2">
      <c r="A1728" s="117" t="s">
        <v>5502</v>
      </c>
      <c r="B1728" s="118" t="e">
        <f t="shared" si="182"/>
        <v>#VALUE!</v>
      </c>
      <c r="C1728" s="118" t="s">
        <v>612</v>
      </c>
      <c r="D1728" s="113">
        <v>41354</v>
      </c>
      <c r="E1728" s="84">
        <v>41791</v>
      </c>
      <c r="F1728" s="84">
        <f t="shared" si="183"/>
        <v>45444</v>
      </c>
      <c r="G1728" s="229">
        <v>22.78</v>
      </c>
      <c r="H1728" s="71" t="s">
        <v>4397</v>
      </c>
      <c r="I1728" s="71" t="s">
        <v>691</v>
      </c>
      <c r="J1728" s="238"/>
      <c r="K1728" s="55">
        <f t="shared" si="184"/>
        <v>2024</v>
      </c>
      <c r="L1728" s="239"/>
      <c r="M1728" s="239"/>
      <c r="N1728" s="73" t="s">
        <v>5487</v>
      </c>
      <c r="O1728" s="73" t="s">
        <v>5503</v>
      </c>
      <c r="P1728" s="74"/>
      <c r="Q1728" s="75" t="s">
        <v>5504</v>
      </c>
      <c r="R1728" s="230">
        <v>230.5</v>
      </c>
      <c r="S1728" s="230">
        <v>0</v>
      </c>
      <c r="T1728" s="230">
        <v>230.5</v>
      </c>
      <c r="U1728" s="231">
        <v>34.5</v>
      </c>
      <c r="V1728" s="230"/>
      <c r="W1728" s="230"/>
      <c r="X1728" s="231"/>
      <c r="Y1728" s="85"/>
      <c r="Z1728" s="101">
        <v>0.1</v>
      </c>
      <c r="AA1728" s="102">
        <v>0.09</v>
      </c>
      <c r="AB1728" s="77"/>
      <c r="AC1728" s="78"/>
    </row>
    <row r="1729" spans="1:29" ht="79" customHeight="1" x14ac:dyDescent="0.2">
      <c r="A1729" s="117" t="s">
        <v>5505</v>
      </c>
      <c r="B1729" s="118" t="e">
        <f t="shared" si="182"/>
        <v>#VALUE!</v>
      </c>
      <c r="C1729" s="118" t="s">
        <v>612</v>
      </c>
      <c r="D1729" s="113">
        <v>41354</v>
      </c>
      <c r="E1729" s="84">
        <v>41791</v>
      </c>
      <c r="F1729" s="84">
        <f t="shared" si="183"/>
        <v>45444</v>
      </c>
      <c r="G1729" s="229">
        <v>17.22</v>
      </c>
      <c r="H1729" s="71" t="s">
        <v>4397</v>
      </c>
      <c r="I1729" s="71" t="s">
        <v>691</v>
      </c>
      <c r="J1729" s="238"/>
      <c r="K1729" s="55">
        <f t="shared" si="184"/>
        <v>2024</v>
      </c>
      <c r="L1729" s="239"/>
      <c r="M1729" s="239"/>
      <c r="N1729" s="73" t="s">
        <v>5487</v>
      </c>
      <c r="O1729" s="73" t="s">
        <v>5506</v>
      </c>
      <c r="P1729" s="74"/>
      <c r="Q1729" s="75" t="s">
        <v>5507</v>
      </c>
      <c r="R1729" s="230">
        <v>213</v>
      </c>
      <c r="S1729" s="230">
        <v>0</v>
      </c>
      <c r="T1729" s="230">
        <v>213</v>
      </c>
      <c r="U1729" s="231">
        <v>27</v>
      </c>
      <c r="V1729" s="230"/>
      <c r="W1729" s="230"/>
      <c r="X1729" s="231"/>
      <c r="Y1729" s="85"/>
      <c r="Z1729" s="101">
        <v>0.1</v>
      </c>
      <c r="AA1729" s="102">
        <v>0.09</v>
      </c>
      <c r="AB1729" s="77"/>
      <c r="AC1729" s="78"/>
    </row>
    <row r="1730" spans="1:29" ht="27" customHeight="1" x14ac:dyDescent="0.2">
      <c r="A1730" s="117" t="s">
        <v>5508</v>
      </c>
      <c r="B1730" s="118" t="e">
        <f t="shared" si="182"/>
        <v>#VALUE!</v>
      </c>
      <c r="C1730" s="118" t="s">
        <v>612</v>
      </c>
      <c r="D1730" s="113">
        <v>41354</v>
      </c>
      <c r="E1730" s="84">
        <v>41791</v>
      </c>
      <c r="F1730" s="84">
        <f t="shared" si="183"/>
        <v>45444</v>
      </c>
      <c r="G1730" s="229">
        <v>228.51</v>
      </c>
      <c r="H1730" s="71" t="s">
        <v>4397</v>
      </c>
      <c r="I1730" s="71" t="s">
        <v>691</v>
      </c>
      <c r="J1730" s="238"/>
      <c r="K1730" s="55">
        <f t="shared" si="184"/>
        <v>2024</v>
      </c>
      <c r="L1730" s="239"/>
      <c r="M1730" s="239"/>
      <c r="N1730" s="73" t="s">
        <v>5487</v>
      </c>
      <c r="O1730" s="73" t="s">
        <v>5509</v>
      </c>
      <c r="P1730" s="74"/>
      <c r="Q1730" s="75" t="s">
        <v>5510</v>
      </c>
      <c r="R1730" s="230">
        <v>951.5</v>
      </c>
      <c r="S1730" s="230">
        <v>0</v>
      </c>
      <c r="T1730" s="230">
        <v>951.5</v>
      </c>
      <c r="U1730" s="231">
        <v>343.5</v>
      </c>
      <c r="V1730" s="230"/>
      <c r="W1730" s="230"/>
      <c r="X1730" s="231"/>
      <c r="Y1730" s="85"/>
      <c r="Z1730" s="101">
        <v>0.1</v>
      </c>
      <c r="AA1730" s="102">
        <v>0.09</v>
      </c>
      <c r="AB1730" s="77"/>
      <c r="AC1730" s="78"/>
    </row>
    <row r="1731" spans="1:29" x14ac:dyDescent="0.2">
      <c r="A1731" s="117" t="s">
        <v>5511</v>
      </c>
      <c r="B1731" s="118" t="e">
        <f t="shared" si="182"/>
        <v>#VALUE!</v>
      </c>
      <c r="C1731" s="118" t="s">
        <v>612</v>
      </c>
      <c r="D1731" s="113">
        <v>41354</v>
      </c>
      <c r="E1731" s="84">
        <v>41791</v>
      </c>
      <c r="F1731" s="84">
        <f t="shared" si="183"/>
        <v>45444</v>
      </c>
      <c r="G1731" s="229">
        <v>40</v>
      </c>
      <c r="H1731" s="71" t="s">
        <v>1086</v>
      </c>
      <c r="I1731" s="71" t="s">
        <v>691</v>
      </c>
      <c r="J1731" s="238"/>
      <c r="K1731" s="55">
        <f t="shared" si="184"/>
        <v>2024</v>
      </c>
      <c r="L1731" s="239"/>
      <c r="M1731" s="239"/>
      <c r="N1731" s="73" t="s">
        <v>5512</v>
      </c>
      <c r="O1731" s="73" t="s">
        <v>1999</v>
      </c>
      <c r="P1731" s="74"/>
      <c r="Q1731" s="75" t="s">
        <v>5513</v>
      </c>
      <c r="R1731" s="230">
        <v>290</v>
      </c>
      <c r="S1731" s="230">
        <v>0</v>
      </c>
      <c r="T1731" s="230">
        <v>290</v>
      </c>
      <c r="U1731" s="231">
        <v>60</v>
      </c>
      <c r="V1731" s="230"/>
      <c r="W1731" s="230"/>
      <c r="X1731" s="231"/>
      <c r="Y1731" s="85"/>
      <c r="Z1731" s="101">
        <v>0.1</v>
      </c>
      <c r="AA1731" s="102">
        <v>0.09</v>
      </c>
      <c r="AB1731" s="77"/>
      <c r="AC1731" s="78"/>
    </row>
    <row r="1732" spans="1:29" x14ac:dyDescent="0.2">
      <c r="A1732" s="117" t="s">
        <v>5514</v>
      </c>
      <c r="B1732" s="118" t="e">
        <f t="shared" si="182"/>
        <v>#VALUE!</v>
      </c>
      <c r="C1732" s="118" t="s">
        <v>612</v>
      </c>
      <c r="D1732" s="113">
        <v>41354</v>
      </c>
      <c r="E1732" s="84">
        <v>41791</v>
      </c>
      <c r="F1732" s="84">
        <f t="shared" si="183"/>
        <v>45444</v>
      </c>
      <c r="G1732" s="229">
        <v>40</v>
      </c>
      <c r="H1732" s="71" t="s">
        <v>1086</v>
      </c>
      <c r="I1732" s="71" t="s">
        <v>691</v>
      </c>
      <c r="J1732" s="238"/>
      <c r="K1732" s="55">
        <f t="shared" si="184"/>
        <v>2024</v>
      </c>
      <c r="L1732" s="239"/>
      <c r="M1732" s="239"/>
      <c r="N1732" s="73" t="s">
        <v>5515</v>
      </c>
      <c r="O1732" s="73" t="s">
        <v>5516</v>
      </c>
      <c r="P1732" s="74"/>
      <c r="Q1732" s="75" t="s">
        <v>5517</v>
      </c>
      <c r="R1732" s="230">
        <v>290</v>
      </c>
      <c r="S1732" s="230">
        <v>960</v>
      </c>
      <c r="T1732" s="230">
        <v>1250</v>
      </c>
      <c r="U1732" s="231">
        <v>60</v>
      </c>
      <c r="V1732" s="230"/>
      <c r="W1732" s="230"/>
      <c r="X1732" s="231"/>
      <c r="Y1732" s="85"/>
      <c r="Z1732" s="101">
        <v>0.1</v>
      </c>
      <c r="AA1732" s="102">
        <v>0.09</v>
      </c>
      <c r="AB1732" s="77"/>
      <c r="AC1732" s="78"/>
    </row>
    <row r="1733" spans="1:29" ht="15" hidden="1" customHeight="1" thickBot="1" x14ac:dyDescent="0.25">
      <c r="A1733" s="117"/>
      <c r="D1733" s="113"/>
      <c r="E1733" s="84"/>
      <c r="F1733" s="84"/>
      <c r="G1733" s="229"/>
      <c r="H1733" s="71"/>
      <c r="I1733" s="71"/>
      <c r="J1733" s="79"/>
      <c r="K1733" s="79"/>
      <c r="L1733" s="80"/>
      <c r="M1733" s="80"/>
      <c r="N1733" s="73"/>
      <c r="O1733" s="73"/>
      <c r="P1733" s="74"/>
      <c r="Q1733" s="75"/>
      <c r="R1733" s="241">
        <v>114810.5</v>
      </c>
      <c r="S1733" s="241">
        <v>153742</v>
      </c>
      <c r="T1733" s="241">
        <v>268552.5</v>
      </c>
      <c r="U1733" s="231"/>
      <c r="V1733" s="230"/>
      <c r="W1733" s="230"/>
      <c r="X1733" s="231"/>
      <c r="Y1733" s="85"/>
      <c r="Z1733" s="110"/>
      <c r="AA1733" s="111"/>
      <c r="AB1733" s="77"/>
      <c r="AC1733" s="78"/>
    </row>
    <row r="1734" spans="1:29" hidden="1" x14ac:dyDescent="0.2">
      <c r="A1734" s="117"/>
      <c r="D1734" s="71"/>
      <c r="E1734" s="78"/>
      <c r="F1734" s="84"/>
      <c r="G1734" s="229"/>
      <c r="H1734" s="71"/>
      <c r="I1734" s="71"/>
      <c r="J1734" s="79"/>
      <c r="K1734" s="79"/>
      <c r="L1734" s="80"/>
      <c r="M1734" s="80"/>
      <c r="N1734" s="73"/>
      <c r="O1734" s="73"/>
      <c r="P1734" s="74"/>
      <c r="Q1734" s="75"/>
      <c r="R1734" s="230"/>
      <c r="S1734" s="230"/>
      <c r="T1734" s="230"/>
      <c r="U1734" s="231"/>
      <c r="V1734" s="230"/>
      <c r="W1734" s="230"/>
      <c r="X1734" s="231"/>
      <c r="Y1734" s="85"/>
      <c r="Z1734" s="85"/>
      <c r="AA1734" s="76"/>
      <c r="AB1734" s="77"/>
      <c r="AC1734" s="78"/>
    </row>
    <row r="1735" spans="1:29" x14ac:dyDescent="0.2">
      <c r="A1735" s="117" t="s">
        <v>5518</v>
      </c>
      <c r="B1735" s="118" t="e">
        <f t="shared" ref="B1735:B1755" si="185">IF(COUNTIF(GIS,A1735),"YES","NO")</f>
        <v>#VALUE!</v>
      </c>
      <c r="C1735" s="118" t="s">
        <v>612</v>
      </c>
      <c r="D1735" s="113">
        <v>41529</v>
      </c>
      <c r="E1735" s="84">
        <v>41609</v>
      </c>
      <c r="F1735" s="84">
        <f t="shared" ref="F1735:F1752" si="186">DATE(YEAR(E1735)+10,MONTH(E1735),DAY(E1735))</f>
        <v>45261</v>
      </c>
      <c r="G1735" s="229">
        <v>403.34</v>
      </c>
      <c r="H1735" s="237" t="s">
        <v>960</v>
      </c>
      <c r="I1735" s="71" t="s">
        <v>691</v>
      </c>
      <c r="J1735" s="79"/>
      <c r="K1735" s="55">
        <f t="shared" ref="K1735:K1752" si="187">YEAR(F1735)</f>
        <v>2023</v>
      </c>
      <c r="L1735" s="80"/>
      <c r="M1735" s="80"/>
      <c r="N1735" s="73" t="s">
        <v>5519</v>
      </c>
      <c r="O1735" s="73" t="s">
        <v>5520</v>
      </c>
      <c r="P1735" s="74"/>
      <c r="Q1735" s="75" t="s">
        <v>5521</v>
      </c>
      <c r="R1735" s="230">
        <v>1564</v>
      </c>
      <c r="S1735" s="230">
        <v>4040</v>
      </c>
      <c r="T1735" s="230">
        <v>5604</v>
      </c>
      <c r="U1735" s="268">
        <v>606</v>
      </c>
      <c r="V1735" s="269"/>
      <c r="W1735" s="269"/>
      <c r="X1735" s="268"/>
      <c r="Y1735" s="85"/>
      <c r="Z1735" s="101">
        <v>0.1</v>
      </c>
      <c r="AA1735" s="102">
        <v>0.09</v>
      </c>
      <c r="AB1735" s="77"/>
      <c r="AC1735" s="78"/>
    </row>
    <row r="1736" spans="1:29" x14ac:dyDescent="0.2">
      <c r="A1736" s="117" t="s">
        <v>5522</v>
      </c>
      <c r="B1736" s="118" t="e">
        <f t="shared" si="185"/>
        <v>#VALUE!</v>
      </c>
      <c r="C1736" s="118" t="s">
        <v>612</v>
      </c>
      <c r="D1736" s="113">
        <v>41529</v>
      </c>
      <c r="E1736" s="84">
        <v>41609</v>
      </c>
      <c r="F1736" s="84">
        <f t="shared" si="186"/>
        <v>45261</v>
      </c>
      <c r="G1736" s="270">
        <v>80</v>
      </c>
      <c r="H1736" s="71" t="s">
        <v>4924</v>
      </c>
      <c r="I1736" s="71" t="s">
        <v>691</v>
      </c>
      <c r="J1736" s="248"/>
      <c r="K1736" s="55">
        <f t="shared" si="187"/>
        <v>2023</v>
      </c>
      <c r="L1736" s="249"/>
      <c r="M1736" s="249"/>
      <c r="N1736" s="73" t="s">
        <v>5523</v>
      </c>
      <c r="O1736" s="73" t="s">
        <v>5524</v>
      </c>
      <c r="P1736" s="74"/>
      <c r="Q1736" s="75" t="s">
        <v>5525</v>
      </c>
      <c r="R1736" s="230">
        <v>430</v>
      </c>
      <c r="S1736" s="230">
        <v>55840</v>
      </c>
      <c r="T1736" s="230">
        <v>56270</v>
      </c>
      <c r="U1736" s="231">
        <v>120</v>
      </c>
      <c r="V1736" s="230"/>
      <c r="W1736" s="230"/>
      <c r="X1736" s="231"/>
      <c r="Y1736" s="85"/>
      <c r="Z1736" s="101">
        <v>0.1</v>
      </c>
      <c r="AA1736" s="102">
        <v>0.09</v>
      </c>
      <c r="AB1736" s="77"/>
      <c r="AC1736" s="78"/>
    </row>
    <row r="1737" spans="1:29" x14ac:dyDescent="0.2">
      <c r="A1737" s="117" t="s">
        <v>5526</v>
      </c>
      <c r="B1737" s="118" t="e">
        <f t="shared" si="185"/>
        <v>#VALUE!</v>
      </c>
      <c r="C1737" s="118" t="s">
        <v>612</v>
      </c>
      <c r="D1737" s="113">
        <v>41529</v>
      </c>
      <c r="E1737" s="103">
        <v>42675</v>
      </c>
      <c r="F1737" s="84">
        <f t="shared" si="186"/>
        <v>46327</v>
      </c>
      <c r="G1737" s="229">
        <v>106.3</v>
      </c>
      <c r="H1737" s="71" t="s">
        <v>5527</v>
      </c>
      <c r="I1737" s="71" t="s">
        <v>1703</v>
      </c>
      <c r="J1737" s="238"/>
      <c r="K1737" s="55">
        <f t="shared" si="187"/>
        <v>2026</v>
      </c>
      <c r="L1737" s="239"/>
      <c r="M1737" s="239"/>
      <c r="N1737" s="73" t="s">
        <v>5528</v>
      </c>
      <c r="O1737" s="73" t="s">
        <v>5529</v>
      </c>
      <c r="P1737" s="74"/>
      <c r="Q1737" s="75" t="s">
        <v>5530</v>
      </c>
      <c r="R1737" s="230">
        <v>524.5</v>
      </c>
      <c r="S1737" s="230">
        <v>214</v>
      </c>
      <c r="T1737" s="230">
        <v>738.5</v>
      </c>
      <c r="U1737" s="231">
        <v>160.5</v>
      </c>
      <c r="V1737" s="230"/>
      <c r="W1737" s="230"/>
      <c r="X1737" s="231"/>
      <c r="Y1737" s="85"/>
      <c r="Z1737" s="101">
        <v>0.1</v>
      </c>
      <c r="AA1737" s="102">
        <v>0.09</v>
      </c>
      <c r="AB1737" s="77"/>
      <c r="AC1737" s="78"/>
    </row>
    <row r="1738" spans="1:29" ht="27" customHeight="1" x14ac:dyDescent="0.2">
      <c r="A1738" s="117" t="s">
        <v>5531</v>
      </c>
      <c r="B1738" s="118" t="e">
        <f t="shared" si="185"/>
        <v>#VALUE!</v>
      </c>
      <c r="C1738" s="118" t="s">
        <v>612</v>
      </c>
      <c r="D1738" s="113">
        <v>41529</v>
      </c>
      <c r="E1738" s="84">
        <v>42644</v>
      </c>
      <c r="F1738" s="84">
        <f t="shared" si="186"/>
        <v>46296</v>
      </c>
      <c r="G1738" s="229">
        <v>935</v>
      </c>
      <c r="H1738" s="71" t="s">
        <v>5527</v>
      </c>
      <c r="I1738" s="71" t="s">
        <v>1703</v>
      </c>
      <c r="J1738" s="238"/>
      <c r="K1738" s="55">
        <f t="shared" si="187"/>
        <v>2026</v>
      </c>
      <c r="L1738" s="239"/>
      <c r="M1738" s="239"/>
      <c r="N1738" s="73" t="s">
        <v>5532</v>
      </c>
      <c r="O1738" s="73" t="s">
        <v>5533</v>
      </c>
      <c r="P1738" s="74" t="s">
        <v>5534</v>
      </c>
      <c r="Q1738" s="75" t="s">
        <v>5535</v>
      </c>
      <c r="R1738" s="230">
        <v>3422.5</v>
      </c>
      <c r="S1738" s="230">
        <v>7480</v>
      </c>
      <c r="T1738" s="230">
        <v>10902.5</v>
      </c>
      <c r="U1738" s="231">
        <v>1402.5</v>
      </c>
      <c r="V1738" s="230"/>
      <c r="W1738" s="230"/>
      <c r="X1738" s="231"/>
      <c r="Y1738" s="85"/>
      <c r="Z1738" s="101">
        <v>0.1</v>
      </c>
      <c r="AA1738" s="102">
        <v>0.09</v>
      </c>
      <c r="AB1738" s="77"/>
      <c r="AC1738" s="78"/>
    </row>
    <row r="1739" spans="1:29" ht="27" customHeight="1" x14ac:dyDescent="0.2">
      <c r="A1739" s="117" t="s">
        <v>5536</v>
      </c>
      <c r="B1739" s="118" t="e">
        <f t="shared" si="185"/>
        <v>#VALUE!</v>
      </c>
      <c r="C1739" s="118" t="s">
        <v>612</v>
      </c>
      <c r="D1739" s="113">
        <v>41529</v>
      </c>
      <c r="E1739" s="84">
        <v>42644</v>
      </c>
      <c r="F1739" s="84">
        <f t="shared" si="186"/>
        <v>46296</v>
      </c>
      <c r="G1739" s="229">
        <v>1578.34</v>
      </c>
      <c r="H1739" s="71" t="s">
        <v>5527</v>
      </c>
      <c r="I1739" s="71" t="s">
        <v>1703</v>
      </c>
      <c r="J1739" s="238"/>
      <c r="K1739" s="55">
        <f t="shared" si="187"/>
        <v>2026</v>
      </c>
      <c r="L1739" s="239"/>
      <c r="M1739" s="239"/>
      <c r="N1739" s="73" t="s">
        <v>5537</v>
      </c>
      <c r="O1739" s="73" t="s">
        <v>5538</v>
      </c>
      <c r="P1739" s="74" t="s">
        <v>5539</v>
      </c>
      <c r="Q1739" s="75" t="s">
        <v>5540</v>
      </c>
      <c r="R1739" s="230">
        <v>5676.5</v>
      </c>
      <c r="S1739" s="230">
        <v>50528</v>
      </c>
      <c r="T1739" s="230">
        <v>56204.5</v>
      </c>
      <c r="U1739" s="231">
        <v>2368.5</v>
      </c>
      <c r="V1739" s="230"/>
      <c r="W1739" s="230"/>
      <c r="X1739" s="231"/>
      <c r="Y1739" s="85"/>
      <c r="Z1739" s="101">
        <v>0.1</v>
      </c>
      <c r="AA1739" s="102">
        <v>0.09</v>
      </c>
      <c r="AB1739" s="77"/>
      <c r="AC1739" s="78"/>
    </row>
    <row r="1740" spans="1:29" ht="29" x14ac:dyDescent="0.2">
      <c r="A1740" s="117" t="s">
        <v>5541</v>
      </c>
      <c r="B1740" s="118" t="e">
        <f t="shared" si="185"/>
        <v>#VALUE!</v>
      </c>
      <c r="C1740" s="118" t="s">
        <v>612</v>
      </c>
      <c r="D1740" s="113">
        <v>41529</v>
      </c>
      <c r="E1740" s="84">
        <v>42644</v>
      </c>
      <c r="F1740" s="84">
        <f t="shared" si="186"/>
        <v>46296</v>
      </c>
      <c r="G1740" s="229">
        <v>1850</v>
      </c>
      <c r="H1740" s="71" t="s">
        <v>5527</v>
      </c>
      <c r="I1740" s="71" t="s">
        <v>1703</v>
      </c>
      <c r="J1740" s="238"/>
      <c r="K1740" s="55">
        <f t="shared" si="187"/>
        <v>2026</v>
      </c>
      <c r="L1740" s="239"/>
      <c r="M1740" s="239"/>
      <c r="N1740" s="73" t="s">
        <v>5537</v>
      </c>
      <c r="O1740" s="73" t="s">
        <v>5542</v>
      </c>
      <c r="P1740" s="74"/>
      <c r="Q1740" s="75" t="s">
        <v>5543</v>
      </c>
      <c r="R1740" s="230">
        <v>6625</v>
      </c>
      <c r="S1740" s="230">
        <v>59200</v>
      </c>
      <c r="T1740" s="230">
        <v>65825</v>
      </c>
      <c r="U1740" s="231">
        <v>2750</v>
      </c>
      <c r="V1740" s="230"/>
      <c r="W1740" s="230"/>
      <c r="X1740" s="231"/>
      <c r="Y1740" s="85"/>
      <c r="Z1740" s="101">
        <v>0.1</v>
      </c>
      <c r="AA1740" s="102">
        <v>0.09</v>
      </c>
      <c r="AB1740" s="77"/>
      <c r="AC1740" s="78"/>
    </row>
    <row r="1741" spans="1:29" ht="79" customHeight="1" x14ac:dyDescent="0.2">
      <c r="A1741" s="117" t="s">
        <v>5544</v>
      </c>
      <c r="B1741" s="118" t="e">
        <f t="shared" si="185"/>
        <v>#VALUE!</v>
      </c>
      <c r="C1741" s="118" t="s">
        <v>612</v>
      </c>
      <c r="D1741" s="113">
        <v>41529</v>
      </c>
      <c r="E1741" s="84">
        <v>42644</v>
      </c>
      <c r="F1741" s="84">
        <f t="shared" si="186"/>
        <v>46296</v>
      </c>
      <c r="G1741" s="229">
        <v>79.849999999999994</v>
      </c>
      <c r="H1741" s="71" t="s">
        <v>5527</v>
      </c>
      <c r="I1741" s="71" t="s">
        <v>1703</v>
      </c>
      <c r="J1741" s="238"/>
      <c r="K1741" s="55">
        <f t="shared" si="187"/>
        <v>2026</v>
      </c>
      <c r="L1741" s="239"/>
      <c r="M1741" s="239"/>
      <c r="N1741" s="73" t="s">
        <v>5537</v>
      </c>
      <c r="O1741" s="73" t="s">
        <v>5545</v>
      </c>
      <c r="P1741" s="74" t="s">
        <v>5546</v>
      </c>
      <c r="Q1741" s="75" t="s">
        <v>5547</v>
      </c>
      <c r="R1741" s="230">
        <v>430</v>
      </c>
      <c r="S1741" s="230">
        <v>2560</v>
      </c>
      <c r="T1741" s="230">
        <v>2990</v>
      </c>
      <c r="U1741" s="231">
        <v>120</v>
      </c>
      <c r="V1741" s="230"/>
      <c r="W1741" s="230"/>
      <c r="X1741" s="231"/>
      <c r="Y1741" s="85"/>
      <c r="Z1741" s="101">
        <v>0.1</v>
      </c>
      <c r="AA1741" s="102">
        <v>0.09</v>
      </c>
      <c r="AB1741" s="77"/>
      <c r="AC1741" s="78"/>
    </row>
    <row r="1742" spans="1:29" ht="29" x14ac:dyDescent="0.2">
      <c r="A1742" s="117" t="s">
        <v>5548</v>
      </c>
      <c r="B1742" s="118" t="e">
        <f t="shared" si="185"/>
        <v>#VALUE!</v>
      </c>
      <c r="C1742" s="118" t="s">
        <v>612</v>
      </c>
      <c r="D1742" s="113">
        <v>41529</v>
      </c>
      <c r="E1742" s="84">
        <v>42644</v>
      </c>
      <c r="F1742" s="84">
        <f t="shared" si="186"/>
        <v>46296</v>
      </c>
      <c r="G1742" s="229">
        <v>1715.53</v>
      </c>
      <c r="H1742" s="71" t="s">
        <v>5527</v>
      </c>
      <c r="I1742" s="71" t="s">
        <v>1703</v>
      </c>
      <c r="J1742" s="238"/>
      <c r="K1742" s="55">
        <f t="shared" si="187"/>
        <v>2026</v>
      </c>
      <c r="L1742" s="239"/>
      <c r="M1742" s="239"/>
      <c r="N1742" s="73" t="s">
        <v>5537</v>
      </c>
      <c r="O1742" s="73" t="s">
        <v>5542</v>
      </c>
      <c r="P1742" s="74"/>
      <c r="Q1742" s="75" t="s">
        <v>5549</v>
      </c>
      <c r="R1742" s="230">
        <v>6156</v>
      </c>
      <c r="S1742" s="230">
        <v>61776</v>
      </c>
      <c r="T1742" s="230">
        <v>67932</v>
      </c>
      <c r="U1742" s="231">
        <v>2574</v>
      </c>
      <c r="V1742" s="230"/>
      <c r="W1742" s="230"/>
      <c r="X1742" s="231"/>
      <c r="Y1742" s="85"/>
      <c r="Z1742" s="101">
        <v>0.1</v>
      </c>
      <c r="AA1742" s="102">
        <v>0.09</v>
      </c>
      <c r="AB1742" s="77"/>
      <c r="AC1742" s="78"/>
    </row>
    <row r="1743" spans="1:29" x14ac:dyDescent="0.2">
      <c r="A1743" s="117" t="s">
        <v>5550</v>
      </c>
      <c r="B1743" s="118" t="e">
        <f t="shared" si="185"/>
        <v>#VALUE!</v>
      </c>
      <c r="C1743" s="118" t="s">
        <v>612</v>
      </c>
      <c r="D1743" s="113">
        <v>41529</v>
      </c>
      <c r="E1743" s="84">
        <v>42644</v>
      </c>
      <c r="F1743" s="84">
        <f t="shared" si="186"/>
        <v>46296</v>
      </c>
      <c r="G1743" s="229">
        <v>1680</v>
      </c>
      <c r="H1743" s="71" t="s">
        <v>5527</v>
      </c>
      <c r="I1743" s="71" t="s">
        <v>1703</v>
      </c>
      <c r="J1743" s="238"/>
      <c r="K1743" s="55">
        <f t="shared" si="187"/>
        <v>2026</v>
      </c>
      <c r="L1743" s="239"/>
      <c r="M1743" s="239"/>
      <c r="N1743" s="73" t="s">
        <v>5537</v>
      </c>
      <c r="O1743" s="73" t="s">
        <v>5551</v>
      </c>
      <c r="P1743" s="74"/>
      <c r="Q1743" s="75" t="s">
        <v>5552</v>
      </c>
      <c r="R1743" s="230">
        <v>6030</v>
      </c>
      <c r="S1743" s="230">
        <v>20160</v>
      </c>
      <c r="T1743" s="230">
        <v>26190</v>
      </c>
      <c r="U1743" s="231">
        <v>2520</v>
      </c>
      <c r="V1743" s="230"/>
      <c r="W1743" s="230"/>
      <c r="X1743" s="231"/>
      <c r="Y1743" s="85"/>
      <c r="Z1743" s="101">
        <v>0.1</v>
      </c>
      <c r="AA1743" s="102">
        <v>0.09</v>
      </c>
      <c r="AB1743" s="77"/>
      <c r="AC1743" s="78"/>
    </row>
    <row r="1744" spans="1:29" ht="29" x14ac:dyDescent="0.2">
      <c r="A1744" s="117" t="s">
        <v>5553</v>
      </c>
      <c r="B1744" s="118" t="e">
        <f t="shared" si="185"/>
        <v>#VALUE!</v>
      </c>
      <c r="C1744" s="118" t="s">
        <v>612</v>
      </c>
      <c r="D1744" s="113">
        <v>41529</v>
      </c>
      <c r="E1744" s="84">
        <v>42644</v>
      </c>
      <c r="F1744" s="84">
        <f t="shared" si="186"/>
        <v>46296</v>
      </c>
      <c r="G1744" s="229">
        <v>1270</v>
      </c>
      <c r="H1744" s="71" t="s">
        <v>5527</v>
      </c>
      <c r="I1744" s="71" t="s">
        <v>1703</v>
      </c>
      <c r="J1744" s="238"/>
      <c r="K1744" s="55">
        <f t="shared" si="187"/>
        <v>2026</v>
      </c>
      <c r="L1744" s="239"/>
      <c r="M1744" s="239"/>
      <c r="N1744" s="73" t="s">
        <v>5537</v>
      </c>
      <c r="O1744" s="73" t="s">
        <v>5542</v>
      </c>
      <c r="P1744" s="74"/>
      <c r="Q1744" s="75" t="s">
        <v>5554</v>
      </c>
      <c r="R1744" s="230">
        <v>4595</v>
      </c>
      <c r="S1744" s="230">
        <v>15240</v>
      </c>
      <c r="T1744" s="230">
        <v>19835</v>
      </c>
      <c r="U1744" s="231">
        <v>1905</v>
      </c>
      <c r="V1744" s="230"/>
      <c r="W1744" s="230"/>
      <c r="X1744" s="231"/>
      <c r="Y1744" s="85"/>
      <c r="Z1744" s="101">
        <v>0.1</v>
      </c>
      <c r="AA1744" s="102">
        <v>0.09</v>
      </c>
      <c r="AB1744" s="77"/>
      <c r="AC1744" s="78"/>
    </row>
    <row r="1745" spans="1:29" ht="40" customHeight="1" x14ac:dyDescent="0.2">
      <c r="A1745" s="117" t="s">
        <v>5555</v>
      </c>
      <c r="B1745" s="114" t="e">
        <f t="shared" si="185"/>
        <v>#VALUE!</v>
      </c>
      <c r="C1745" s="118" t="s">
        <v>612</v>
      </c>
      <c r="D1745" s="113">
        <v>41529</v>
      </c>
      <c r="E1745" s="128">
        <v>42705</v>
      </c>
      <c r="F1745" s="84">
        <f t="shared" si="186"/>
        <v>46357</v>
      </c>
      <c r="G1745" s="229">
        <v>1675</v>
      </c>
      <c r="H1745" s="71" t="s">
        <v>5527</v>
      </c>
      <c r="I1745" s="71" t="s">
        <v>1703</v>
      </c>
      <c r="J1745" s="238"/>
      <c r="K1745" s="55">
        <f t="shared" si="187"/>
        <v>2026</v>
      </c>
      <c r="L1745" s="239"/>
      <c r="M1745" s="239"/>
      <c r="N1745" s="73" t="s">
        <v>5537</v>
      </c>
      <c r="O1745" s="73" t="s">
        <v>5556</v>
      </c>
      <c r="P1745" s="74" t="s">
        <v>5557</v>
      </c>
      <c r="Q1745" s="75" t="s">
        <v>5558</v>
      </c>
      <c r="R1745" s="230">
        <v>6012.5</v>
      </c>
      <c r="S1745" s="230">
        <v>20100</v>
      </c>
      <c r="T1745" s="230">
        <v>26112.5</v>
      </c>
      <c r="U1745" s="231">
        <v>2512.5</v>
      </c>
      <c r="V1745" s="230"/>
      <c r="W1745" s="230"/>
      <c r="X1745" s="231"/>
      <c r="Y1745" s="85"/>
      <c r="Z1745" s="101">
        <v>0.1</v>
      </c>
      <c r="AA1745" s="102">
        <v>0.09</v>
      </c>
      <c r="AB1745" s="77"/>
      <c r="AC1745" s="78"/>
    </row>
    <row r="1746" spans="1:29" ht="40" customHeight="1" x14ac:dyDescent="0.2">
      <c r="A1746" s="117" t="s">
        <v>5559</v>
      </c>
      <c r="B1746" s="118" t="e">
        <f t="shared" si="185"/>
        <v>#VALUE!</v>
      </c>
      <c r="C1746" s="118" t="s">
        <v>612</v>
      </c>
      <c r="D1746" s="113">
        <v>41529</v>
      </c>
      <c r="E1746" s="84">
        <v>42644</v>
      </c>
      <c r="F1746" s="84">
        <f t="shared" si="186"/>
        <v>46296</v>
      </c>
      <c r="G1746" s="229">
        <v>1215.18</v>
      </c>
      <c r="H1746" s="71" t="s">
        <v>5527</v>
      </c>
      <c r="I1746" s="71" t="s">
        <v>1703</v>
      </c>
      <c r="J1746" s="238"/>
      <c r="K1746" s="55">
        <f t="shared" si="187"/>
        <v>2026</v>
      </c>
      <c r="L1746" s="239"/>
      <c r="M1746" s="239"/>
      <c r="N1746" s="73" t="s">
        <v>5560</v>
      </c>
      <c r="O1746" s="73" t="s">
        <v>5561</v>
      </c>
      <c r="P1746" s="74" t="s">
        <v>5562</v>
      </c>
      <c r="Q1746" s="75" t="s">
        <v>5563</v>
      </c>
      <c r="R1746" s="230">
        <v>4406</v>
      </c>
      <c r="S1746" s="230">
        <v>38912</v>
      </c>
      <c r="T1746" s="230">
        <v>43318</v>
      </c>
      <c r="U1746" s="231">
        <v>1824</v>
      </c>
      <c r="V1746" s="230"/>
      <c r="W1746" s="230"/>
      <c r="X1746" s="231"/>
      <c r="Y1746" s="85"/>
      <c r="Z1746" s="101">
        <v>0.1</v>
      </c>
      <c r="AA1746" s="102">
        <v>0.09</v>
      </c>
      <c r="AB1746" s="77"/>
      <c r="AC1746" s="78"/>
    </row>
    <row r="1747" spans="1:29" ht="27" customHeight="1" x14ac:dyDescent="0.2">
      <c r="A1747" s="117" t="s">
        <v>5564</v>
      </c>
      <c r="B1747" s="118" t="e">
        <f t="shared" si="185"/>
        <v>#VALUE!</v>
      </c>
      <c r="C1747" s="118" t="s">
        <v>612</v>
      </c>
      <c r="D1747" s="113">
        <v>41529</v>
      </c>
      <c r="E1747" s="84">
        <v>42644</v>
      </c>
      <c r="F1747" s="84">
        <f t="shared" si="186"/>
        <v>46296</v>
      </c>
      <c r="G1747" s="229">
        <v>889.33</v>
      </c>
      <c r="H1747" s="71" t="s">
        <v>5527</v>
      </c>
      <c r="I1747" s="71" t="s">
        <v>1703</v>
      </c>
      <c r="J1747" s="238"/>
      <c r="K1747" s="55">
        <f t="shared" si="187"/>
        <v>2026</v>
      </c>
      <c r="L1747" s="239"/>
      <c r="M1747" s="239"/>
      <c r="N1747" s="73" t="s">
        <v>5565</v>
      </c>
      <c r="O1747" s="73" t="s">
        <v>5566</v>
      </c>
      <c r="P1747" s="74"/>
      <c r="Q1747" s="75" t="s">
        <v>5567</v>
      </c>
      <c r="R1747" s="230">
        <v>3265</v>
      </c>
      <c r="S1747" s="230">
        <v>28480</v>
      </c>
      <c r="T1747" s="230">
        <v>31745</v>
      </c>
      <c r="U1747" s="231">
        <v>1335</v>
      </c>
      <c r="V1747" s="230"/>
      <c r="W1747" s="230"/>
      <c r="X1747" s="231"/>
      <c r="Y1747" s="85"/>
      <c r="Z1747" s="101">
        <v>0.1</v>
      </c>
      <c r="AA1747" s="102">
        <v>0.09</v>
      </c>
      <c r="AB1747" s="77"/>
      <c r="AC1747" s="78"/>
    </row>
    <row r="1748" spans="1:29" ht="29" x14ac:dyDescent="0.2">
      <c r="A1748" s="117" t="s">
        <v>5568</v>
      </c>
      <c r="B1748" s="118" t="e">
        <f t="shared" si="185"/>
        <v>#VALUE!</v>
      </c>
      <c r="C1748" s="118" t="s">
        <v>612</v>
      </c>
      <c r="D1748" s="113">
        <v>41529</v>
      </c>
      <c r="E1748" s="84">
        <v>42644</v>
      </c>
      <c r="F1748" s="84">
        <f t="shared" si="186"/>
        <v>46296</v>
      </c>
      <c r="G1748" s="229">
        <v>513.92999999999995</v>
      </c>
      <c r="H1748" s="71" t="s">
        <v>5527</v>
      </c>
      <c r="I1748" s="71" t="s">
        <v>1703</v>
      </c>
      <c r="J1748" s="238"/>
      <c r="K1748" s="55">
        <f t="shared" si="187"/>
        <v>2026</v>
      </c>
      <c r="L1748" s="239"/>
      <c r="M1748" s="239"/>
      <c r="N1748" s="73" t="s">
        <v>5569</v>
      </c>
      <c r="O1748" s="73" t="s">
        <v>5542</v>
      </c>
      <c r="P1748" s="74"/>
      <c r="Q1748" s="75" t="s">
        <v>5570</v>
      </c>
      <c r="R1748" s="230">
        <v>1949</v>
      </c>
      <c r="S1748" s="230">
        <v>18504</v>
      </c>
      <c r="T1748" s="230">
        <v>20453</v>
      </c>
      <c r="U1748" s="231">
        <v>771</v>
      </c>
      <c r="V1748" s="230"/>
      <c r="W1748" s="230"/>
      <c r="X1748" s="231"/>
      <c r="Y1748" s="85"/>
      <c r="Z1748" s="101">
        <v>0.1</v>
      </c>
      <c r="AA1748" s="102">
        <v>0.09</v>
      </c>
      <c r="AB1748" s="77"/>
      <c r="AC1748" s="78"/>
    </row>
    <row r="1749" spans="1:29" ht="53" customHeight="1" x14ac:dyDescent="0.2">
      <c r="A1749" s="117" t="s">
        <v>5571</v>
      </c>
      <c r="B1749" s="118" t="e">
        <f t="shared" si="185"/>
        <v>#VALUE!</v>
      </c>
      <c r="C1749" s="118" t="s">
        <v>612</v>
      </c>
      <c r="D1749" s="113">
        <v>41529</v>
      </c>
      <c r="E1749" s="84">
        <v>42644</v>
      </c>
      <c r="F1749" s="84">
        <f t="shared" si="186"/>
        <v>46296</v>
      </c>
      <c r="G1749" s="229">
        <v>2052.5</v>
      </c>
      <c r="H1749" s="71" t="s">
        <v>5527</v>
      </c>
      <c r="I1749" s="71" t="s">
        <v>1703</v>
      </c>
      <c r="J1749" s="238"/>
      <c r="K1749" s="55">
        <f t="shared" si="187"/>
        <v>2026</v>
      </c>
      <c r="L1749" s="239"/>
      <c r="M1749" s="239"/>
      <c r="N1749" s="73" t="s">
        <v>5569</v>
      </c>
      <c r="O1749" s="73" t="s">
        <v>5572</v>
      </c>
      <c r="P1749" s="74" t="s">
        <v>5573</v>
      </c>
      <c r="Q1749" s="75" t="s">
        <v>5574</v>
      </c>
      <c r="R1749" s="230">
        <v>7335.5</v>
      </c>
      <c r="S1749" s="230">
        <v>65696</v>
      </c>
      <c r="T1749" s="230">
        <v>73031.5</v>
      </c>
      <c r="U1749" s="231">
        <v>3079.5</v>
      </c>
      <c r="V1749" s="230"/>
      <c r="W1749" s="230"/>
      <c r="X1749" s="231"/>
      <c r="Y1749" s="85"/>
      <c r="Z1749" s="101">
        <v>0.1</v>
      </c>
      <c r="AA1749" s="102">
        <v>0.09</v>
      </c>
      <c r="AB1749" s="77"/>
      <c r="AC1749" s="78"/>
    </row>
    <row r="1750" spans="1:29" ht="27" customHeight="1" x14ac:dyDescent="0.2">
      <c r="A1750" s="117" t="s">
        <v>5575</v>
      </c>
      <c r="B1750" s="118" t="e">
        <f t="shared" si="185"/>
        <v>#VALUE!</v>
      </c>
      <c r="C1750" s="118" t="s">
        <v>612</v>
      </c>
      <c r="D1750" s="113">
        <v>41529</v>
      </c>
      <c r="E1750" s="84">
        <v>42644</v>
      </c>
      <c r="F1750" s="84">
        <f t="shared" si="186"/>
        <v>46296</v>
      </c>
      <c r="G1750" s="229">
        <v>990</v>
      </c>
      <c r="H1750" s="71" t="s">
        <v>5527</v>
      </c>
      <c r="I1750" s="71" t="s">
        <v>1703</v>
      </c>
      <c r="J1750" s="238"/>
      <c r="K1750" s="55">
        <f t="shared" si="187"/>
        <v>2026</v>
      </c>
      <c r="L1750" s="239"/>
      <c r="M1750" s="239"/>
      <c r="N1750" s="73" t="s">
        <v>5576</v>
      </c>
      <c r="O1750" s="73" t="s">
        <v>5577</v>
      </c>
      <c r="P1750" s="74" t="s">
        <v>5578</v>
      </c>
      <c r="Q1750" s="75" t="s">
        <v>5579</v>
      </c>
      <c r="R1750" s="230">
        <v>3615</v>
      </c>
      <c r="S1750" s="230">
        <v>3960</v>
      </c>
      <c r="T1750" s="230">
        <v>7575</v>
      </c>
      <c r="U1750" s="231">
        <v>1485</v>
      </c>
      <c r="V1750" s="230"/>
      <c r="W1750" s="230"/>
      <c r="X1750" s="231"/>
      <c r="Y1750" s="85"/>
      <c r="Z1750" s="101">
        <v>0.1</v>
      </c>
      <c r="AA1750" s="102">
        <v>0.09</v>
      </c>
      <c r="AB1750" s="77"/>
      <c r="AC1750" s="78"/>
    </row>
    <row r="1751" spans="1:29" ht="29" x14ac:dyDescent="0.2">
      <c r="A1751" s="117" t="s">
        <v>5580</v>
      </c>
      <c r="B1751" s="118" t="e">
        <f t="shared" si="185"/>
        <v>#VALUE!</v>
      </c>
      <c r="C1751" s="118" t="s">
        <v>612</v>
      </c>
      <c r="D1751" s="113">
        <v>41529</v>
      </c>
      <c r="E1751" s="84">
        <v>42644</v>
      </c>
      <c r="F1751" s="84">
        <f t="shared" si="186"/>
        <v>46296</v>
      </c>
      <c r="G1751" s="229">
        <v>2007.17</v>
      </c>
      <c r="H1751" s="71" t="s">
        <v>5527</v>
      </c>
      <c r="I1751" s="71" t="s">
        <v>1703</v>
      </c>
      <c r="J1751" s="238"/>
      <c r="K1751" s="55">
        <f t="shared" si="187"/>
        <v>2026</v>
      </c>
      <c r="L1751" s="239"/>
      <c r="M1751" s="239"/>
      <c r="N1751" s="73" t="s">
        <v>5576</v>
      </c>
      <c r="O1751" s="73" t="s">
        <v>5542</v>
      </c>
      <c r="P1751" s="74"/>
      <c r="Q1751" s="75" t="s">
        <v>5581</v>
      </c>
      <c r="R1751" s="230">
        <v>7178</v>
      </c>
      <c r="S1751" s="230">
        <v>4016</v>
      </c>
      <c r="T1751" s="230">
        <v>11194</v>
      </c>
      <c r="U1751" s="231">
        <v>3012</v>
      </c>
      <c r="V1751" s="230"/>
      <c r="W1751" s="230"/>
      <c r="X1751" s="231"/>
      <c r="Y1751" s="85"/>
      <c r="Z1751" s="101">
        <v>0.1</v>
      </c>
      <c r="AA1751" s="102">
        <v>0.09</v>
      </c>
      <c r="AB1751" s="77"/>
      <c r="AC1751" s="78"/>
    </row>
    <row r="1752" spans="1:29" ht="53" customHeight="1" x14ac:dyDescent="0.2">
      <c r="A1752" s="117" t="s">
        <v>5582</v>
      </c>
      <c r="B1752" s="118" t="e">
        <f t="shared" si="185"/>
        <v>#VALUE!</v>
      </c>
      <c r="C1752" s="118" t="s">
        <v>612</v>
      </c>
      <c r="D1752" s="113">
        <v>41529</v>
      </c>
      <c r="E1752" s="84">
        <v>42644</v>
      </c>
      <c r="F1752" s="84">
        <f t="shared" si="186"/>
        <v>46296</v>
      </c>
      <c r="G1752" s="229">
        <v>620</v>
      </c>
      <c r="H1752" s="71" t="s">
        <v>5527</v>
      </c>
      <c r="I1752" s="71" t="s">
        <v>1703</v>
      </c>
      <c r="J1752" s="238"/>
      <c r="K1752" s="55">
        <f t="shared" si="187"/>
        <v>2026</v>
      </c>
      <c r="L1752" s="239"/>
      <c r="M1752" s="239"/>
      <c r="N1752" s="73" t="s">
        <v>5576</v>
      </c>
      <c r="O1752" s="73" t="s">
        <v>5583</v>
      </c>
      <c r="P1752" s="74" t="s">
        <v>5584</v>
      </c>
      <c r="Q1752" s="75" t="s">
        <v>5585</v>
      </c>
      <c r="R1752" s="230">
        <v>2320</v>
      </c>
      <c r="S1752" s="230">
        <v>22320</v>
      </c>
      <c r="T1752" s="230">
        <v>24640</v>
      </c>
      <c r="U1752" s="231">
        <v>930</v>
      </c>
      <c r="V1752" s="230"/>
      <c r="W1752" s="230"/>
      <c r="X1752" s="231"/>
      <c r="Y1752" s="85"/>
      <c r="Z1752" s="101">
        <v>0.1</v>
      </c>
      <c r="AA1752" s="102">
        <v>0.09</v>
      </c>
      <c r="AB1752" s="77"/>
      <c r="AC1752" s="78"/>
    </row>
    <row r="1753" spans="1:29" ht="27" hidden="1" customHeight="1" x14ac:dyDescent="0.2">
      <c r="A1753" s="117" t="s">
        <v>5586</v>
      </c>
      <c r="B1753" s="118" t="e">
        <f t="shared" si="185"/>
        <v>#VALUE!</v>
      </c>
      <c r="C1753" s="118" t="s">
        <v>612</v>
      </c>
      <c r="D1753" s="113">
        <v>41529</v>
      </c>
      <c r="E1753" s="78"/>
      <c r="F1753" s="84"/>
      <c r="G1753" s="229">
        <v>40</v>
      </c>
      <c r="H1753" s="71"/>
      <c r="I1753" s="71"/>
      <c r="J1753" s="238" t="s">
        <v>5587</v>
      </c>
      <c r="K1753" s="55"/>
      <c r="L1753" s="239"/>
      <c r="M1753" s="239"/>
      <c r="N1753" s="73"/>
      <c r="O1753" s="73"/>
      <c r="P1753" s="74"/>
      <c r="Q1753" s="75"/>
      <c r="R1753" s="230">
        <v>290</v>
      </c>
      <c r="S1753" s="230">
        <v>259920</v>
      </c>
      <c r="T1753" s="230">
        <v>260210</v>
      </c>
      <c r="U1753" s="231"/>
      <c r="V1753" s="230"/>
      <c r="W1753" s="230"/>
      <c r="X1753" s="231"/>
      <c r="Y1753" s="85"/>
      <c r="Z1753" s="101">
        <v>0.1</v>
      </c>
      <c r="AA1753" s="102">
        <v>0.09</v>
      </c>
      <c r="AB1753" s="77"/>
      <c r="AC1753" s="78"/>
    </row>
    <row r="1754" spans="1:29" ht="27" hidden="1" customHeight="1" x14ac:dyDescent="0.2">
      <c r="A1754" s="117" t="s">
        <v>5588</v>
      </c>
      <c r="B1754" s="118" t="e">
        <f t="shared" si="185"/>
        <v>#VALUE!</v>
      </c>
      <c r="C1754" s="118" t="s">
        <v>612</v>
      </c>
      <c r="D1754" s="113">
        <v>41529</v>
      </c>
      <c r="E1754" s="78"/>
      <c r="F1754" s="84"/>
      <c r="G1754" s="229">
        <v>40</v>
      </c>
      <c r="H1754" s="71"/>
      <c r="I1754" s="71"/>
      <c r="J1754" s="238" t="s">
        <v>5587</v>
      </c>
      <c r="K1754" s="55"/>
      <c r="L1754" s="239"/>
      <c r="M1754" s="239"/>
      <c r="N1754" s="73"/>
      <c r="O1754" s="73"/>
      <c r="P1754" s="74"/>
      <c r="Q1754" s="75"/>
      <c r="R1754" s="230">
        <v>290</v>
      </c>
      <c r="S1754" s="230">
        <v>1199920</v>
      </c>
      <c r="T1754" s="230">
        <v>1200210</v>
      </c>
      <c r="U1754" s="231"/>
      <c r="V1754" s="230"/>
      <c r="W1754" s="230"/>
      <c r="X1754" s="231"/>
      <c r="Y1754" s="85"/>
      <c r="Z1754" s="101">
        <v>0.1</v>
      </c>
      <c r="AA1754" s="102">
        <v>0.09</v>
      </c>
      <c r="AB1754" s="77"/>
      <c r="AC1754" s="78"/>
    </row>
    <row r="1755" spans="1:29" ht="27" hidden="1" customHeight="1" x14ac:dyDescent="0.2">
      <c r="A1755" s="117" t="s">
        <v>5589</v>
      </c>
      <c r="B1755" s="118" t="e">
        <f t="shared" si="185"/>
        <v>#VALUE!</v>
      </c>
      <c r="C1755" s="118" t="s">
        <v>612</v>
      </c>
      <c r="D1755" s="113">
        <v>41529</v>
      </c>
      <c r="E1755" s="78"/>
      <c r="F1755" s="84"/>
      <c r="G1755" s="229">
        <v>40</v>
      </c>
      <c r="H1755" s="71"/>
      <c r="I1755" s="71"/>
      <c r="J1755" s="238" t="s">
        <v>5587</v>
      </c>
      <c r="K1755" s="55"/>
      <c r="L1755" s="239"/>
      <c r="M1755" s="239"/>
      <c r="N1755" s="73"/>
      <c r="O1755" s="73"/>
      <c r="P1755" s="74"/>
      <c r="Q1755" s="75"/>
      <c r="R1755" s="230">
        <v>290</v>
      </c>
      <c r="S1755" s="230">
        <v>639920</v>
      </c>
      <c r="T1755" s="230">
        <v>640210</v>
      </c>
      <c r="U1755" s="231"/>
      <c r="V1755" s="230"/>
      <c r="W1755" s="230"/>
      <c r="X1755" s="231"/>
      <c r="Y1755" s="85"/>
      <c r="Z1755" s="101">
        <v>0.1</v>
      </c>
      <c r="AA1755" s="102">
        <v>0.09</v>
      </c>
      <c r="AB1755" s="77"/>
      <c r="AC1755" s="78"/>
    </row>
    <row r="1756" spans="1:29" ht="15" hidden="1" customHeight="1" thickBot="1" x14ac:dyDescent="0.25">
      <c r="A1756" s="117"/>
      <c r="D1756" s="113"/>
      <c r="E1756" s="78"/>
      <c r="F1756" s="84"/>
      <c r="G1756" s="229"/>
      <c r="H1756" s="71"/>
      <c r="I1756" s="71"/>
      <c r="J1756" s="79"/>
      <c r="K1756" s="79"/>
      <c r="L1756" s="80"/>
      <c r="M1756" s="80"/>
      <c r="N1756" s="73"/>
      <c r="O1756" s="73"/>
      <c r="P1756" s="74"/>
      <c r="Q1756" s="75"/>
      <c r="R1756" s="241">
        <f>72404.5-SUM(R1753:R1755)</f>
        <v>71534.5</v>
      </c>
      <c r="S1756" s="241">
        <f>2578786-SUM(S1753:S1755)</f>
        <v>479026</v>
      </c>
      <c r="T1756" s="241">
        <f>2651190.5-SUM(T1753:T1755)</f>
        <v>550560.5</v>
      </c>
      <c r="U1756" s="231"/>
      <c r="V1756" s="230"/>
      <c r="W1756" s="230"/>
      <c r="X1756" s="231"/>
      <c r="Y1756" s="85"/>
      <c r="Z1756" s="110"/>
      <c r="AA1756" s="111"/>
      <c r="AB1756" s="77"/>
      <c r="AC1756" s="78"/>
    </row>
    <row r="1757" spans="1:29" hidden="1" x14ac:dyDescent="0.2">
      <c r="A1757" s="117"/>
      <c r="D1757" s="113"/>
      <c r="E1757" s="78"/>
      <c r="F1757" s="84"/>
      <c r="G1757" s="229"/>
      <c r="H1757" s="71"/>
      <c r="I1757" s="71"/>
      <c r="J1757" s="79"/>
      <c r="K1757" s="79"/>
      <c r="L1757" s="80"/>
      <c r="M1757" s="80"/>
      <c r="N1757" s="73"/>
      <c r="O1757" s="73"/>
      <c r="P1757" s="74"/>
      <c r="Q1757" s="75"/>
      <c r="R1757" s="230"/>
      <c r="S1757" s="230"/>
      <c r="T1757" s="230"/>
      <c r="U1757" s="231"/>
      <c r="V1757" s="230"/>
      <c r="W1757" s="230"/>
      <c r="X1757" s="231"/>
      <c r="Y1757" s="85"/>
      <c r="Z1757" s="110"/>
      <c r="AA1757" s="111"/>
      <c r="AB1757" s="77"/>
      <c r="AC1757" s="78"/>
    </row>
    <row r="1758" spans="1:29" x14ac:dyDescent="0.2">
      <c r="A1758" s="117" t="s">
        <v>5590</v>
      </c>
      <c r="B1758" s="118" t="e">
        <f t="shared" ref="B1758:B1772" si="188">IF(COUNTIF(GIS,A1758),"YES","NO")</f>
        <v>#VALUE!</v>
      </c>
      <c r="C1758" s="118" t="s">
        <v>612</v>
      </c>
      <c r="D1758" s="113">
        <v>41620</v>
      </c>
      <c r="E1758" s="84">
        <v>41699</v>
      </c>
      <c r="F1758" s="84">
        <f t="shared" ref="F1758:F1772" si="189">DATE(YEAR(E1758)+10,MONTH(E1758),DAY(E1758))</f>
        <v>45352</v>
      </c>
      <c r="G1758" s="229">
        <v>161.41999999999999</v>
      </c>
      <c r="H1758" s="71" t="s">
        <v>865</v>
      </c>
      <c r="I1758" s="71" t="s">
        <v>931</v>
      </c>
      <c r="J1758" s="79"/>
      <c r="K1758" s="55">
        <f t="shared" ref="K1758:K1772" si="190">YEAR(F1758)</f>
        <v>2024</v>
      </c>
      <c r="L1758" s="80"/>
      <c r="M1758" s="80"/>
      <c r="N1758" s="73" t="s">
        <v>5591</v>
      </c>
      <c r="O1758" s="73" t="s">
        <v>5592</v>
      </c>
      <c r="P1758" s="74"/>
      <c r="Q1758" s="75" t="s">
        <v>5593</v>
      </c>
      <c r="R1758" s="230">
        <v>722</v>
      </c>
      <c r="S1758" s="230">
        <v>113076</v>
      </c>
      <c r="T1758" s="230">
        <v>113798</v>
      </c>
      <c r="U1758" s="231">
        <v>243</v>
      </c>
      <c r="V1758" s="230"/>
      <c r="W1758" s="230"/>
      <c r="X1758" s="231"/>
      <c r="Y1758" s="85"/>
      <c r="Z1758" s="101">
        <v>0.1</v>
      </c>
      <c r="AA1758" s="102">
        <v>0.09</v>
      </c>
      <c r="AB1758" s="77"/>
      <c r="AC1758" s="78"/>
    </row>
    <row r="1759" spans="1:29" ht="27" customHeight="1" x14ac:dyDescent="0.2">
      <c r="A1759" s="117" t="s">
        <v>5594</v>
      </c>
      <c r="B1759" s="118" t="e">
        <f t="shared" si="188"/>
        <v>#VALUE!</v>
      </c>
      <c r="C1759" s="118" t="s">
        <v>612</v>
      </c>
      <c r="D1759" s="113">
        <v>41620</v>
      </c>
      <c r="E1759" s="84">
        <v>41699</v>
      </c>
      <c r="F1759" s="84">
        <f t="shared" si="189"/>
        <v>45352</v>
      </c>
      <c r="G1759" s="229">
        <v>1.84</v>
      </c>
      <c r="H1759" s="71" t="s">
        <v>5595</v>
      </c>
      <c r="I1759" s="71" t="s">
        <v>684</v>
      </c>
      <c r="J1759" s="79"/>
      <c r="K1759" s="55">
        <f t="shared" si="190"/>
        <v>2024</v>
      </c>
      <c r="L1759" s="80"/>
      <c r="M1759" s="80"/>
      <c r="N1759" s="73" t="s">
        <v>5596</v>
      </c>
      <c r="O1759" s="73" t="s">
        <v>5597</v>
      </c>
      <c r="P1759" s="74"/>
      <c r="Q1759" s="75" t="s">
        <v>5598</v>
      </c>
      <c r="R1759" s="230">
        <v>162</v>
      </c>
      <c r="S1759" s="230">
        <v>116</v>
      </c>
      <c r="T1759" s="230">
        <v>278</v>
      </c>
      <c r="U1759" s="231">
        <v>3</v>
      </c>
      <c r="V1759" s="230"/>
      <c r="W1759" s="230"/>
      <c r="X1759" s="231"/>
      <c r="Y1759" s="85"/>
      <c r="Z1759" s="101">
        <v>0.1</v>
      </c>
      <c r="AA1759" s="102">
        <v>0.09</v>
      </c>
      <c r="AB1759" s="77"/>
      <c r="AC1759" s="78"/>
    </row>
    <row r="1760" spans="1:29" x14ac:dyDescent="0.2">
      <c r="A1760" s="117" t="s">
        <v>5599</v>
      </c>
      <c r="B1760" s="118" t="e">
        <f t="shared" si="188"/>
        <v>#VALUE!</v>
      </c>
      <c r="C1760" s="118" t="s">
        <v>612</v>
      </c>
      <c r="D1760" s="113">
        <v>41620</v>
      </c>
      <c r="E1760" s="84">
        <v>41699</v>
      </c>
      <c r="F1760" s="84">
        <f t="shared" si="189"/>
        <v>45352</v>
      </c>
      <c r="G1760" s="229">
        <v>7.08</v>
      </c>
      <c r="H1760" s="71" t="s">
        <v>5595</v>
      </c>
      <c r="I1760" s="71" t="s">
        <v>684</v>
      </c>
      <c r="J1760" s="79"/>
      <c r="K1760" s="55">
        <f t="shared" si="190"/>
        <v>2024</v>
      </c>
      <c r="L1760" s="80"/>
      <c r="M1760" s="80"/>
      <c r="N1760" s="73" t="s">
        <v>5596</v>
      </c>
      <c r="O1760" s="73" t="s">
        <v>5600</v>
      </c>
      <c r="P1760" s="74"/>
      <c r="Q1760" s="75" t="s">
        <v>5601</v>
      </c>
      <c r="R1760" s="230">
        <v>183</v>
      </c>
      <c r="S1760" s="230">
        <v>624</v>
      </c>
      <c r="T1760" s="230">
        <v>807</v>
      </c>
      <c r="U1760" s="231">
        <v>12</v>
      </c>
      <c r="V1760" s="230"/>
      <c r="W1760" s="230"/>
      <c r="X1760" s="231"/>
      <c r="Y1760" s="85"/>
      <c r="Z1760" s="101">
        <v>0.1</v>
      </c>
      <c r="AA1760" s="102">
        <v>0.09</v>
      </c>
      <c r="AB1760" s="77"/>
      <c r="AC1760" s="78"/>
    </row>
    <row r="1761" spans="1:29" x14ac:dyDescent="0.2">
      <c r="A1761" s="117" t="s">
        <v>5602</v>
      </c>
      <c r="B1761" s="118" t="e">
        <f t="shared" si="188"/>
        <v>#VALUE!</v>
      </c>
      <c r="C1761" s="118" t="s">
        <v>612</v>
      </c>
      <c r="D1761" s="113">
        <v>41620</v>
      </c>
      <c r="E1761" s="84">
        <v>41699</v>
      </c>
      <c r="F1761" s="84">
        <f t="shared" si="189"/>
        <v>45352</v>
      </c>
      <c r="G1761" s="229">
        <v>40</v>
      </c>
      <c r="H1761" s="71" t="s">
        <v>5595</v>
      </c>
      <c r="I1761" s="71" t="s">
        <v>684</v>
      </c>
      <c r="J1761" s="79"/>
      <c r="K1761" s="55">
        <f t="shared" si="190"/>
        <v>2024</v>
      </c>
      <c r="L1761" s="80"/>
      <c r="M1761" s="80"/>
      <c r="N1761" s="73" t="s">
        <v>5603</v>
      </c>
      <c r="O1761" s="73" t="s">
        <v>5604</v>
      </c>
      <c r="P1761" s="74"/>
      <c r="Q1761" s="75" t="s">
        <v>5605</v>
      </c>
      <c r="R1761" s="230">
        <v>295</v>
      </c>
      <c r="S1761" s="230">
        <v>520</v>
      </c>
      <c r="T1761" s="230">
        <v>815</v>
      </c>
      <c r="U1761" s="231">
        <v>60</v>
      </c>
      <c r="V1761" s="230"/>
      <c r="W1761" s="230"/>
      <c r="X1761" s="231"/>
      <c r="Y1761" s="85"/>
      <c r="Z1761" s="101">
        <v>0.1</v>
      </c>
      <c r="AA1761" s="102">
        <v>0.09</v>
      </c>
      <c r="AB1761" s="77"/>
      <c r="AC1761" s="78"/>
    </row>
    <row r="1762" spans="1:29" x14ac:dyDescent="0.2">
      <c r="A1762" s="117" t="s">
        <v>5606</v>
      </c>
      <c r="B1762" s="118" t="e">
        <f t="shared" si="188"/>
        <v>#VALUE!</v>
      </c>
      <c r="C1762" s="118" t="s">
        <v>612</v>
      </c>
      <c r="D1762" s="113">
        <v>41620</v>
      </c>
      <c r="E1762" s="84">
        <v>41699</v>
      </c>
      <c r="F1762" s="84">
        <f t="shared" si="189"/>
        <v>45352</v>
      </c>
      <c r="G1762" s="229">
        <v>79.84</v>
      </c>
      <c r="H1762" s="71" t="s">
        <v>5595</v>
      </c>
      <c r="I1762" s="71" t="s">
        <v>684</v>
      </c>
      <c r="J1762" s="79"/>
      <c r="K1762" s="55">
        <f t="shared" si="190"/>
        <v>2024</v>
      </c>
      <c r="L1762" s="80"/>
      <c r="M1762" s="80"/>
      <c r="N1762" s="73" t="s">
        <v>5607</v>
      </c>
      <c r="O1762" s="73" t="s">
        <v>5608</v>
      </c>
      <c r="P1762" s="74"/>
      <c r="Q1762" s="75" t="s">
        <v>5609</v>
      </c>
      <c r="R1762" s="230">
        <v>435</v>
      </c>
      <c r="S1762" s="230">
        <v>1840</v>
      </c>
      <c r="T1762" s="230">
        <v>2275</v>
      </c>
      <c r="U1762" s="231">
        <v>120</v>
      </c>
      <c r="V1762" s="230"/>
      <c r="W1762" s="230"/>
      <c r="X1762" s="231"/>
      <c r="Y1762" s="85"/>
      <c r="Z1762" s="101">
        <v>0.1</v>
      </c>
      <c r="AA1762" s="102">
        <v>0.09</v>
      </c>
      <c r="AB1762" s="77"/>
      <c r="AC1762" s="78"/>
    </row>
    <row r="1763" spans="1:29" ht="27" customHeight="1" x14ac:dyDescent="0.2">
      <c r="A1763" s="117" t="s">
        <v>5610</v>
      </c>
      <c r="B1763" s="118" t="e">
        <f t="shared" si="188"/>
        <v>#VALUE!</v>
      </c>
      <c r="C1763" s="118" t="s">
        <v>612</v>
      </c>
      <c r="D1763" s="113">
        <v>41620</v>
      </c>
      <c r="E1763" s="84">
        <v>41699</v>
      </c>
      <c r="F1763" s="84">
        <f t="shared" si="189"/>
        <v>45352</v>
      </c>
      <c r="G1763" s="229">
        <v>3.8</v>
      </c>
      <c r="H1763" s="71" t="s">
        <v>5595</v>
      </c>
      <c r="I1763" s="71" t="s">
        <v>684</v>
      </c>
      <c r="J1763" s="79"/>
      <c r="K1763" s="55">
        <f t="shared" si="190"/>
        <v>2024</v>
      </c>
      <c r="L1763" s="80"/>
      <c r="M1763" s="80"/>
      <c r="N1763" s="73" t="s">
        <v>5596</v>
      </c>
      <c r="O1763" s="73" t="s">
        <v>5611</v>
      </c>
      <c r="P1763" s="74"/>
      <c r="Q1763" s="75" t="s">
        <v>5612</v>
      </c>
      <c r="R1763" s="230">
        <v>169</v>
      </c>
      <c r="S1763" s="230">
        <v>192</v>
      </c>
      <c r="T1763" s="230">
        <v>361</v>
      </c>
      <c r="U1763" s="231">
        <v>6</v>
      </c>
      <c r="V1763" s="230"/>
      <c r="W1763" s="230"/>
      <c r="X1763" s="231"/>
      <c r="Y1763" s="85"/>
      <c r="Z1763" s="101">
        <v>0.1</v>
      </c>
      <c r="AA1763" s="102">
        <v>0.09</v>
      </c>
      <c r="AB1763" s="77"/>
      <c r="AC1763" s="78"/>
    </row>
    <row r="1764" spans="1:29" ht="118" customHeight="1" x14ac:dyDescent="0.2">
      <c r="A1764" s="117" t="s">
        <v>5613</v>
      </c>
      <c r="B1764" s="118" t="e">
        <f t="shared" si="188"/>
        <v>#VALUE!</v>
      </c>
      <c r="C1764" s="118" t="s">
        <v>612</v>
      </c>
      <c r="D1764" s="113">
        <v>41620</v>
      </c>
      <c r="E1764" s="84">
        <v>41699</v>
      </c>
      <c r="F1764" s="84">
        <f t="shared" si="189"/>
        <v>45352</v>
      </c>
      <c r="G1764" s="229">
        <v>70.680000000000007</v>
      </c>
      <c r="H1764" s="71" t="s">
        <v>2369</v>
      </c>
      <c r="I1764" s="71" t="s">
        <v>1703</v>
      </c>
      <c r="J1764" s="79"/>
      <c r="K1764" s="55">
        <f t="shared" si="190"/>
        <v>2024</v>
      </c>
      <c r="L1764" s="80"/>
      <c r="M1764" s="80"/>
      <c r="N1764" s="73" t="s">
        <v>5614</v>
      </c>
      <c r="O1764" s="73" t="s">
        <v>5615</v>
      </c>
      <c r="P1764" s="74"/>
      <c r="Q1764" s="75" t="s">
        <v>5616</v>
      </c>
      <c r="R1764" s="230">
        <v>403.5</v>
      </c>
      <c r="S1764" s="230">
        <v>0</v>
      </c>
      <c r="T1764" s="230">
        <v>403.5</v>
      </c>
      <c r="U1764" s="231">
        <v>106.5</v>
      </c>
      <c r="V1764" s="230"/>
      <c r="W1764" s="230"/>
      <c r="X1764" s="231"/>
      <c r="Y1764" s="85"/>
      <c r="Z1764" s="101">
        <v>0.1</v>
      </c>
      <c r="AA1764" s="102">
        <v>0.09</v>
      </c>
      <c r="AB1764" s="77"/>
      <c r="AC1764" s="78"/>
    </row>
    <row r="1765" spans="1:29" x14ac:dyDescent="0.2">
      <c r="A1765" s="117" t="s">
        <v>5617</v>
      </c>
      <c r="B1765" s="118" t="e">
        <f t="shared" si="188"/>
        <v>#VALUE!</v>
      </c>
      <c r="C1765" s="118" t="s">
        <v>612</v>
      </c>
      <c r="D1765" s="113">
        <v>41620</v>
      </c>
      <c r="E1765" s="84">
        <v>41699</v>
      </c>
      <c r="F1765" s="84">
        <f t="shared" si="189"/>
        <v>45352</v>
      </c>
      <c r="G1765" s="229">
        <v>80</v>
      </c>
      <c r="H1765" s="71" t="s">
        <v>2369</v>
      </c>
      <c r="I1765" s="71" t="s">
        <v>1703</v>
      </c>
      <c r="J1765" s="79"/>
      <c r="K1765" s="55">
        <f t="shared" si="190"/>
        <v>2024</v>
      </c>
      <c r="L1765" s="80"/>
      <c r="M1765" s="80"/>
      <c r="N1765" s="73" t="s">
        <v>5614</v>
      </c>
      <c r="O1765" s="73" t="s">
        <v>5618</v>
      </c>
      <c r="P1765" s="74"/>
      <c r="Q1765" s="75" t="s">
        <v>5619</v>
      </c>
      <c r="R1765" s="230">
        <v>435</v>
      </c>
      <c r="S1765" s="230">
        <v>5040</v>
      </c>
      <c r="T1765" s="230">
        <v>5475</v>
      </c>
      <c r="U1765" s="231">
        <v>120</v>
      </c>
      <c r="V1765" s="230"/>
      <c r="W1765" s="230"/>
      <c r="X1765" s="231"/>
      <c r="Y1765" s="85"/>
      <c r="Z1765" s="101">
        <v>0.1</v>
      </c>
      <c r="AA1765" s="102">
        <v>0.09</v>
      </c>
      <c r="AB1765" s="77"/>
      <c r="AC1765" s="78"/>
    </row>
    <row r="1766" spans="1:29" x14ac:dyDescent="0.2">
      <c r="A1766" s="117" t="s">
        <v>5620</v>
      </c>
      <c r="B1766" s="118" t="e">
        <f t="shared" si="188"/>
        <v>#VALUE!</v>
      </c>
      <c r="C1766" s="118" t="s">
        <v>612</v>
      </c>
      <c r="D1766" s="113">
        <v>41620</v>
      </c>
      <c r="E1766" s="84">
        <v>41699</v>
      </c>
      <c r="F1766" s="84">
        <f t="shared" si="189"/>
        <v>45352</v>
      </c>
      <c r="G1766" s="229">
        <v>60</v>
      </c>
      <c r="H1766" s="71" t="s">
        <v>2369</v>
      </c>
      <c r="I1766" s="71" t="s">
        <v>1703</v>
      </c>
      <c r="J1766" s="79"/>
      <c r="K1766" s="55">
        <f t="shared" si="190"/>
        <v>2024</v>
      </c>
      <c r="L1766" s="80"/>
      <c r="M1766" s="80"/>
      <c r="N1766" s="73" t="s">
        <v>5621</v>
      </c>
      <c r="O1766" s="73" t="s">
        <v>5622</v>
      </c>
      <c r="P1766" s="74"/>
      <c r="Q1766" s="75" t="s">
        <v>5623</v>
      </c>
      <c r="R1766" s="230">
        <v>365</v>
      </c>
      <c r="S1766" s="230">
        <v>2880</v>
      </c>
      <c r="T1766" s="230">
        <v>3245</v>
      </c>
      <c r="U1766" s="231">
        <v>90</v>
      </c>
      <c r="V1766" s="230"/>
      <c r="W1766" s="230"/>
      <c r="X1766" s="231"/>
      <c r="Y1766" s="85"/>
      <c r="Z1766" s="101">
        <v>0.1</v>
      </c>
      <c r="AA1766" s="102">
        <v>0.09</v>
      </c>
      <c r="AB1766" s="77"/>
      <c r="AC1766" s="78"/>
    </row>
    <row r="1767" spans="1:29" x14ac:dyDescent="0.2">
      <c r="A1767" s="117" t="s">
        <v>5624</v>
      </c>
      <c r="B1767" s="118" t="e">
        <f t="shared" si="188"/>
        <v>#VALUE!</v>
      </c>
      <c r="C1767" s="118" t="s">
        <v>612</v>
      </c>
      <c r="D1767" s="113">
        <v>41620</v>
      </c>
      <c r="E1767" s="84">
        <v>41699</v>
      </c>
      <c r="F1767" s="84">
        <f t="shared" si="189"/>
        <v>45352</v>
      </c>
      <c r="G1767" s="229">
        <v>80</v>
      </c>
      <c r="H1767" s="71" t="s">
        <v>5625</v>
      </c>
      <c r="I1767" s="71" t="s">
        <v>1703</v>
      </c>
      <c r="J1767" s="79"/>
      <c r="K1767" s="55">
        <f t="shared" si="190"/>
        <v>2024</v>
      </c>
      <c r="L1767" s="80"/>
      <c r="M1767" s="80"/>
      <c r="N1767" s="73" t="s">
        <v>5626</v>
      </c>
      <c r="O1767" s="73" t="s">
        <v>5627</v>
      </c>
      <c r="P1767" s="74"/>
      <c r="Q1767" s="75" t="s">
        <v>5628</v>
      </c>
      <c r="R1767" s="230">
        <v>435</v>
      </c>
      <c r="S1767" s="230">
        <v>43840</v>
      </c>
      <c r="T1767" s="230">
        <v>44275</v>
      </c>
      <c r="U1767" s="231">
        <v>120</v>
      </c>
      <c r="V1767" s="230"/>
      <c r="W1767" s="230"/>
      <c r="X1767" s="231"/>
      <c r="Y1767" s="85"/>
      <c r="Z1767" s="101">
        <v>0.1</v>
      </c>
      <c r="AA1767" s="102">
        <v>0.09</v>
      </c>
      <c r="AB1767" s="77"/>
      <c r="AC1767" s="78"/>
    </row>
    <row r="1768" spans="1:29" ht="27" customHeight="1" x14ac:dyDescent="0.2">
      <c r="A1768" s="117" t="s">
        <v>5629</v>
      </c>
      <c r="B1768" s="118" t="e">
        <f t="shared" si="188"/>
        <v>#VALUE!</v>
      </c>
      <c r="C1768" s="118" t="s">
        <v>612</v>
      </c>
      <c r="D1768" s="113">
        <v>41620</v>
      </c>
      <c r="E1768" s="84">
        <v>41699</v>
      </c>
      <c r="F1768" s="84">
        <f t="shared" si="189"/>
        <v>45352</v>
      </c>
      <c r="G1768" s="229">
        <v>234.7</v>
      </c>
      <c r="H1768" s="71" t="s">
        <v>3140</v>
      </c>
      <c r="I1768" s="71" t="s">
        <v>1703</v>
      </c>
      <c r="J1768" s="79"/>
      <c r="K1768" s="55">
        <f t="shared" si="190"/>
        <v>2024</v>
      </c>
      <c r="L1768" s="80"/>
      <c r="M1768" s="80"/>
      <c r="N1768" s="73" t="s">
        <v>5630</v>
      </c>
      <c r="O1768" s="73" t="s">
        <v>5631</v>
      </c>
      <c r="P1768" s="74"/>
      <c r="Q1768" s="75" t="s">
        <v>5632</v>
      </c>
      <c r="R1768" s="230">
        <v>977.5</v>
      </c>
      <c r="S1768" s="230">
        <v>11280</v>
      </c>
      <c r="T1768" s="230">
        <v>12257.5</v>
      </c>
      <c r="U1768" s="231">
        <v>352.5</v>
      </c>
      <c r="V1768" s="230"/>
      <c r="W1768" s="230"/>
      <c r="X1768" s="231"/>
      <c r="Y1768" s="85"/>
      <c r="Z1768" s="101">
        <v>0.1</v>
      </c>
      <c r="AA1768" s="102">
        <v>0.09</v>
      </c>
      <c r="AB1768" s="77"/>
      <c r="AC1768" s="78"/>
    </row>
    <row r="1769" spans="1:29" x14ac:dyDescent="0.2">
      <c r="A1769" s="117" t="s">
        <v>5633</v>
      </c>
      <c r="B1769" s="118" t="e">
        <f t="shared" si="188"/>
        <v>#VALUE!</v>
      </c>
      <c r="C1769" s="118" t="s">
        <v>612</v>
      </c>
      <c r="D1769" s="113">
        <v>41620</v>
      </c>
      <c r="E1769" s="84">
        <v>41699</v>
      </c>
      <c r="F1769" s="84">
        <f t="shared" si="189"/>
        <v>45352</v>
      </c>
      <c r="G1769" s="229">
        <v>20</v>
      </c>
      <c r="H1769" s="71" t="s">
        <v>3140</v>
      </c>
      <c r="I1769" s="71" t="s">
        <v>1703</v>
      </c>
      <c r="J1769" s="79"/>
      <c r="K1769" s="55">
        <f t="shared" si="190"/>
        <v>2024</v>
      </c>
      <c r="L1769" s="80"/>
      <c r="M1769" s="80"/>
      <c r="N1769" s="73" t="s">
        <v>5634</v>
      </c>
      <c r="O1769" s="73" t="s">
        <v>5635</v>
      </c>
      <c r="P1769" s="74"/>
      <c r="Q1769" s="75" t="s">
        <v>5636</v>
      </c>
      <c r="R1769" s="230">
        <v>225</v>
      </c>
      <c r="S1769" s="230">
        <v>1460</v>
      </c>
      <c r="T1769" s="230">
        <v>1685</v>
      </c>
      <c r="U1769" s="231">
        <v>30</v>
      </c>
      <c r="V1769" s="230"/>
      <c r="W1769" s="230"/>
      <c r="X1769" s="231"/>
      <c r="Y1769" s="85"/>
      <c r="Z1769" s="101">
        <v>0.1</v>
      </c>
      <c r="AA1769" s="102">
        <v>0.09</v>
      </c>
      <c r="AB1769" s="77"/>
      <c r="AC1769" s="78"/>
    </row>
    <row r="1770" spans="1:29" x14ac:dyDescent="0.2">
      <c r="A1770" s="117" t="s">
        <v>5637</v>
      </c>
      <c r="B1770" s="118" t="e">
        <f t="shared" si="188"/>
        <v>#VALUE!</v>
      </c>
      <c r="C1770" s="118" t="s">
        <v>612</v>
      </c>
      <c r="D1770" s="113">
        <v>41620</v>
      </c>
      <c r="E1770" s="84">
        <v>41699</v>
      </c>
      <c r="F1770" s="84">
        <f t="shared" si="189"/>
        <v>45352</v>
      </c>
      <c r="G1770" s="229">
        <v>80</v>
      </c>
      <c r="H1770" s="71" t="s">
        <v>3140</v>
      </c>
      <c r="I1770" s="71" t="s">
        <v>1703</v>
      </c>
      <c r="J1770" s="79"/>
      <c r="K1770" s="55">
        <f t="shared" si="190"/>
        <v>2024</v>
      </c>
      <c r="L1770" s="80"/>
      <c r="M1770" s="80"/>
      <c r="N1770" s="73" t="s">
        <v>5638</v>
      </c>
      <c r="O1770" s="73" t="s">
        <v>5639</v>
      </c>
      <c r="P1770" s="74"/>
      <c r="Q1770" s="75" t="s">
        <v>5640</v>
      </c>
      <c r="R1770" s="230">
        <v>435</v>
      </c>
      <c r="S1770" s="230">
        <v>5440</v>
      </c>
      <c r="T1770" s="230">
        <v>5875</v>
      </c>
      <c r="U1770" s="231">
        <v>120</v>
      </c>
      <c r="V1770" s="230"/>
      <c r="W1770" s="230"/>
      <c r="X1770" s="231"/>
      <c r="Y1770" s="85"/>
      <c r="Z1770" s="101">
        <v>0.1</v>
      </c>
      <c r="AA1770" s="102">
        <v>0.09</v>
      </c>
      <c r="AB1770" s="77"/>
      <c r="AC1770" s="78"/>
    </row>
    <row r="1771" spans="1:29" x14ac:dyDescent="0.2">
      <c r="A1771" s="117" t="s">
        <v>5641</v>
      </c>
      <c r="B1771" s="118" t="e">
        <f t="shared" si="188"/>
        <v>#VALUE!</v>
      </c>
      <c r="C1771" s="118" t="s">
        <v>612</v>
      </c>
      <c r="D1771" s="113">
        <v>41620</v>
      </c>
      <c r="E1771" s="84">
        <v>41699</v>
      </c>
      <c r="F1771" s="84">
        <f t="shared" si="189"/>
        <v>45352</v>
      </c>
      <c r="G1771" s="229">
        <v>80</v>
      </c>
      <c r="H1771" s="71" t="s">
        <v>3140</v>
      </c>
      <c r="I1771" s="71" t="s">
        <v>1703</v>
      </c>
      <c r="J1771" s="79"/>
      <c r="K1771" s="55">
        <f t="shared" si="190"/>
        <v>2024</v>
      </c>
      <c r="L1771" s="80"/>
      <c r="M1771" s="80"/>
      <c r="N1771" s="73" t="s">
        <v>5642</v>
      </c>
      <c r="O1771" s="73" t="s">
        <v>5643</v>
      </c>
      <c r="P1771" s="74"/>
      <c r="Q1771" s="75" t="s">
        <v>5644</v>
      </c>
      <c r="R1771" s="230">
        <v>435</v>
      </c>
      <c r="S1771" s="230">
        <v>5040</v>
      </c>
      <c r="T1771" s="230">
        <v>5475</v>
      </c>
      <c r="U1771" s="231">
        <v>120</v>
      </c>
      <c r="V1771" s="230"/>
      <c r="W1771" s="230"/>
      <c r="X1771" s="231"/>
      <c r="Y1771" s="85"/>
      <c r="Z1771" s="101">
        <v>0.1</v>
      </c>
      <c r="AA1771" s="102">
        <v>0.09</v>
      </c>
      <c r="AB1771" s="77"/>
      <c r="AC1771" s="78"/>
    </row>
    <row r="1772" spans="1:29" x14ac:dyDescent="0.2">
      <c r="A1772" s="117" t="s">
        <v>5645</v>
      </c>
      <c r="B1772" s="118" t="e">
        <f t="shared" si="188"/>
        <v>#VALUE!</v>
      </c>
      <c r="C1772" s="118" t="s">
        <v>612</v>
      </c>
      <c r="D1772" s="113">
        <v>41620</v>
      </c>
      <c r="E1772" s="84">
        <v>41699</v>
      </c>
      <c r="F1772" s="84">
        <f t="shared" si="189"/>
        <v>45352</v>
      </c>
      <c r="G1772" s="229">
        <v>40</v>
      </c>
      <c r="H1772" s="71" t="s">
        <v>3140</v>
      </c>
      <c r="I1772" s="71" t="s">
        <v>1703</v>
      </c>
      <c r="J1772" s="79"/>
      <c r="K1772" s="55">
        <f t="shared" si="190"/>
        <v>2024</v>
      </c>
      <c r="L1772" s="80"/>
      <c r="M1772" s="80"/>
      <c r="N1772" s="73" t="s">
        <v>5646</v>
      </c>
      <c r="O1772" s="73" t="s">
        <v>5647</v>
      </c>
      <c r="P1772" s="74"/>
      <c r="Q1772" s="75" t="s">
        <v>5648</v>
      </c>
      <c r="R1772" s="230">
        <v>295</v>
      </c>
      <c r="S1772" s="230">
        <v>2320</v>
      </c>
      <c r="T1772" s="230">
        <v>2615</v>
      </c>
      <c r="U1772" s="231">
        <v>60</v>
      </c>
      <c r="V1772" s="230"/>
      <c r="W1772" s="230"/>
      <c r="X1772" s="231"/>
      <c r="Y1772" s="85"/>
      <c r="Z1772" s="101">
        <v>0.1</v>
      </c>
      <c r="AA1772" s="102">
        <v>0.09</v>
      </c>
      <c r="AB1772" s="77"/>
      <c r="AC1772" s="78"/>
    </row>
    <row r="1773" spans="1:29" ht="15" hidden="1" customHeight="1" thickBot="1" x14ac:dyDescent="0.25">
      <c r="A1773" s="117"/>
      <c r="D1773" s="113"/>
      <c r="E1773" s="78"/>
      <c r="F1773" s="84"/>
      <c r="G1773" s="229"/>
      <c r="H1773" s="71"/>
      <c r="I1773" s="71"/>
      <c r="J1773" s="79"/>
      <c r="K1773" s="79"/>
      <c r="L1773" s="80"/>
      <c r="M1773" s="80"/>
      <c r="N1773" s="73"/>
      <c r="O1773" s="73"/>
      <c r="P1773" s="74"/>
      <c r="Q1773" s="75"/>
      <c r="R1773" s="241">
        <v>5972</v>
      </c>
      <c r="S1773" s="241">
        <v>193668</v>
      </c>
      <c r="T1773" s="241">
        <v>199640</v>
      </c>
      <c r="U1773" s="231"/>
      <c r="V1773" s="230"/>
      <c r="W1773" s="230"/>
      <c r="X1773" s="231"/>
      <c r="Y1773" s="85"/>
      <c r="Z1773" s="110"/>
      <c r="AA1773" s="111"/>
      <c r="AB1773" s="77"/>
      <c r="AC1773" s="78"/>
    </row>
    <row r="1774" spans="1:29" hidden="1" x14ac:dyDescent="0.2">
      <c r="A1774" s="117"/>
      <c r="D1774" s="71"/>
      <c r="E1774" s="78"/>
      <c r="F1774" s="84"/>
      <c r="G1774" s="229"/>
      <c r="H1774" s="71"/>
      <c r="I1774" s="71"/>
      <c r="J1774" s="79"/>
      <c r="K1774" s="79"/>
      <c r="L1774" s="80"/>
      <c r="M1774" s="80"/>
      <c r="N1774" s="73"/>
      <c r="O1774" s="73"/>
      <c r="P1774" s="74"/>
      <c r="Q1774" s="75"/>
      <c r="R1774" s="230"/>
      <c r="S1774" s="230"/>
      <c r="T1774" s="230"/>
      <c r="U1774" s="231"/>
      <c r="V1774" s="230"/>
      <c r="W1774" s="230"/>
      <c r="X1774" s="231"/>
      <c r="Y1774" s="85"/>
      <c r="Z1774" s="85"/>
      <c r="AA1774" s="76"/>
      <c r="AB1774" s="77"/>
      <c r="AC1774" s="78"/>
    </row>
    <row r="1775" spans="1:29" x14ac:dyDescent="0.2">
      <c r="A1775" s="117" t="s">
        <v>5649</v>
      </c>
      <c r="B1775" s="118" t="e">
        <f t="shared" ref="B1775:B1793" si="191">IF(COUNTIF(GIS,A1775),"YES","NO")</f>
        <v>#VALUE!</v>
      </c>
      <c r="C1775" s="118" t="s">
        <v>612</v>
      </c>
      <c r="D1775" s="113">
        <v>41718</v>
      </c>
      <c r="E1775" s="84">
        <v>41760</v>
      </c>
      <c r="F1775" s="84">
        <f t="shared" ref="F1775:F1793" si="192">DATE(YEAR(E1775)+10,MONTH(E1775),DAY(E1775))</f>
        <v>45413</v>
      </c>
      <c r="G1775" s="229">
        <v>80</v>
      </c>
      <c r="H1775" s="71" t="s">
        <v>2289</v>
      </c>
      <c r="I1775" s="71" t="s">
        <v>931</v>
      </c>
      <c r="J1775" s="79"/>
      <c r="K1775" s="55">
        <f t="shared" ref="K1775:K1793" si="193">YEAR(F1775)</f>
        <v>2024</v>
      </c>
      <c r="L1775" s="80"/>
      <c r="M1775" s="80"/>
      <c r="N1775" s="73" t="s">
        <v>5650</v>
      </c>
      <c r="O1775" s="73" t="s">
        <v>5651</v>
      </c>
      <c r="P1775" s="74"/>
      <c r="Q1775" s="75" t="s">
        <v>5652</v>
      </c>
      <c r="R1775" s="230">
        <v>435</v>
      </c>
      <c r="S1775" s="230">
        <v>319840</v>
      </c>
      <c r="T1775" s="230">
        <v>320275</v>
      </c>
      <c r="U1775" s="231">
        <v>120</v>
      </c>
      <c r="V1775" s="230"/>
      <c r="W1775" s="230"/>
      <c r="X1775" s="231"/>
      <c r="Y1775" s="85"/>
      <c r="Z1775" s="101">
        <v>0.1</v>
      </c>
      <c r="AA1775" s="102">
        <v>0.09</v>
      </c>
      <c r="AB1775" s="77"/>
      <c r="AC1775" s="78"/>
    </row>
    <row r="1776" spans="1:29" ht="105" customHeight="1" x14ac:dyDescent="0.2">
      <c r="A1776" s="117" t="s">
        <v>5653</v>
      </c>
      <c r="B1776" s="118" t="e">
        <f t="shared" si="191"/>
        <v>#VALUE!</v>
      </c>
      <c r="C1776" s="118" t="s">
        <v>612</v>
      </c>
      <c r="D1776" s="113">
        <v>41718</v>
      </c>
      <c r="E1776" s="103">
        <v>41730</v>
      </c>
      <c r="F1776" s="84">
        <f t="shared" si="192"/>
        <v>45383</v>
      </c>
      <c r="G1776" s="229">
        <v>150</v>
      </c>
      <c r="H1776" s="71" t="s">
        <v>2289</v>
      </c>
      <c r="I1776" s="71" t="s">
        <v>931</v>
      </c>
      <c r="J1776" s="105" t="s">
        <v>5654</v>
      </c>
      <c r="K1776" s="55">
        <f t="shared" si="193"/>
        <v>2024</v>
      </c>
      <c r="L1776" s="105"/>
      <c r="M1776" s="105"/>
      <c r="N1776" s="73" t="s">
        <v>5655</v>
      </c>
      <c r="O1776" s="73" t="s">
        <v>5656</v>
      </c>
      <c r="P1776" s="74"/>
      <c r="Q1776" s="75" t="s">
        <v>5657</v>
      </c>
      <c r="R1776" s="230">
        <v>680</v>
      </c>
      <c r="S1776" s="230">
        <f>+T1776-R1776</f>
        <v>0</v>
      </c>
      <c r="T1776" s="230">
        <v>680</v>
      </c>
      <c r="U1776" s="231">
        <v>225</v>
      </c>
      <c r="V1776" s="230"/>
      <c r="W1776" s="230"/>
      <c r="X1776" s="231"/>
      <c r="Y1776" s="85"/>
      <c r="Z1776" s="101">
        <f>(0.5*0.1)</f>
        <v>0.05</v>
      </c>
      <c r="AA1776" s="102">
        <f>(0.5*0.09)</f>
        <v>4.4999999999999998E-2</v>
      </c>
      <c r="AB1776" s="79"/>
      <c r="AC1776" s="115"/>
    </row>
    <row r="1777" spans="1:29" x14ac:dyDescent="0.2">
      <c r="A1777" s="117" t="s">
        <v>5658</v>
      </c>
      <c r="B1777" s="118" t="e">
        <f t="shared" si="191"/>
        <v>#VALUE!</v>
      </c>
      <c r="C1777" s="118" t="s">
        <v>612</v>
      </c>
      <c r="D1777" s="113">
        <v>41718</v>
      </c>
      <c r="E1777" s="84">
        <v>41760</v>
      </c>
      <c r="F1777" s="84">
        <f t="shared" si="192"/>
        <v>45413</v>
      </c>
      <c r="G1777" s="229">
        <v>145</v>
      </c>
      <c r="H1777" s="71" t="s">
        <v>1687</v>
      </c>
      <c r="I1777" s="71" t="s">
        <v>676</v>
      </c>
      <c r="J1777" s="72" t="s">
        <v>5659</v>
      </c>
      <c r="K1777" s="55">
        <f t="shared" si="193"/>
        <v>2024</v>
      </c>
      <c r="L1777" s="81"/>
      <c r="M1777" s="81"/>
      <c r="N1777" s="73" t="s">
        <v>5660</v>
      </c>
      <c r="O1777" s="73" t="s">
        <v>5661</v>
      </c>
      <c r="P1777" s="74"/>
      <c r="Q1777" s="75" t="s">
        <v>5662</v>
      </c>
      <c r="R1777" s="230">
        <v>662.5</v>
      </c>
      <c r="S1777" s="230">
        <v>1015</v>
      </c>
      <c r="T1777" s="230">
        <v>1677.5</v>
      </c>
      <c r="U1777" s="231">
        <v>217.5</v>
      </c>
      <c r="V1777" s="230"/>
      <c r="W1777" s="230"/>
      <c r="X1777" s="231"/>
      <c r="Y1777" s="85"/>
      <c r="Z1777" s="101">
        <v>0.1</v>
      </c>
      <c r="AA1777" s="102">
        <v>0.09</v>
      </c>
      <c r="AB1777" s="77"/>
      <c r="AC1777" s="78"/>
    </row>
    <row r="1778" spans="1:29" ht="29" x14ac:dyDescent="0.2">
      <c r="A1778" s="117" t="s">
        <v>5663</v>
      </c>
      <c r="B1778" s="118" t="e">
        <f t="shared" si="191"/>
        <v>#VALUE!</v>
      </c>
      <c r="C1778" s="118" t="s">
        <v>612</v>
      </c>
      <c r="D1778" s="113">
        <v>41718</v>
      </c>
      <c r="E1778" s="84">
        <v>41760</v>
      </c>
      <c r="F1778" s="84">
        <f t="shared" si="192"/>
        <v>45413</v>
      </c>
      <c r="G1778" s="229">
        <v>170</v>
      </c>
      <c r="H1778" s="71" t="s">
        <v>1687</v>
      </c>
      <c r="I1778" s="71" t="s">
        <v>676</v>
      </c>
      <c r="J1778" s="79"/>
      <c r="K1778" s="55">
        <f t="shared" si="193"/>
        <v>2024</v>
      </c>
      <c r="L1778" s="80"/>
      <c r="M1778" s="80"/>
      <c r="N1778" s="73" t="s">
        <v>5664</v>
      </c>
      <c r="O1778" s="73" t="s">
        <v>5665</v>
      </c>
      <c r="P1778" s="74"/>
      <c r="Q1778" s="75" t="s">
        <v>5666</v>
      </c>
      <c r="R1778" s="230">
        <v>750</v>
      </c>
      <c r="S1778" s="230">
        <v>510</v>
      </c>
      <c r="T1778" s="230">
        <v>1260</v>
      </c>
      <c r="U1778" s="231">
        <v>255</v>
      </c>
      <c r="V1778" s="230"/>
      <c r="W1778" s="230"/>
      <c r="X1778" s="231"/>
      <c r="Y1778" s="85"/>
      <c r="Z1778" s="101">
        <v>0.1</v>
      </c>
      <c r="AA1778" s="102">
        <v>0.09</v>
      </c>
      <c r="AB1778" s="77"/>
      <c r="AC1778" s="78"/>
    </row>
    <row r="1779" spans="1:29" ht="29" x14ac:dyDescent="0.2">
      <c r="A1779" s="117" t="s">
        <v>5667</v>
      </c>
      <c r="B1779" s="118" t="e">
        <f t="shared" si="191"/>
        <v>#VALUE!</v>
      </c>
      <c r="C1779" s="118" t="s">
        <v>612</v>
      </c>
      <c r="D1779" s="113">
        <v>41718</v>
      </c>
      <c r="E1779" s="84">
        <v>41760</v>
      </c>
      <c r="F1779" s="84">
        <f t="shared" si="192"/>
        <v>45413</v>
      </c>
      <c r="G1779" s="229">
        <v>200</v>
      </c>
      <c r="H1779" s="71" t="s">
        <v>1687</v>
      </c>
      <c r="I1779" s="71" t="s">
        <v>676</v>
      </c>
      <c r="J1779" s="79"/>
      <c r="K1779" s="55">
        <f t="shared" si="193"/>
        <v>2024</v>
      </c>
      <c r="L1779" s="80"/>
      <c r="M1779" s="80"/>
      <c r="N1779" s="73" t="s">
        <v>5668</v>
      </c>
      <c r="O1779" s="73" t="s">
        <v>5669</v>
      </c>
      <c r="P1779" s="74"/>
      <c r="Q1779" s="75" t="s">
        <v>5670</v>
      </c>
      <c r="R1779" s="230">
        <v>855</v>
      </c>
      <c r="S1779" s="230">
        <v>1600</v>
      </c>
      <c r="T1779" s="230">
        <v>2455</v>
      </c>
      <c r="U1779" s="231">
        <v>300</v>
      </c>
      <c r="V1779" s="230"/>
      <c r="W1779" s="230"/>
      <c r="X1779" s="231"/>
      <c r="Y1779" s="85"/>
      <c r="Z1779" s="101">
        <v>0.1</v>
      </c>
      <c r="AA1779" s="102">
        <v>0.09</v>
      </c>
      <c r="AB1779" s="77"/>
      <c r="AC1779" s="78"/>
    </row>
    <row r="1780" spans="1:29" ht="29" x14ac:dyDescent="0.2">
      <c r="A1780" s="117" t="s">
        <v>5671</v>
      </c>
      <c r="B1780" s="118" t="e">
        <f t="shared" si="191"/>
        <v>#VALUE!</v>
      </c>
      <c r="C1780" s="118" t="s">
        <v>612</v>
      </c>
      <c r="D1780" s="113">
        <v>41718</v>
      </c>
      <c r="E1780" s="84">
        <v>41760</v>
      </c>
      <c r="F1780" s="84">
        <f t="shared" si="192"/>
        <v>45413</v>
      </c>
      <c r="G1780" s="229">
        <v>145</v>
      </c>
      <c r="H1780" s="71" t="s">
        <v>1687</v>
      </c>
      <c r="I1780" s="71" t="s">
        <v>676</v>
      </c>
      <c r="J1780" s="79"/>
      <c r="K1780" s="55">
        <f t="shared" si="193"/>
        <v>2024</v>
      </c>
      <c r="L1780" s="80"/>
      <c r="M1780" s="80"/>
      <c r="N1780" s="73" t="s">
        <v>5672</v>
      </c>
      <c r="O1780" s="73" t="s">
        <v>5673</v>
      </c>
      <c r="P1780" s="74"/>
      <c r="Q1780" s="75" t="s">
        <v>5674</v>
      </c>
      <c r="R1780" s="230">
        <v>662.5</v>
      </c>
      <c r="S1780" s="230">
        <v>0</v>
      </c>
      <c r="T1780" s="230">
        <v>662.5</v>
      </c>
      <c r="U1780" s="231">
        <v>217.5</v>
      </c>
      <c r="V1780" s="230"/>
      <c r="W1780" s="230"/>
      <c r="X1780" s="231"/>
      <c r="Y1780" s="85"/>
      <c r="Z1780" s="101">
        <v>0.1</v>
      </c>
      <c r="AA1780" s="102">
        <v>0.09</v>
      </c>
      <c r="AB1780" s="77"/>
      <c r="AC1780" s="78"/>
    </row>
    <row r="1781" spans="1:29" x14ac:dyDescent="0.2">
      <c r="A1781" s="117" t="s">
        <v>5675</v>
      </c>
      <c r="B1781" s="118" t="e">
        <f t="shared" si="191"/>
        <v>#VALUE!</v>
      </c>
      <c r="C1781" s="118" t="s">
        <v>612</v>
      </c>
      <c r="D1781" s="113">
        <v>41718</v>
      </c>
      <c r="E1781" s="84">
        <v>41760</v>
      </c>
      <c r="F1781" s="84">
        <f t="shared" si="192"/>
        <v>45413</v>
      </c>
      <c r="G1781" s="229">
        <v>2.86</v>
      </c>
      <c r="H1781" s="71" t="s">
        <v>5676</v>
      </c>
      <c r="I1781" s="71" t="s">
        <v>684</v>
      </c>
      <c r="J1781" s="79"/>
      <c r="K1781" s="55">
        <f t="shared" si="193"/>
        <v>2024</v>
      </c>
      <c r="L1781" s="80"/>
      <c r="M1781" s="80"/>
      <c r="N1781" s="73" t="s">
        <v>5677</v>
      </c>
      <c r="O1781" s="73" t="s">
        <v>5678</v>
      </c>
      <c r="P1781" s="74"/>
      <c r="Q1781" s="75" t="s">
        <v>5679</v>
      </c>
      <c r="R1781" s="230">
        <v>165.5</v>
      </c>
      <c r="S1781" s="230">
        <v>30</v>
      </c>
      <c r="T1781" s="230">
        <v>195.5</v>
      </c>
      <c r="U1781" s="231">
        <v>4.5</v>
      </c>
      <c r="V1781" s="230"/>
      <c r="W1781" s="230"/>
      <c r="X1781" s="231"/>
      <c r="Y1781" s="85"/>
      <c r="Z1781" s="101">
        <v>0.1</v>
      </c>
      <c r="AA1781" s="102">
        <v>0.09</v>
      </c>
      <c r="AB1781" s="77"/>
      <c r="AC1781" s="78"/>
    </row>
    <row r="1782" spans="1:29" x14ac:dyDescent="0.2">
      <c r="A1782" s="117" t="s">
        <v>5680</v>
      </c>
      <c r="B1782" s="118" t="e">
        <f t="shared" si="191"/>
        <v>#VALUE!</v>
      </c>
      <c r="C1782" s="118" t="s">
        <v>612</v>
      </c>
      <c r="D1782" s="113">
        <v>41718</v>
      </c>
      <c r="E1782" s="84">
        <v>41760</v>
      </c>
      <c r="F1782" s="84">
        <f t="shared" si="192"/>
        <v>45413</v>
      </c>
      <c r="G1782" s="229">
        <v>199.88</v>
      </c>
      <c r="H1782" s="71" t="s">
        <v>2131</v>
      </c>
      <c r="I1782" s="71" t="s">
        <v>684</v>
      </c>
      <c r="J1782" s="79"/>
      <c r="K1782" s="55">
        <f t="shared" si="193"/>
        <v>2024</v>
      </c>
      <c r="L1782" s="80"/>
      <c r="M1782" s="80"/>
      <c r="N1782" s="73" t="s">
        <v>5681</v>
      </c>
      <c r="O1782" s="73" t="s">
        <v>5682</v>
      </c>
      <c r="P1782" s="74"/>
      <c r="Q1782" s="75" t="s">
        <v>5683</v>
      </c>
      <c r="R1782" s="230">
        <v>855</v>
      </c>
      <c r="S1782" s="230">
        <v>3200</v>
      </c>
      <c r="T1782" s="230">
        <v>4055</v>
      </c>
      <c r="U1782" s="231">
        <v>300</v>
      </c>
      <c r="V1782" s="230"/>
      <c r="W1782" s="230"/>
      <c r="X1782" s="231"/>
      <c r="Y1782" s="85"/>
      <c r="Z1782" s="101">
        <v>0.1</v>
      </c>
      <c r="AA1782" s="102">
        <v>0.09</v>
      </c>
      <c r="AB1782" s="77"/>
      <c r="AC1782" s="78"/>
    </row>
    <row r="1783" spans="1:29" ht="27" customHeight="1" x14ac:dyDescent="0.2">
      <c r="A1783" s="117" t="s">
        <v>5684</v>
      </c>
      <c r="B1783" s="118" t="e">
        <f t="shared" si="191"/>
        <v>#VALUE!</v>
      </c>
      <c r="C1783" s="118" t="s">
        <v>612</v>
      </c>
      <c r="D1783" s="113">
        <v>41718</v>
      </c>
      <c r="E1783" s="84">
        <v>41760</v>
      </c>
      <c r="F1783" s="84">
        <f t="shared" si="192"/>
        <v>45413</v>
      </c>
      <c r="G1783" s="229">
        <v>409.22</v>
      </c>
      <c r="H1783" s="71" t="s">
        <v>1577</v>
      </c>
      <c r="I1783" s="71" t="s">
        <v>684</v>
      </c>
      <c r="J1783" s="79"/>
      <c r="K1783" s="55">
        <f t="shared" si="193"/>
        <v>2024</v>
      </c>
      <c r="L1783" s="80"/>
      <c r="M1783" s="80"/>
      <c r="N1783" s="73" t="s">
        <v>5685</v>
      </c>
      <c r="O1783" s="73" t="s">
        <v>5686</v>
      </c>
      <c r="P1783" s="74"/>
      <c r="Q1783" s="75" t="s">
        <v>5687</v>
      </c>
      <c r="R1783" s="230">
        <v>1590</v>
      </c>
      <c r="S1783" s="230">
        <v>5330</v>
      </c>
      <c r="T1783" s="230">
        <v>6920</v>
      </c>
      <c r="U1783" s="231">
        <v>615</v>
      </c>
      <c r="V1783" s="230"/>
      <c r="W1783" s="230"/>
      <c r="X1783" s="231"/>
      <c r="Y1783" s="85"/>
      <c r="Z1783" s="101">
        <v>0.1</v>
      </c>
      <c r="AA1783" s="102">
        <v>0.09</v>
      </c>
      <c r="AB1783" s="77"/>
      <c r="AC1783" s="78"/>
    </row>
    <row r="1784" spans="1:29" ht="27" customHeight="1" x14ac:dyDescent="0.2">
      <c r="A1784" s="117" t="s">
        <v>5688</v>
      </c>
      <c r="B1784" s="118" t="e">
        <f t="shared" si="191"/>
        <v>#VALUE!</v>
      </c>
      <c r="C1784" s="118" t="s">
        <v>612</v>
      </c>
      <c r="D1784" s="113">
        <v>41718</v>
      </c>
      <c r="E1784" s="84">
        <v>41760</v>
      </c>
      <c r="F1784" s="84">
        <f t="shared" si="192"/>
        <v>45413</v>
      </c>
      <c r="G1784" s="229">
        <v>2193</v>
      </c>
      <c r="H1784" s="71" t="s">
        <v>2131</v>
      </c>
      <c r="I1784" s="71" t="s">
        <v>684</v>
      </c>
      <c r="J1784" s="79"/>
      <c r="K1784" s="55">
        <f t="shared" si="193"/>
        <v>2024</v>
      </c>
      <c r="L1784" s="80"/>
      <c r="M1784" s="80"/>
      <c r="N1784" s="73" t="s">
        <v>5689</v>
      </c>
      <c r="O1784" s="73" t="s">
        <v>5690</v>
      </c>
      <c r="P1784" s="74"/>
      <c r="Q1784" s="75" t="s">
        <v>5691</v>
      </c>
      <c r="R1784" s="230">
        <v>7830.5</v>
      </c>
      <c r="S1784" s="230">
        <v>0</v>
      </c>
      <c r="T1784" s="230">
        <v>7830.5</v>
      </c>
      <c r="U1784" s="231">
        <v>3289.5</v>
      </c>
      <c r="V1784" s="230"/>
      <c r="W1784" s="230"/>
      <c r="X1784" s="231"/>
      <c r="Y1784" s="85"/>
      <c r="Z1784" s="101">
        <v>0.1</v>
      </c>
      <c r="AA1784" s="102">
        <v>0.09</v>
      </c>
      <c r="AB1784" s="77"/>
      <c r="AC1784" s="78"/>
    </row>
    <row r="1785" spans="1:29" ht="40" customHeight="1" x14ac:dyDescent="0.2">
      <c r="A1785" s="117" t="s">
        <v>5692</v>
      </c>
      <c r="B1785" s="118" t="e">
        <f t="shared" si="191"/>
        <v>#VALUE!</v>
      </c>
      <c r="C1785" s="118" t="s">
        <v>612</v>
      </c>
      <c r="D1785" s="113">
        <v>41718</v>
      </c>
      <c r="E1785" s="103">
        <v>41730</v>
      </c>
      <c r="F1785" s="84">
        <f t="shared" si="192"/>
        <v>45383</v>
      </c>
      <c r="G1785" s="229">
        <v>2040</v>
      </c>
      <c r="H1785" s="71" t="s">
        <v>2131</v>
      </c>
      <c r="I1785" s="71" t="s">
        <v>684</v>
      </c>
      <c r="J1785" s="79"/>
      <c r="K1785" s="55">
        <f t="shared" si="193"/>
        <v>2024</v>
      </c>
      <c r="L1785" s="80"/>
      <c r="M1785" s="80"/>
      <c r="N1785" s="73" t="s">
        <v>5681</v>
      </c>
      <c r="O1785" s="73" t="s">
        <v>5693</v>
      </c>
      <c r="P1785" s="74"/>
      <c r="Q1785" s="75" t="s">
        <v>5694</v>
      </c>
      <c r="R1785" s="230">
        <v>7295</v>
      </c>
      <c r="S1785" s="230">
        <v>0</v>
      </c>
      <c r="T1785" s="230">
        <v>7295</v>
      </c>
      <c r="U1785" s="231">
        <v>3060</v>
      </c>
      <c r="V1785" s="230"/>
      <c r="W1785" s="230"/>
      <c r="X1785" s="231"/>
      <c r="Y1785" s="85"/>
      <c r="Z1785" s="101">
        <v>0.1</v>
      </c>
      <c r="AA1785" s="102">
        <v>0.09</v>
      </c>
      <c r="AB1785" s="77"/>
      <c r="AC1785" s="78"/>
    </row>
    <row r="1786" spans="1:29" ht="40" customHeight="1" x14ac:dyDescent="0.2">
      <c r="A1786" s="117" t="s">
        <v>5695</v>
      </c>
      <c r="B1786" s="118" t="e">
        <f t="shared" si="191"/>
        <v>#VALUE!</v>
      </c>
      <c r="C1786" s="118" t="s">
        <v>612</v>
      </c>
      <c r="D1786" s="113">
        <v>41718</v>
      </c>
      <c r="E1786" s="103">
        <v>41730</v>
      </c>
      <c r="F1786" s="84">
        <f t="shared" si="192"/>
        <v>45383</v>
      </c>
      <c r="G1786" s="229">
        <v>1860</v>
      </c>
      <c r="H1786" s="71" t="s">
        <v>2131</v>
      </c>
      <c r="I1786" s="71" t="s">
        <v>684</v>
      </c>
      <c r="J1786" s="79"/>
      <c r="K1786" s="55">
        <f t="shared" si="193"/>
        <v>2024</v>
      </c>
      <c r="L1786" s="80"/>
      <c r="M1786" s="80"/>
      <c r="N1786" s="73" t="s">
        <v>5681</v>
      </c>
      <c r="O1786" s="73" t="s">
        <v>5696</v>
      </c>
      <c r="P1786" s="74"/>
      <c r="Q1786" s="75" t="s">
        <v>5697</v>
      </c>
      <c r="R1786" s="230">
        <v>6665</v>
      </c>
      <c r="S1786" s="230">
        <v>0</v>
      </c>
      <c r="T1786" s="230">
        <v>6665</v>
      </c>
      <c r="U1786" s="231">
        <v>2790</v>
      </c>
      <c r="V1786" s="230"/>
      <c r="W1786" s="230"/>
      <c r="X1786" s="231"/>
      <c r="Y1786" s="85"/>
      <c r="Z1786" s="101">
        <v>0.1</v>
      </c>
      <c r="AA1786" s="102">
        <v>0.09</v>
      </c>
      <c r="AB1786" s="77"/>
      <c r="AC1786" s="78"/>
    </row>
    <row r="1787" spans="1:29" ht="40" customHeight="1" x14ac:dyDescent="0.2">
      <c r="A1787" s="117" t="s">
        <v>5698</v>
      </c>
      <c r="B1787" s="118" t="e">
        <f t="shared" si="191"/>
        <v>#VALUE!</v>
      </c>
      <c r="C1787" s="118" t="s">
        <v>612</v>
      </c>
      <c r="D1787" s="113">
        <v>41718</v>
      </c>
      <c r="E1787" s="103">
        <v>41730</v>
      </c>
      <c r="F1787" s="84">
        <f t="shared" si="192"/>
        <v>45383</v>
      </c>
      <c r="G1787" s="229">
        <v>2461</v>
      </c>
      <c r="H1787" s="71" t="s">
        <v>2131</v>
      </c>
      <c r="I1787" s="71" t="s">
        <v>684</v>
      </c>
      <c r="J1787" s="79"/>
      <c r="K1787" s="55">
        <f t="shared" si="193"/>
        <v>2024</v>
      </c>
      <c r="L1787" s="80"/>
      <c r="M1787" s="80"/>
      <c r="N1787" s="73" t="s">
        <v>5681</v>
      </c>
      <c r="O1787" s="73" t="s">
        <v>5699</v>
      </c>
      <c r="P1787" s="74"/>
      <c r="Q1787" s="75" t="s">
        <v>5700</v>
      </c>
      <c r="R1787" s="230">
        <v>8768.5</v>
      </c>
      <c r="S1787" s="230">
        <v>0</v>
      </c>
      <c r="T1787" s="230">
        <v>8768.5</v>
      </c>
      <c r="U1787" s="231">
        <v>3691.5</v>
      </c>
      <c r="V1787" s="230"/>
      <c r="W1787" s="230"/>
      <c r="X1787" s="231"/>
      <c r="Y1787" s="85"/>
      <c r="Z1787" s="101">
        <v>0.1</v>
      </c>
      <c r="AA1787" s="102">
        <v>0.09</v>
      </c>
      <c r="AB1787" s="77"/>
      <c r="AC1787" s="78"/>
    </row>
    <row r="1788" spans="1:29" ht="40" customHeight="1" x14ac:dyDescent="0.2">
      <c r="A1788" s="117" t="s">
        <v>5701</v>
      </c>
      <c r="B1788" s="118" t="e">
        <f t="shared" si="191"/>
        <v>#VALUE!</v>
      </c>
      <c r="C1788" s="118" t="s">
        <v>612</v>
      </c>
      <c r="D1788" s="113">
        <v>41718</v>
      </c>
      <c r="E1788" s="103">
        <v>41730</v>
      </c>
      <c r="F1788" s="84">
        <f t="shared" si="192"/>
        <v>45383</v>
      </c>
      <c r="G1788" s="229">
        <v>2325</v>
      </c>
      <c r="H1788" s="71" t="s">
        <v>2131</v>
      </c>
      <c r="I1788" s="71" t="s">
        <v>684</v>
      </c>
      <c r="J1788" s="79"/>
      <c r="K1788" s="55">
        <f t="shared" si="193"/>
        <v>2024</v>
      </c>
      <c r="L1788" s="80"/>
      <c r="M1788" s="80"/>
      <c r="N1788" s="73" t="s">
        <v>5681</v>
      </c>
      <c r="O1788" s="73" t="s">
        <v>5702</v>
      </c>
      <c r="P1788" s="74"/>
      <c r="Q1788" s="75" t="s">
        <v>5703</v>
      </c>
      <c r="R1788" s="230">
        <v>8292.5</v>
      </c>
      <c r="S1788" s="230">
        <v>0</v>
      </c>
      <c r="T1788" s="230">
        <v>8292.5</v>
      </c>
      <c r="U1788" s="231">
        <v>3487.5</v>
      </c>
      <c r="V1788" s="230"/>
      <c r="W1788" s="230"/>
      <c r="X1788" s="231"/>
      <c r="Y1788" s="85"/>
      <c r="Z1788" s="101">
        <v>0.1</v>
      </c>
      <c r="AA1788" s="102">
        <v>0.09</v>
      </c>
      <c r="AB1788" s="77"/>
      <c r="AC1788" s="78"/>
    </row>
    <row r="1789" spans="1:29" ht="27" customHeight="1" x14ac:dyDescent="0.2">
      <c r="A1789" s="117" t="s">
        <v>5704</v>
      </c>
      <c r="B1789" s="118" t="e">
        <f t="shared" si="191"/>
        <v>#VALUE!</v>
      </c>
      <c r="C1789" s="118" t="s">
        <v>612</v>
      </c>
      <c r="D1789" s="113">
        <v>41718</v>
      </c>
      <c r="E1789" s="84">
        <v>41760</v>
      </c>
      <c r="F1789" s="84">
        <f t="shared" si="192"/>
        <v>45413</v>
      </c>
      <c r="G1789" s="229">
        <v>1304.98</v>
      </c>
      <c r="H1789" s="71" t="s">
        <v>2131</v>
      </c>
      <c r="I1789" s="71" t="s">
        <v>684</v>
      </c>
      <c r="J1789" s="79"/>
      <c r="K1789" s="55">
        <f t="shared" si="193"/>
        <v>2024</v>
      </c>
      <c r="L1789" s="80"/>
      <c r="M1789" s="80"/>
      <c r="N1789" s="73" t="s">
        <v>5681</v>
      </c>
      <c r="O1789" s="73" t="s">
        <v>5705</v>
      </c>
      <c r="P1789" s="74"/>
      <c r="Q1789" s="75" t="s">
        <v>5706</v>
      </c>
      <c r="R1789" s="230">
        <v>4722.5</v>
      </c>
      <c r="S1789" s="230">
        <v>0</v>
      </c>
      <c r="T1789" s="230">
        <v>4722.5</v>
      </c>
      <c r="U1789" s="231">
        <v>1957.5</v>
      </c>
      <c r="V1789" s="230"/>
      <c r="W1789" s="230"/>
      <c r="X1789" s="231"/>
      <c r="Y1789" s="85"/>
      <c r="Z1789" s="101">
        <v>0.1</v>
      </c>
      <c r="AA1789" s="102">
        <v>0.09</v>
      </c>
      <c r="AB1789" s="77"/>
      <c r="AC1789" s="78"/>
    </row>
    <row r="1790" spans="1:29" x14ac:dyDescent="0.2">
      <c r="A1790" s="117" t="s">
        <v>5707</v>
      </c>
      <c r="B1790" s="118" t="e">
        <f t="shared" si="191"/>
        <v>#VALUE!</v>
      </c>
      <c r="C1790" s="118" t="s">
        <v>612</v>
      </c>
      <c r="D1790" s="113">
        <v>41718</v>
      </c>
      <c r="E1790" s="103">
        <v>41730</v>
      </c>
      <c r="F1790" s="84">
        <f t="shared" si="192"/>
        <v>45383</v>
      </c>
      <c r="G1790" s="229">
        <v>119.36</v>
      </c>
      <c r="H1790" s="71" t="s">
        <v>2131</v>
      </c>
      <c r="I1790" s="71" t="s">
        <v>684</v>
      </c>
      <c r="J1790" s="79"/>
      <c r="K1790" s="55">
        <f t="shared" si="193"/>
        <v>2024</v>
      </c>
      <c r="L1790" s="80"/>
      <c r="M1790" s="80"/>
      <c r="N1790" s="73" t="s">
        <v>5681</v>
      </c>
      <c r="O1790" s="73" t="s">
        <v>5708</v>
      </c>
      <c r="P1790" s="74"/>
      <c r="Q1790" s="75" t="s">
        <v>5709</v>
      </c>
      <c r="R1790" s="230">
        <v>575</v>
      </c>
      <c r="S1790" s="230">
        <v>0</v>
      </c>
      <c r="T1790" s="230">
        <v>575</v>
      </c>
      <c r="U1790" s="231">
        <v>180</v>
      </c>
      <c r="V1790" s="230"/>
      <c r="W1790" s="230"/>
      <c r="X1790" s="231"/>
      <c r="Y1790" s="85"/>
      <c r="Z1790" s="101">
        <v>0.1</v>
      </c>
      <c r="AA1790" s="102">
        <v>0.09</v>
      </c>
      <c r="AB1790" s="77"/>
      <c r="AC1790" s="78"/>
    </row>
    <row r="1791" spans="1:29" ht="27" customHeight="1" x14ac:dyDescent="0.2">
      <c r="A1791" s="117" t="s">
        <v>5710</v>
      </c>
      <c r="B1791" s="118" t="e">
        <f t="shared" si="191"/>
        <v>#VALUE!</v>
      </c>
      <c r="C1791" s="118" t="s">
        <v>612</v>
      </c>
      <c r="D1791" s="113">
        <v>41718</v>
      </c>
      <c r="E1791" s="84">
        <v>41760</v>
      </c>
      <c r="F1791" s="84">
        <f t="shared" si="192"/>
        <v>45413</v>
      </c>
      <c r="G1791" s="229">
        <v>1740</v>
      </c>
      <c r="H1791" s="71" t="s">
        <v>5711</v>
      </c>
      <c r="I1791" s="71" t="s">
        <v>684</v>
      </c>
      <c r="J1791" s="79"/>
      <c r="K1791" s="55">
        <f t="shared" si="193"/>
        <v>2024</v>
      </c>
      <c r="L1791" s="80"/>
      <c r="M1791" s="80"/>
      <c r="N1791" s="73" t="s">
        <v>5712</v>
      </c>
      <c r="O1791" s="73" t="s">
        <v>5713</v>
      </c>
      <c r="P1791" s="74"/>
      <c r="Q1791" s="75" t="s">
        <v>5714</v>
      </c>
      <c r="R1791" s="230">
        <v>6245</v>
      </c>
      <c r="S1791" s="230">
        <v>0</v>
      </c>
      <c r="T1791" s="230">
        <v>6245</v>
      </c>
      <c r="U1791" s="231">
        <v>2610</v>
      </c>
      <c r="V1791" s="230"/>
      <c r="W1791" s="230"/>
      <c r="X1791" s="231"/>
      <c r="Y1791" s="85"/>
      <c r="Z1791" s="101">
        <v>0.1</v>
      </c>
      <c r="AA1791" s="102">
        <v>0.09</v>
      </c>
      <c r="AB1791" s="77"/>
      <c r="AC1791" s="78"/>
    </row>
    <row r="1792" spans="1:29" ht="40" customHeight="1" x14ac:dyDescent="0.2">
      <c r="A1792" s="117" t="s">
        <v>5715</v>
      </c>
      <c r="B1792" s="118" t="e">
        <f t="shared" si="191"/>
        <v>#VALUE!</v>
      </c>
      <c r="C1792" s="118" t="s">
        <v>612</v>
      </c>
      <c r="D1792" s="113">
        <v>41718</v>
      </c>
      <c r="E1792" s="103">
        <v>41730</v>
      </c>
      <c r="F1792" s="84">
        <f t="shared" si="192"/>
        <v>45383</v>
      </c>
      <c r="G1792" s="229">
        <v>1332</v>
      </c>
      <c r="H1792" s="71" t="s">
        <v>3918</v>
      </c>
      <c r="I1792" s="71" t="s">
        <v>684</v>
      </c>
      <c r="J1792" s="79"/>
      <c r="K1792" s="55">
        <f t="shared" si="193"/>
        <v>2024</v>
      </c>
      <c r="L1792" s="80"/>
      <c r="M1792" s="80"/>
      <c r="N1792" s="73" t="s">
        <v>5716</v>
      </c>
      <c r="O1792" s="73" t="s">
        <v>5717</v>
      </c>
      <c r="P1792" s="74"/>
      <c r="Q1792" s="75" t="s">
        <v>5718</v>
      </c>
      <c r="R1792" s="230">
        <v>4817</v>
      </c>
      <c r="S1792" s="230">
        <v>0</v>
      </c>
      <c r="T1792" s="230">
        <v>4817</v>
      </c>
      <c r="U1792" s="231">
        <v>1998</v>
      </c>
      <c r="V1792" s="230"/>
      <c r="W1792" s="230"/>
      <c r="X1792" s="231"/>
      <c r="Y1792" s="85"/>
      <c r="Z1792" s="101">
        <v>0.1</v>
      </c>
      <c r="AA1792" s="102">
        <v>0.09</v>
      </c>
      <c r="AB1792" s="77"/>
      <c r="AC1792" s="78"/>
    </row>
    <row r="1793" spans="1:29" x14ac:dyDescent="0.2">
      <c r="A1793" s="117" t="s">
        <v>5719</v>
      </c>
      <c r="B1793" s="118" t="e">
        <f t="shared" si="191"/>
        <v>#VALUE!</v>
      </c>
      <c r="C1793" s="118" t="s">
        <v>612</v>
      </c>
      <c r="D1793" s="113">
        <v>41718</v>
      </c>
      <c r="E1793" s="103">
        <v>41730</v>
      </c>
      <c r="F1793" s="84">
        <f t="shared" si="192"/>
        <v>45383</v>
      </c>
      <c r="G1793" s="229">
        <v>1040</v>
      </c>
      <c r="H1793" s="71" t="s">
        <v>703</v>
      </c>
      <c r="I1793" s="71" t="s">
        <v>691</v>
      </c>
      <c r="J1793" s="79"/>
      <c r="K1793" s="55">
        <f t="shared" si="193"/>
        <v>2024</v>
      </c>
      <c r="L1793" s="80"/>
      <c r="M1793" s="80"/>
      <c r="N1793" s="73" t="s">
        <v>5720</v>
      </c>
      <c r="O1793" s="73" t="s">
        <v>5721</v>
      </c>
      <c r="P1793" s="74"/>
      <c r="Q1793" s="75" t="s">
        <v>5722</v>
      </c>
      <c r="R1793" s="230">
        <v>3795</v>
      </c>
      <c r="S1793" s="230">
        <v>0</v>
      </c>
      <c r="T1793" s="230">
        <v>3795</v>
      </c>
      <c r="U1793" s="231">
        <v>1560</v>
      </c>
      <c r="V1793" s="230"/>
      <c r="W1793" s="230"/>
      <c r="X1793" s="231"/>
      <c r="Y1793" s="85"/>
      <c r="Z1793" s="101">
        <v>0.1</v>
      </c>
      <c r="AA1793" s="102">
        <v>0.09</v>
      </c>
      <c r="AB1793" s="77"/>
      <c r="AC1793" s="78"/>
    </row>
    <row r="1794" spans="1:29" ht="15" hidden="1" customHeight="1" thickBot="1" x14ac:dyDescent="0.25">
      <c r="A1794" s="117"/>
      <c r="D1794" s="71"/>
      <c r="E1794" s="78"/>
      <c r="F1794" s="84"/>
      <c r="G1794" s="229"/>
      <c r="H1794" s="71"/>
      <c r="I1794" s="71"/>
      <c r="J1794" s="79"/>
      <c r="K1794" s="79"/>
      <c r="L1794" s="80"/>
      <c r="M1794" s="80"/>
      <c r="N1794" s="73"/>
      <c r="O1794" s="73"/>
      <c r="P1794" s="74"/>
      <c r="Q1794" s="75"/>
      <c r="R1794" s="241">
        <f>SUM(R1775:R1793)-340</f>
        <v>65321.5</v>
      </c>
      <c r="S1794" s="241">
        <f>SUM(S1775:S1793)</f>
        <v>331525</v>
      </c>
      <c r="T1794" s="241">
        <f>SUM(T1775:T1793)-340</f>
        <v>396846.5</v>
      </c>
      <c r="U1794" s="231"/>
      <c r="V1794" s="230"/>
      <c r="W1794" s="230"/>
      <c r="X1794" s="231"/>
      <c r="Y1794" s="85"/>
      <c r="Z1794" s="85"/>
      <c r="AA1794" s="76"/>
      <c r="AB1794" s="77"/>
      <c r="AC1794" s="78"/>
    </row>
    <row r="1795" spans="1:29" hidden="1" x14ac:dyDescent="0.2">
      <c r="A1795" s="117"/>
      <c r="D1795" s="71"/>
      <c r="E1795" s="78"/>
      <c r="F1795" s="84"/>
      <c r="G1795" s="71"/>
      <c r="H1795" s="71"/>
      <c r="I1795" s="71"/>
      <c r="J1795" s="79"/>
      <c r="K1795" s="79"/>
      <c r="L1795" s="80"/>
      <c r="M1795" s="80"/>
      <c r="N1795" s="73"/>
      <c r="O1795" s="73"/>
      <c r="P1795" s="74"/>
      <c r="Q1795" s="75"/>
      <c r="R1795" s="230"/>
      <c r="S1795" s="230"/>
      <c r="T1795" s="230"/>
      <c r="U1795" s="231"/>
      <c r="V1795" s="230"/>
      <c r="W1795" s="230"/>
      <c r="X1795" s="231"/>
      <c r="Y1795" s="85"/>
      <c r="Z1795" s="85"/>
      <c r="AA1795" s="76"/>
      <c r="AB1795" s="77"/>
      <c r="AC1795" s="78"/>
    </row>
    <row r="1796" spans="1:29" ht="40" customHeight="1" x14ac:dyDescent="0.2">
      <c r="A1796" s="117" t="s">
        <v>5723</v>
      </c>
      <c r="B1796" s="118" t="e">
        <f>IF(COUNTIF(GIS,A1796),"YES","NO")</f>
        <v>#VALUE!</v>
      </c>
      <c r="C1796" s="118" t="s">
        <v>612</v>
      </c>
      <c r="D1796" s="113">
        <v>41745</v>
      </c>
      <c r="E1796" s="84">
        <v>41791</v>
      </c>
      <c r="F1796" s="84">
        <f>DATE(YEAR(E1796)+10,MONTH(E1796),DAY(E1796))</f>
        <v>45444</v>
      </c>
      <c r="G1796" s="229">
        <v>27.66</v>
      </c>
      <c r="H1796" s="71" t="s">
        <v>5724</v>
      </c>
      <c r="I1796" s="71" t="s">
        <v>812</v>
      </c>
      <c r="J1796" s="79"/>
      <c r="K1796" s="55">
        <f>YEAR(F1796)</f>
        <v>2024</v>
      </c>
      <c r="L1796" s="80"/>
      <c r="M1796" s="80"/>
      <c r="N1796" s="73" t="s">
        <v>5725</v>
      </c>
      <c r="O1796" s="73" t="s">
        <v>5726</v>
      </c>
      <c r="P1796" s="74"/>
      <c r="Q1796" s="75" t="s">
        <v>5727</v>
      </c>
      <c r="R1796" s="230">
        <v>253</v>
      </c>
      <c r="S1796" s="230">
        <v>81144</v>
      </c>
      <c r="T1796" s="230">
        <v>81397</v>
      </c>
      <c r="U1796" s="231">
        <v>42</v>
      </c>
      <c r="V1796" s="230"/>
      <c r="W1796" s="230"/>
      <c r="X1796" s="231"/>
      <c r="Y1796" s="85"/>
      <c r="Z1796" s="101">
        <v>0.1</v>
      </c>
      <c r="AA1796" s="102">
        <v>0.09</v>
      </c>
      <c r="AB1796" s="77"/>
      <c r="AC1796" s="78"/>
    </row>
    <row r="1797" spans="1:29" ht="40" customHeight="1" x14ac:dyDescent="0.2">
      <c r="A1797" s="117" t="s">
        <v>5728</v>
      </c>
      <c r="B1797" s="114" t="e">
        <f>IF(COUNTIF(GIS,A1797),"YES","NO")</f>
        <v>#VALUE!</v>
      </c>
      <c r="C1797" s="118" t="s">
        <v>612</v>
      </c>
      <c r="D1797" s="113">
        <v>41745</v>
      </c>
      <c r="E1797" s="84">
        <v>41791</v>
      </c>
      <c r="F1797" s="84">
        <f>DATE(YEAR(E1797)+10,MONTH(E1797),DAY(E1797))</f>
        <v>45444</v>
      </c>
      <c r="G1797" s="229">
        <v>1273.76</v>
      </c>
      <c r="H1797" s="71" t="s">
        <v>816</v>
      </c>
      <c r="I1797" s="71" t="s">
        <v>614</v>
      </c>
      <c r="J1797" s="79"/>
      <c r="K1797" s="55">
        <f>YEAR(F1797)</f>
        <v>2024</v>
      </c>
      <c r="L1797" s="80"/>
      <c r="M1797" s="80"/>
      <c r="N1797" s="73" t="s">
        <v>5729</v>
      </c>
      <c r="O1797" s="73" t="s">
        <v>5730</v>
      </c>
      <c r="P1797" s="74"/>
      <c r="Q1797" s="75" t="s">
        <v>5731</v>
      </c>
      <c r="R1797" s="230">
        <v>4614</v>
      </c>
      <c r="S1797" s="230">
        <v>284102</v>
      </c>
      <c r="T1797" s="230">
        <v>288716</v>
      </c>
      <c r="U1797" s="231">
        <v>1911</v>
      </c>
      <c r="V1797" s="230"/>
      <c r="W1797" s="230"/>
      <c r="X1797" s="231"/>
      <c r="Y1797" s="85"/>
      <c r="Z1797" s="101">
        <v>0.1</v>
      </c>
      <c r="AA1797" s="102">
        <v>0.09</v>
      </c>
      <c r="AB1797" s="77"/>
      <c r="AC1797" s="78"/>
    </row>
    <row r="1798" spans="1:29" ht="27" customHeight="1" x14ac:dyDescent="0.2">
      <c r="A1798" s="117" t="s">
        <v>5732</v>
      </c>
      <c r="B1798" s="114" t="e">
        <f>IF(COUNTIF(GIS,A1798),"YES","NO")</f>
        <v>#VALUE!</v>
      </c>
      <c r="C1798" s="118" t="s">
        <v>612</v>
      </c>
      <c r="D1798" s="113">
        <v>41745</v>
      </c>
      <c r="E1798" s="84">
        <v>41791</v>
      </c>
      <c r="F1798" s="84">
        <f>DATE(YEAR(E1798)+10,MONTH(E1798),DAY(E1798))</f>
        <v>45444</v>
      </c>
      <c r="G1798" s="229">
        <v>122</v>
      </c>
      <c r="H1798" s="71" t="s">
        <v>1503</v>
      </c>
      <c r="I1798" s="71" t="s">
        <v>614</v>
      </c>
      <c r="J1798" s="79"/>
      <c r="K1798" s="55">
        <f>YEAR(F1798)</f>
        <v>2024</v>
      </c>
      <c r="L1798" s="80"/>
      <c r="M1798" s="80"/>
      <c r="N1798" s="73" t="s">
        <v>5733</v>
      </c>
      <c r="O1798" s="73" t="s">
        <v>5734</v>
      </c>
      <c r="P1798" s="74"/>
      <c r="Q1798" s="75" t="s">
        <v>5735</v>
      </c>
      <c r="R1798" s="230">
        <v>582</v>
      </c>
      <c r="S1798" s="230">
        <v>3416</v>
      </c>
      <c r="T1798" s="230">
        <v>3998</v>
      </c>
      <c r="U1798" s="231">
        <v>183</v>
      </c>
      <c r="V1798" s="230"/>
      <c r="W1798" s="230"/>
      <c r="X1798" s="231"/>
      <c r="Y1798" s="85"/>
      <c r="Z1798" s="101">
        <v>0.1</v>
      </c>
      <c r="AA1798" s="102">
        <v>0.09</v>
      </c>
      <c r="AB1798" s="77"/>
      <c r="AC1798" s="78"/>
    </row>
    <row r="1799" spans="1:29" ht="27" customHeight="1" x14ac:dyDescent="0.2">
      <c r="A1799" s="117" t="s">
        <v>5736</v>
      </c>
      <c r="B1799" s="114" t="e">
        <f>IF(COUNTIF(GIS,A1799),"YES","NO")</f>
        <v>#VALUE!</v>
      </c>
      <c r="C1799" s="118" t="s">
        <v>612</v>
      </c>
      <c r="D1799" s="113">
        <v>41745</v>
      </c>
      <c r="E1799" s="84">
        <v>41791</v>
      </c>
      <c r="F1799" s="84">
        <f>DATE(YEAR(E1799)+10,MONTH(E1799),DAY(E1799))</f>
        <v>45444</v>
      </c>
      <c r="G1799" s="229">
        <v>237</v>
      </c>
      <c r="H1799" s="71" t="s">
        <v>1503</v>
      </c>
      <c r="I1799" s="71" t="s">
        <v>614</v>
      </c>
      <c r="J1799" s="79"/>
      <c r="K1799" s="55">
        <f>YEAR(F1799)</f>
        <v>2024</v>
      </c>
      <c r="L1799" s="80"/>
      <c r="M1799" s="80"/>
      <c r="N1799" s="73" t="s">
        <v>5737</v>
      </c>
      <c r="O1799" s="73" t="s">
        <v>5734</v>
      </c>
      <c r="P1799" s="74"/>
      <c r="Q1799" s="75" t="s">
        <v>5738</v>
      </c>
      <c r="R1799" s="230">
        <v>984.5</v>
      </c>
      <c r="S1799" s="230">
        <v>23700</v>
      </c>
      <c r="T1799" s="230">
        <v>24684.5</v>
      </c>
      <c r="U1799" s="231">
        <v>355.5</v>
      </c>
      <c r="V1799" s="230"/>
      <c r="W1799" s="230"/>
      <c r="X1799" s="231"/>
      <c r="Y1799" s="85"/>
      <c r="Z1799" s="101">
        <v>0.1</v>
      </c>
      <c r="AA1799" s="102">
        <v>0.09</v>
      </c>
      <c r="AB1799" s="77"/>
      <c r="AC1799" s="78"/>
    </row>
    <row r="1800" spans="1:29" ht="27" customHeight="1" x14ac:dyDescent="0.2">
      <c r="A1800" s="117" t="s">
        <v>5739</v>
      </c>
      <c r="B1800" s="114" t="e">
        <f>IF(COUNTIF(GIS,A1800),"YES","NO")</f>
        <v>#VALUE!</v>
      </c>
      <c r="C1800" s="118" t="s">
        <v>612</v>
      </c>
      <c r="D1800" s="113">
        <v>41745</v>
      </c>
      <c r="E1800" s="84">
        <v>41791</v>
      </c>
      <c r="F1800" s="84">
        <f>DATE(YEAR(E1800)+10,MONTH(E1800),DAY(E1800))</f>
        <v>45444</v>
      </c>
      <c r="G1800" s="229">
        <v>305</v>
      </c>
      <c r="H1800" s="71" t="s">
        <v>1503</v>
      </c>
      <c r="I1800" s="71" t="s">
        <v>614</v>
      </c>
      <c r="J1800" s="79"/>
      <c r="K1800" s="55">
        <f>YEAR(F1800)</f>
        <v>2024</v>
      </c>
      <c r="L1800" s="80"/>
      <c r="M1800" s="80"/>
      <c r="N1800" s="73" t="s">
        <v>5740</v>
      </c>
      <c r="O1800" s="73" t="s">
        <v>5734</v>
      </c>
      <c r="P1800" s="74"/>
      <c r="Q1800" s="75" t="s">
        <v>5741</v>
      </c>
      <c r="R1800" s="230">
        <v>1222.5</v>
      </c>
      <c r="S1800" s="230">
        <v>30500</v>
      </c>
      <c r="T1800" s="230">
        <v>31722.5</v>
      </c>
      <c r="U1800" s="231">
        <v>457.5</v>
      </c>
      <c r="V1800" s="230"/>
      <c r="W1800" s="230"/>
      <c r="X1800" s="231"/>
      <c r="Y1800" s="85"/>
      <c r="Z1800" s="101">
        <v>0.1</v>
      </c>
      <c r="AA1800" s="102">
        <v>0.09</v>
      </c>
      <c r="AB1800" s="77"/>
      <c r="AC1800" s="78"/>
    </row>
    <row r="1801" spans="1:29" ht="15" hidden="1" customHeight="1" thickBot="1" x14ac:dyDescent="0.25">
      <c r="A1801" s="117"/>
      <c r="D1801" s="71"/>
      <c r="E1801" s="78"/>
      <c r="F1801" s="84"/>
      <c r="G1801" s="229"/>
      <c r="H1801" s="71"/>
      <c r="I1801" s="71"/>
      <c r="J1801" s="79"/>
      <c r="K1801" s="79"/>
      <c r="L1801" s="80"/>
      <c r="M1801" s="80"/>
      <c r="N1801" s="73"/>
      <c r="O1801" s="73"/>
      <c r="P1801" s="74"/>
      <c r="Q1801" s="75"/>
      <c r="R1801" s="241">
        <v>7656</v>
      </c>
      <c r="S1801" s="241">
        <v>422862</v>
      </c>
      <c r="T1801" s="241">
        <v>430518</v>
      </c>
      <c r="U1801" s="231"/>
      <c r="V1801" s="230"/>
      <c r="W1801" s="230"/>
      <c r="X1801" s="231"/>
      <c r="Y1801" s="85"/>
      <c r="Z1801" s="85"/>
      <c r="AA1801" s="76"/>
      <c r="AB1801" s="77"/>
      <c r="AC1801" s="78"/>
    </row>
    <row r="1802" spans="1:29" hidden="1" x14ac:dyDescent="0.2">
      <c r="A1802" s="117"/>
      <c r="D1802" s="71"/>
      <c r="E1802" s="78"/>
      <c r="F1802" s="84"/>
      <c r="G1802" s="229"/>
      <c r="H1802" s="71"/>
      <c r="I1802" s="71"/>
      <c r="J1802" s="79"/>
      <c r="K1802" s="79"/>
      <c r="L1802" s="80"/>
      <c r="M1802" s="80"/>
      <c r="N1802" s="73"/>
      <c r="O1802" s="73"/>
      <c r="P1802" s="74"/>
      <c r="Q1802" s="75"/>
      <c r="R1802" s="230"/>
      <c r="S1802" s="230"/>
      <c r="T1802" s="230"/>
      <c r="U1802" s="231"/>
      <c r="V1802" s="230"/>
      <c r="W1802" s="230"/>
      <c r="X1802" s="231"/>
      <c r="Y1802" s="85"/>
      <c r="Z1802" s="85"/>
      <c r="AA1802" s="76"/>
      <c r="AB1802" s="77"/>
      <c r="AC1802" s="78"/>
    </row>
    <row r="1803" spans="1:29" x14ac:dyDescent="0.2">
      <c r="A1803" s="117" t="s">
        <v>5742</v>
      </c>
      <c r="B1803" s="118" t="e">
        <f>IF(COUNTIF(GIS,A1803),"YES","NO")</f>
        <v>#VALUE!</v>
      </c>
      <c r="C1803" s="118" t="s">
        <v>612</v>
      </c>
      <c r="D1803" s="113">
        <v>41809</v>
      </c>
      <c r="E1803" s="103">
        <v>41883</v>
      </c>
      <c r="F1803" s="84">
        <f>DATE(YEAR(E1803)+10,MONTH(E1803),DAY(E1803))</f>
        <v>45536</v>
      </c>
      <c r="G1803" s="229">
        <v>80</v>
      </c>
      <c r="H1803" s="71" t="s">
        <v>2289</v>
      </c>
      <c r="I1803" s="71" t="s">
        <v>931</v>
      </c>
      <c r="J1803" s="238"/>
      <c r="K1803" s="55">
        <f>YEAR(F1803)</f>
        <v>2024</v>
      </c>
      <c r="L1803" s="239"/>
      <c r="M1803" s="239"/>
      <c r="N1803" s="73" t="s">
        <v>5743</v>
      </c>
      <c r="O1803" s="73" t="s">
        <v>5744</v>
      </c>
      <c r="P1803" s="74"/>
      <c r="Q1803" s="75" t="s">
        <v>5745</v>
      </c>
      <c r="R1803" s="230">
        <v>435</v>
      </c>
      <c r="S1803" s="230">
        <v>16640</v>
      </c>
      <c r="T1803" s="230">
        <v>17075</v>
      </c>
      <c r="U1803" s="231">
        <v>120</v>
      </c>
      <c r="V1803" s="230"/>
      <c r="W1803" s="230"/>
      <c r="X1803" s="231"/>
      <c r="Y1803" s="85"/>
      <c r="Z1803" s="101">
        <v>0.1</v>
      </c>
      <c r="AA1803" s="102">
        <v>0.09</v>
      </c>
      <c r="AB1803" s="77"/>
      <c r="AC1803" s="78"/>
    </row>
    <row r="1804" spans="1:29" hidden="1" x14ac:dyDescent="0.2">
      <c r="A1804" s="116"/>
      <c r="D1804" s="71"/>
      <c r="E1804" s="78"/>
      <c r="F1804" s="84"/>
      <c r="G1804" s="229"/>
      <c r="H1804" s="71"/>
      <c r="I1804" s="71"/>
      <c r="J1804" s="79"/>
      <c r="K1804" s="79"/>
      <c r="L1804" s="80"/>
      <c r="M1804" s="80"/>
      <c r="N1804" s="73"/>
      <c r="O1804" s="73"/>
      <c r="P1804" s="74"/>
      <c r="Q1804" s="75"/>
      <c r="R1804" s="230"/>
      <c r="S1804" s="230"/>
      <c r="T1804" s="230"/>
      <c r="U1804" s="231"/>
      <c r="V1804" s="230"/>
      <c r="W1804" s="230"/>
      <c r="X1804" s="231"/>
      <c r="Y1804" s="85"/>
      <c r="Z1804" s="85"/>
      <c r="AA1804" s="76"/>
      <c r="AB1804" s="77"/>
      <c r="AC1804" s="71"/>
    </row>
    <row r="1805" spans="1:29" x14ac:dyDescent="0.2">
      <c r="A1805" s="117" t="s">
        <v>5746</v>
      </c>
      <c r="B1805" s="118" t="e">
        <f>IF(COUNTIF(GIS,A1805),"YES","NO")</f>
        <v>#VALUE!</v>
      </c>
      <c r="C1805" s="118" t="s">
        <v>612</v>
      </c>
      <c r="D1805" s="113">
        <v>41900</v>
      </c>
      <c r="E1805" s="84">
        <v>41944</v>
      </c>
      <c r="F1805" s="84">
        <f>DATE(YEAR(E1805)+10,MONTH(E1805),DAY(E1805))</f>
        <v>45597</v>
      </c>
      <c r="G1805" s="229">
        <v>40.049999999999997</v>
      </c>
      <c r="H1805" s="71" t="s">
        <v>865</v>
      </c>
      <c r="I1805" s="71" t="s">
        <v>931</v>
      </c>
      <c r="J1805" s="72" t="s">
        <v>5747</v>
      </c>
      <c r="K1805" s="55">
        <f>YEAR(F1805)</f>
        <v>2024</v>
      </c>
      <c r="L1805" s="81"/>
      <c r="M1805" s="81"/>
      <c r="N1805" s="73" t="s">
        <v>5591</v>
      </c>
      <c r="O1805" s="73" t="s">
        <v>5748</v>
      </c>
      <c r="P1805" s="74"/>
      <c r="Q1805" s="75" t="s">
        <v>5749</v>
      </c>
      <c r="R1805" s="230">
        <f>43266.5</f>
        <v>43266.5</v>
      </c>
      <c r="S1805" s="230">
        <f>+T1805-R1805</f>
        <v>0</v>
      </c>
      <c r="T1805" s="230">
        <v>43266.5</v>
      </c>
      <c r="U1805" s="231">
        <v>61.5</v>
      </c>
      <c r="V1805" s="230"/>
      <c r="W1805" s="230"/>
      <c r="X1805" s="231"/>
      <c r="Y1805" s="85"/>
      <c r="Z1805" s="101">
        <f>(0.5*0.1)</f>
        <v>0.05</v>
      </c>
      <c r="AA1805" s="102">
        <f>(0.5*0.09)</f>
        <v>4.4999999999999998E-2</v>
      </c>
      <c r="AB1805" s="77"/>
      <c r="AC1805" s="71"/>
    </row>
    <row r="1806" spans="1:29" x14ac:dyDescent="0.2">
      <c r="A1806" s="117" t="s">
        <v>5750</v>
      </c>
      <c r="B1806" s="118" t="e">
        <f>IF(COUNTIF(GIS,A1806),"YES","NO")</f>
        <v>#VALUE!</v>
      </c>
      <c r="C1806" s="118" t="s">
        <v>612</v>
      </c>
      <c r="D1806" s="113">
        <v>41900</v>
      </c>
      <c r="E1806" s="84">
        <v>41944</v>
      </c>
      <c r="F1806" s="84">
        <f>DATE(YEAR(E1806)+10,MONTH(E1806),DAY(E1806))</f>
        <v>45597</v>
      </c>
      <c r="G1806" s="229">
        <v>40.200000000000003</v>
      </c>
      <c r="H1806" s="71" t="s">
        <v>5751</v>
      </c>
      <c r="I1806" s="71" t="s">
        <v>931</v>
      </c>
      <c r="J1806" s="72" t="s">
        <v>5747</v>
      </c>
      <c r="K1806" s="55">
        <f>YEAR(F1806)</f>
        <v>2024</v>
      </c>
      <c r="L1806" s="81"/>
      <c r="M1806" s="81"/>
      <c r="N1806" s="73" t="s">
        <v>5752</v>
      </c>
      <c r="O1806" s="73" t="s">
        <v>5753</v>
      </c>
      <c r="P1806" s="74"/>
      <c r="Q1806" s="75" t="s">
        <v>5754</v>
      </c>
      <c r="R1806" s="230">
        <v>6366.5</v>
      </c>
      <c r="S1806" s="230">
        <f>+T1806-R1806</f>
        <v>0</v>
      </c>
      <c r="T1806" s="230">
        <v>6366.5</v>
      </c>
      <c r="U1806" s="231">
        <v>61.5</v>
      </c>
      <c r="V1806" s="230"/>
      <c r="W1806" s="230"/>
      <c r="X1806" s="231"/>
      <c r="Y1806" s="85"/>
      <c r="Z1806" s="101">
        <f>(0.5*0.1)</f>
        <v>0.05</v>
      </c>
      <c r="AA1806" s="102">
        <f>(0.5*0.09)</f>
        <v>4.4999999999999998E-2</v>
      </c>
      <c r="AB1806" s="77"/>
      <c r="AC1806" s="71"/>
    </row>
    <row r="1807" spans="1:29" ht="15" hidden="1" customHeight="1" thickBot="1" x14ac:dyDescent="0.25">
      <c r="A1807" s="116"/>
      <c r="D1807" s="71"/>
      <c r="E1807" s="78"/>
      <c r="F1807" s="84"/>
      <c r="G1807" s="229"/>
      <c r="H1807" s="71"/>
      <c r="I1807" s="71"/>
      <c r="J1807" s="79"/>
      <c r="K1807" s="79"/>
      <c r="L1807" s="80"/>
      <c r="M1807" s="80"/>
      <c r="N1807" s="73"/>
      <c r="O1807" s="73"/>
      <c r="P1807" s="74"/>
      <c r="Q1807" s="75"/>
      <c r="R1807" s="241">
        <f>SUM(R1805:R1806)-SUM(R1805:R1806)/2</f>
        <v>24816.5</v>
      </c>
      <c r="S1807" s="241">
        <f>SUM(S1805:S1806)-SUM(S1805:S1806)/2</f>
        <v>0</v>
      </c>
      <c r="T1807" s="241">
        <f>SUM(T1805:T1806)-SUM(T1805:T1806)/2</f>
        <v>24816.5</v>
      </c>
      <c r="U1807" s="231"/>
      <c r="V1807" s="230"/>
      <c r="W1807" s="230"/>
      <c r="X1807" s="231"/>
      <c r="Y1807" s="85"/>
      <c r="Z1807" s="85"/>
      <c r="AA1807" s="76"/>
      <c r="AB1807" s="77"/>
      <c r="AC1807" s="71"/>
    </row>
    <row r="1808" spans="1:29" hidden="1" x14ac:dyDescent="0.2">
      <c r="A1808" s="116"/>
      <c r="D1808" s="71"/>
      <c r="E1808" s="78"/>
      <c r="F1808" s="84"/>
      <c r="G1808" s="229"/>
      <c r="H1808" s="71"/>
      <c r="I1808" s="71"/>
      <c r="J1808" s="79"/>
      <c r="K1808" s="79"/>
      <c r="L1808" s="80"/>
      <c r="M1808" s="80"/>
      <c r="N1808" s="73"/>
      <c r="O1808" s="73"/>
      <c r="P1808" s="74"/>
      <c r="Q1808" s="75"/>
      <c r="R1808" s="230"/>
      <c r="S1808" s="230"/>
      <c r="T1808" s="230"/>
      <c r="U1808" s="231"/>
      <c r="V1808" s="230"/>
      <c r="W1808" s="230"/>
      <c r="X1808" s="231"/>
      <c r="Y1808" s="85"/>
      <c r="Z1808" s="85"/>
      <c r="AA1808" s="76"/>
      <c r="AB1808" s="77"/>
      <c r="AC1808" s="71"/>
    </row>
    <row r="1809" spans="1:29" ht="40" customHeight="1" x14ac:dyDescent="0.2">
      <c r="A1809" s="117" t="s">
        <v>5755</v>
      </c>
      <c r="B1809" s="118" t="e">
        <f t="shared" ref="B1809:B1814" si="194">IF(COUNTIF(GIS,A1809),"YES","NO")</f>
        <v>#VALUE!</v>
      </c>
      <c r="C1809" s="118" t="s">
        <v>612</v>
      </c>
      <c r="D1809" s="113">
        <v>41934</v>
      </c>
      <c r="E1809" s="84">
        <v>42309</v>
      </c>
      <c r="F1809" s="84">
        <f t="shared" ref="F1809:F1814" si="195">DATE(YEAR(E1809)+10,MONTH(E1809),DAY(E1809))</f>
        <v>45962</v>
      </c>
      <c r="G1809" s="229">
        <v>1035</v>
      </c>
      <c r="H1809" s="71" t="s">
        <v>1548</v>
      </c>
      <c r="I1809" s="71" t="s">
        <v>1147</v>
      </c>
      <c r="J1809" s="72"/>
      <c r="K1809" s="55">
        <f t="shared" ref="K1809:K1814" si="196">YEAR(F1809)</f>
        <v>2025</v>
      </c>
      <c r="L1809" s="81"/>
      <c r="M1809" s="81"/>
      <c r="N1809" s="73" t="s">
        <v>5756</v>
      </c>
      <c r="O1809" s="73" t="s">
        <v>5757</v>
      </c>
      <c r="P1809" s="74" t="s">
        <v>5758</v>
      </c>
      <c r="Q1809" s="75" t="s">
        <v>5759</v>
      </c>
      <c r="R1809" s="230">
        <v>3777.5</v>
      </c>
      <c r="S1809" s="230">
        <f t="shared" ref="S1809:S1814" si="197">+T1809-R1809</f>
        <v>8280</v>
      </c>
      <c r="T1809" s="230">
        <v>12057.5</v>
      </c>
      <c r="U1809" s="231">
        <v>1552.5</v>
      </c>
      <c r="V1809" s="230"/>
      <c r="W1809" s="230"/>
      <c r="X1809" s="231"/>
      <c r="Y1809" s="85"/>
      <c r="Z1809" s="101">
        <v>0.1</v>
      </c>
      <c r="AA1809" s="102">
        <v>0.09</v>
      </c>
      <c r="AB1809" s="77"/>
      <c r="AC1809" s="71"/>
    </row>
    <row r="1810" spans="1:29" ht="27" customHeight="1" x14ac:dyDescent="0.2">
      <c r="A1810" s="117" t="s">
        <v>5760</v>
      </c>
      <c r="B1810" s="118" t="e">
        <f t="shared" si="194"/>
        <v>#VALUE!</v>
      </c>
      <c r="C1810" s="118" t="s">
        <v>612</v>
      </c>
      <c r="D1810" s="113">
        <v>41934</v>
      </c>
      <c r="E1810" s="84">
        <v>42309</v>
      </c>
      <c r="F1810" s="84">
        <f t="shared" si="195"/>
        <v>45962</v>
      </c>
      <c r="G1810" s="229">
        <v>676.28</v>
      </c>
      <c r="H1810" s="71" t="s">
        <v>1548</v>
      </c>
      <c r="I1810" s="71" t="s">
        <v>1147</v>
      </c>
      <c r="J1810" s="72"/>
      <c r="K1810" s="55">
        <f t="shared" si="196"/>
        <v>2025</v>
      </c>
      <c r="L1810" s="81"/>
      <c r="M1810" s="81"/>
      <c r="N1810" s="73" t="s">
        <v>5761</v>
      </c>
      <c r="O1810" s="73" t="s">
        <v>5762</v>
      </c>
      <c r="P1810" s="74" t="s">
        <v>5763</v>
      </c>
      <c r="Q1810" s="75" t="s">
        <v>5764</v>
      </c>
      <c r="R1810" s="230">
        <v>2524.5</v>
      </c>
      <c r="S1810" s="230">
        <f t="shared" si="197"/>
        <v>52806</v>
      </c>
      <c r="T1810" s="230">
        <v>55330.5</v>
      </c>
      <c r="U1810" s="231">
        <v>1015.5</v>
      </c>
      <c r="V1810" s="230"/>
      <c r="W1810" s="230"/>
      <c r="X1810" s="231"/>
      <c r="Y1810" s="85"/>
      <c r="Z1810" s="101">
        <v>0.1</v>
      </c>
      <c r="AA1810" s="102">
        <v>0.09</v>
      </c>
      <c r="AB1810" s="77"/>
      <c r="AC1810" s="71"/>
    </row>
    <row r="1811" spans="1:29" x14ac:dyDescent="0.2">
      <c r="A1811" s="117" t="s">
        <v>5765</v>
      </c>
      <c r="B1811" s="118" t="e">
        <f t="shared" si="194"/>
        <v>#VALUE!</v>
      </c>
      <c r="C1811" s="118" t="s">
        <v>612</v>
      </c>
      <c r="D1811" s="113">
        <v>41934</v>
      </c>
      <c r="E1811" s="84">
        <v>42309</v>
      </c>
      <c r="F1811" s="84">
        <f t="shared" si="195"/>
        <v>45962</v>
      </c>
      <c r="G1811" s="229">
        <v>320</v>
      </c>
      <c r="H1811" s="71" t="s">
        <v>1548</v>
      </c>
      <c r="I1811" s="71" t="s">
        <v>1147</v>
      </c>
      <c r="J1811" s="72"/>
      <c r="K1811" s="55">
        <f t="shared" si="196"/>
        <v>2025</v>
      </c>
      <c r="L1811" s="81"/>
      <c r="M1811" s="81"/>
      <c r="N1811" s="73" t="s">
        <v>5761</v>
      </c>
      <c r="O1811" s="73" t="s">
        <v>5766</v>
      </c>
      <c r="P1811" s="74"/>
      <c r="Q1811" s="75" t="s">
        <v>5767</v>
      </c>
      <c r="R1811" s="230">
        <v>1275</v>
      </c>
      <c r="S1811" s="230">
        <f t="shared" si="197"/>
        <v>28160</v>
      </c>
      <c r="T1811" s="230">
        <v>29435</v>
      </c>
      <c r="U1811" s="231">
        <v>480</v>
      </c>
      <c r="V1811" s="230"/>
      <c r="W1811" s="230"/>
      <c r="X1811" s="231"/>
      <c r="Y1811" s="85"/>
      <c r="Z1811" s="101">
        <v>0.1</v>
      </c>
      <c r="AA1811" s="102">
        <v>0.09</v>
      </c>
      <c r="AB1811" s="77"/>
      <c r="AC1811" s="71"/>
    </row>
    <row r="1812" spans="1:29" ht="131" customHeight="1" x14ac:dyDescent="0.2">
      <c r="A1812" s="117" t="s">
        <v>5768</v>
      </c>
      <c r="B1812" s="118" t="e">
        <f t="shared" si="194"/>
        <v>#VALUE!</v>
      </c>
      <c r="C1812" s="118" t="s">
        <v>612</v>
      </c>
      <c r="D1812" s="113">
        <v>41934</v>
      </c>
      <c r="E1812" s="84">
        <v>42309</v>
      </c>
      <c r="F1812" s="84">
        <f t="shared" si="195"/>
        <v>45962</v>
      </c>
      <c r="G1812" s="229">
        <v>2081.62</v>
      </c>
      <c r="H1812" s="71" t="s">
        <v>1195</v>
      </c>
      <c r="I1812" s="71" t="s">
        <v>1147</v>
      </c>
      <c r="J1812" s="72"/>
      <c r="K1812" s="55">
        <f t="shared" si="196"/>
        <v>2025</v>
      </c>
      <c r="L1812" s="81"/>
      <c r="M1812" s="81"/>
      <c r="N1812" s="73" t="s">
        <v>5769</v>
      </c>
      <c r="O1812" s="73" t="s">
        <v>5770</v>
      </c>
      <c r="P1812" s="74" t="s">
        <v>5771</v>
      </c>
      <c r="Q1812" s="75" t="s">
        <v>5772</v>
      </c>
      <c r="R1812" s="230">
        <v>7442</v>
      </c>
      <c r="S1812" s="230">
        <f t="shared" si="197"/>
        <v>16656</v>
      </c>
      <c r="T1812" s="230">
        <v>24098</v>
      </c>
      <c r="U1812" s="231">
        <v>3123</v>
      </c>
      <c r="V1812" s="230"/>
      <c r="W1812" s="230"/>
      <c r="X1812" s="231"/>
      <c r="Y1812" s="85"/>
      <c r="Z1812" s="101">
        <v>0.1</v>
      </c>
      <c r="AA1812" s="102">
        <v>0.09</v>
      </c>
      <c r="AB1812" s="77"/>
      <c r="AC1812" s="71"/>
    </row>
    <row r="1813" spans="1:29" ht="27" customHeight="1" x14ac:dyDescent="0.2">
      <c r="A1813" s="117" t="s">
        <v>5773</v>
      </c>
      <c r="B1813" s="118" t="e">
        <f t="shared" si="194"/>
        <v>#VALUE!</v>
      </c>
      <c r="C1813" s="118" t="s">
        <v>612</v>
      </c>
      <c r="D1813" s="113">
        <v>41934</v>
      </c>
      <c r="E1813" s="84">
        <v>42309</v>
      </c>
      <c r="F1813" s="84">
        <f t="shared" si="195"/>
        <v>45962</v>
      </c>
      <c r="G1813" s="229">
        <v>1572.7</v>
      </c>
      <c r="H1813" s="71" t="s">
        <v>1548</v>
      </c>
      <c r="I1813" s="71" t="s">
        <v>1147</v>
      </c>
      <c r="J1813" s="72"/>
      <c r="K1813" s="55">
        <f t="shared" si="196"/>
        <v>2025</v>
      </c>
      <c r="L1813" s="81"/>
      <c r="M1813" s="81"/>
      <c r="N1813" s="73" t="s">
        <v>5774</v>
      </c>
      <c r="O1813" s="73" t="s">
        <v>5775</v>
      </c>
      <c r="P1813" s="74" t="s">
        <v>5776</v>
      </c>
      <c r="Q1813" s="75" t="s">
        <v>5777</v>
      </c>
      <c r="R1813" s="230">
        <v>5660.5</v>
      </c>
      <c r="S1813" s="230">
        <f t="shared" si="197"/>
        <v>154154</v>
      </c>
      <c r="T1813" s="230">
        <v>159814.5</v>
      </c>
      <c r="U1813" s="231">
        <v>2359.5</v>
      </c>
      <c r="V1813" s="230"/>
      <c r="W1813" s="230"/>
      <c r="X1813" s="231"/>
      <c r="Y1813" s="85"/>
      <c r="Z1813" s="101">
        <v>0.1</v>
      </c>
      <c r="AA1813" s="102">
        <v>0.09</v>
      </c>
      <c r="AB1813" s="77"/>
      <c r="AC1813" s="71"/>
    </row>
    <row r="1814" spans="1:29" ht="53" customHeight="1" x14ac:dyDescent="0.2">
      <c r="A1814" s="117" t="s">
        <v>5778</v>
      </c>
      <c r="B1814" s="118" t="e">
        <f t="shared" si="194"/>
        <v>#VALUE!</v>
      </c>
      <c r="C1814" s="118" t="s">
        <v>612</v>
      </c>
      <c r="D1814" s="113">
        <v>41934</v>
      </c>
      <c r="E1814" s="84">
        <v>42309</v>
      </c>
      <c r="F1814" s="84">
        <f t="shared" si="195"/>
        <v>45962</v>
      </c>
      <c r="G1814" s="229">
        <v>2242.62</v>
      </c>
      <c r="H1814" s="71" t="s">
        <v>1195</v>
      </c>
      <c r="I1814" s="71" t="s">
        <v>1147</v>
      </c>
      <c r="J1814" s="72" t="s">
        <v>5779</v>
      </c>
      <c r="K1814" s="55">
        <f t="shared" si="196"/>
        <v>2025</v>
      </c>
      <c r="L1814" s="81"/>
      <c r="M1814" s="81"/>
      <c r="N1814" s="73" t="s">
        <v>5774</v>
      </c>
      <c r="O1814" s="73" t="s">
        <v>5780</v>
      </c>
      <c r="P1814" s="74" t="s">
        <v>5781</v>
      </c>
      <c r="Q1814" s="75" t="s">
        <v>5782</v>
      </c>
      <c r="R1814" s="230">
        <v>7925</v>
      </c>
      <c r="S1814" s="230">
        <f t="shared" si="197"/>
        <v>128760</v>
      </c>
      <c r="T1814" s="230">
        <v>136685</v>
      </c>
      <c r="U1814" s="231">
        <v>3330</v>
      </c>
      <c r="V1814" s="230"/>
      <c r="W1814" s="230"/>
      <c r="X1814" s="231"/>
      <c r="Y1814" s="85"/>
      <c r="Z1814" s="101">
        <v>0.1</v>
      </c>
      <c r="AA1814" s="102">
        <v>0.09</v>
      </c>
      <c r="AB1814" s="77"/>
      <c r="AC1814" s="71"/>
    </row>
    <row r="1815" spans="1:29" ht="15" hidden="1" customHeight="1" thickBot="1" x14ac:dyDescent="0.25">
      <c r="A1815" s="116"/>
      <c r="D1815" s="71"/>
      <c r="E1815" s="78"/>
      <c r="F1815" s="84"/>
      <c r="G1815" s="229"/>
      <c r="H1815" s="71"/>
      <c r="I1815" s="71"/>
      <c r="J1815" s="79"/>
      <c r="K1815" s="79"/>
      <c r="L1815" s="80"/>
      <c r="M1815" s="80"/>
      <c r="N1815" s="73"/>
      <c r="O1815" s="73"/>
      <c r="P1815" s="74"/>
      <c r="Q1815" s="75"/>
      <c r="R1815" s="241">
        <f>SUM(R1809:R1814)</f>
        <v>28604.5</v>
      </c>
      <c r="S1815" s="241">
        <f>SUM(S1809:S1814)</f>
        <v>388816</v>
      </c>
      <c r="T1815" s="241">
        <f>SUM(T1809:T1814)</f>
        <v>417420.5</v>
      </c>
      <c r="U1815" s="231"/>
      <c r="V1815" s="230"/>
      <c r="W1815" s="230"/>
      <c r="X1815" s="231"/>
      <c r="Y1815" s="85"/>
      <c r="Z1815" s="85"/>
      <c r="AA1815" s="76"/>
      <c r="AB1815" s="77"/>
      <c r="AC1815" s="71"/>
    </row>
    <row r="1816" spans="1:29" hidden="1" x14ac:dyDescent="0.2">
      <c r="A1816" s="64"/>
      <c r="D1816" s="71"/>
      <c r="E1816" s="78"/>
      <c r="F1816" s="84"/>
      <c r="G1816" s="229"/>
      <c r="J1816" s="129"/>
      <c r="K1816" s="129"/>
      <c r="Q1816" s="75"/>
      <c r="R1816" s="230"/>
      <c r="S1816" s="230"/>
      <c r="T1816" s="230"/>
      <c r="U1816" s="231"/>
      <c r="V1816" s="230"/>
      <c r="W1816" s="230"/>
      <c r="X1816" s="231"/>
      <c r="Y1816" s="85"/>
      <c r="Z1816" s="85"/>
      <c r="AA1816" s="76"/>
    </row>
    <row r="1817" spans="1:29" x14ac:dyDescent="0.2">
      <c r="A1817" s="127" t="s">
        <v>5783</v>
      </c>
      <c r="B1817" s="118" t="e">
        <f t="shared" ref="B1817:B1826" si="198">IF(COUNTIF(GIS,A1817),"YES","NO")</f>
        <v>#VALUE!</v>
      </c>
      <c r="C1817" s="118" t="s">
        <v>612</v>
      </c>
      <c r="D1817" s="113">
        <v>42082</v>
      </c>
      <c r="E1817" s="84">
        <v>42156</v>
      </c>
      <c r="F1817" s="84">
        <f>DATE(YEAR(E1817)+10,MONTH(E1817),DAY(E1817))</f>
        <v>45809</v>
      </c>
      <c r="G1817" s="229">
        <v>80</v>
      </c>
      <c r="H1817" s="71" t="s">
        <v>5784</v>
      </c>
      <c r="I1817" s="71" t="s">
        <v>676</v>
      </c>
      <c r="J1817" s="72"/>
      <c r="K1817" s="55">
        <f>YEAR(F1817)</f>
        <v>2025</v>
      </c>
      <c r="L1817" s="81"/>
      <c r="M1817" s="81"/>
      <c r="N1817" s="131" t="s">
        <v>5785</v>
      </c>
      <c r="O1817" s="131" t="s">
        <v>5786</v>
      </c>
      <c r="Q1817" s="75" t="s">
        <v>5787</v>
      </c>
      <c r="R1817" s="230">
        <v>435</v>
      </c>
      <c r="S1817" s="230">
        <f t="shared" ref="S1817:S1826" si="199">+T1817-R1817</f>
        <v>800</v>
      </c>
      <c r="T1817" s="230">
        <v>1235</v>
      </c>
      <c r="U1817" s="231">
        <v>120</v>
      </c>
      <c r="V1817" s="230"/>
      <c r="W1817" s="230"/>
      <c r="X1817" s="231"/>
      <c r="Y1817" s="85"/>
      <c r="Z1817" s="101">
        <v>0.1</v>
      </c>
      <c r="AA1817" s="102">
        <v>0.09</v>
      </c>
    </row>
    <row r="1818" spans="1:29" ht="27" hidden="1" customHeight="1" x14ac:dyDescent="0.2">
      <c r="A1818" s="127" t="s">
        <v>5788</v>
      </c>
      <c r="B1818" s="118" t="e">
        <f t="shared" si="198"/>
        <v>#VALUE!</v>
      </c>
      <c r="C1818" s="118" t="s">
        <v>612</v>
      </c>
      <c r="D1818" s="113">
        <v>42082</v>
      </c>
      <c r="E1818" s="78"/>
      <c r="F1818" s="84"/>
      <c r="G1818" s="229">
        <v>39.57</v>
      </c>
      <c r="H1818" s="71" t="s">
        <v>5789</v>
      </c>
      <c r="I1818" s="71" t="s">
        <v>676</v>
      </c>
      <c r="J1818" s="72" t="s">
        <v>5790</v>
      </c>
      <c r="K1818" s="55"/>
      <c r="L1818" s="81"/>
      <c r="M1818" s="81"/>
      <c r="Q1818" s="75" t="s">
        <v>5791</v>
      </c>
      <c r="R1818" s="230">
        <v>295</v>
      </c>
      <c r="S1818" s="230">
        <f t="shared" si="199"/>
        <v>54320</v>
      </c>
      <c r="T1818" s="230">
        <v>54615</v>
      </c>
      <c r="U1818" s="231">
        <v>60</v>
      </c>
      <c r="V1818" s="230"/>
      <c r="W1818" s="230"/>
      <c r="X1818" s="231"/>
      <c r="Y1818" s="71"/>
      <c r="Z1818" s="101">
        <v>0.1</v>
      </c>
      <c r="AA1818" s="102">
        <v>0.09</v>
      </c>
    </row>
    <row r="1819" spans="1:29" x14ac:dyDescent="0.2">
      <c r="A1819" s="127" t="s">
        <v>5792</v>
      </c>
      <c r="B1819" s="118" t="e">
        <f t="shared" si="198"/>
        <v>#VALUE!</v>
      </c>
      <c r="C1819" s="118" t="s">
        <v>612</v>
      </c>
      <c r="D1819" s="113">
        <v>42082</v>
      </c>
      <c r="E1819" s="84">
        <v>42156</v>
      </c>
      <c r="F1819" s="84">
        <f t="shared" ref="F1819:F1826" si="200">DATE(YEAR(E1819)+10,MONTH(E1819),DAY(E1819))</f>
        <v>45809</v>
      </c>
      <c r="G1819" s="229">
        <v>28.38</v>
      </c>
      <c r="H1819" s="71" t="s">
        <v>1577</v>
      </c>
      <c r="I1819" s="71" t="s">
        <v>684</v>
      </c>
      <c r="J1819" s="72"/>
      <c r="K1819" s="55">
        <f t="shared" ref="K1819:K1826" si="201">YEAR(F1819)</f>
        <v>2025</v>
      </c>
      <c r="L1819" s="81"/>
      <c r="M1819" s="81"/>
      <c r="N1819" s="131" t="s">
        <v>5793</v>
      </c>
      <c r="O1819" s="131" t="s">
        <v>5794</v>
      </c>
      <c r="Q1819" s="75" t="s">
        <v>5795</v>
      </c>
      <c r="R1819" s="222">
        <v>256.5</v>
      </c>
      <c r="S1819" s="230">
        <f t="shared" si="199"/>
        <v>1827</v>
      </c>
      <c r="T1819" s="230">
        <v>2083.5</v>
      </c>
      <c r="U1819" s="231">
        <v>43.5</v>
      </c>
      <c r="V1819" s="230"/>
      <c r="W1819" s="230"/>
      <c r="X1819" s="231"/>
      <c r="Y1819" s="71"/>
      <c r="Z1819" s="101">
        <v>0.1</v>
      </c>
      <c r="AA1819" s="102">
        <v>0.09</v>
      </c>
    </row>
    <row r="1820" spans="1:29" x14ac:dyDescent="0.2">
      <c r="A1820" s="127" t="s">
        <v>5796</v>
      </c>
      <c r="B1820" s="118" t="e">
        <f t="shared" si="198"/>
        <v>#VALUE!</v>
      </c>
      <c r="C1820" s="118" t="s">
        <v>612</v>
      </c>
      <c r="D1820" s="113">
        <v>42082</v>
      </c>
      <c r="E1820" s="84">
        <v>42156</v>
      </c>
      <c r="F1820" s="84">
        <f t="shared" si="200"/>
        <v>45809</v>
      </c>
      <c r="G1820" s="229">
        <v>171.41</v>
      </c>
      <c r="H1820" s="71" t="s">
        <v>1577</v>
      </c>
      <c r="I1820" s="71" t="s">
        <v>684</v>
      </c>
      <c r="J1820" s="72"/>
      <c r="K1820" s="55">
        <f t="shared" si="201"/>
        <v>2025</v>
      </c>
      <c r="L1820" s="81"/>
      <c r="M1820" s="81"/>
      <c r="N1820" s="131" t="s">
        <v>5797</v>
      </c>
      <c r="O1820" s="131" t="s">
        <v>5798</v>
      </c>
      <c r="Q1820" s="75" t="s">
        <v>5799</v>
      </c>
      <c r="R1820" s="230">
        <v>757</v>
      </c>
      <c r="S1820" s="230">
        <f t="shared" si="199"/>
        <v>2064</v>
      </c>
      <c r="T1820" s="230">
        <v>2821</v>
      </c>
      <c r="U1820" s="231">
        <v>258</v>
      </c>
      <c r="V1820" s="230"/>
      <c r="W1820" s="230"/>
      <c r="X1820" s="231"/>
      <c r="Y1820" s="71"/>
      <c r="Z1820" s="101">
        <v>0.1</v>
      </c>
      <c r="AA1820" s="102">
        <v>0.09</v>
      </c>
    </row>
    <row r="1821" spans="1:29" ht="27" customHeight="1" x14ac:dyDescent="0.2">
      <c r="A1821" s="127" t="s">
        <v>5800</v>
      </c>
      <c r="B1821" s="118" t="e">
        <f t="shared" si="198"/>
        <v>#VALUE!</v>
      </c>
      <c r="C1821" s="118" t="s">
        <v>612</v>
      </c>
      <c r="D1821" s="113">
        <v>42082</v>
      </c>
      <c r="E1821" s="84">
        <v>42156</v>
      </c>
      <c r="F1821" s="84">
        <f t="shared" si="200"/>
        <v>45809</v>
      </c>
      <c r="G1821" s="229">
        <v>50.44</v>
      </c>
      <c r="H1821" s="71" t="s">
        <v>5801</v>
      </c>
      <c r="I1821" s="71" t="s">
        <v>684</v>
      </c>
      <c r="J1821" s="72" t="s">
        <v>5802</v>
      </c>
      <c r="K1821" s="55">
        <f t="shared" si="201"/>
        <v>2025</v>
      </c>
      <c r="L1821" s="81"/>
      <c r="M1821" s="81"/>
      <c r="N1821" s="131" t="s">
        <v>5803</v>
      </c>
      <c r="O1821" s="131" t="s">
        <v>5804</v>
      </c>
      <c r="Q1821" s="75" t="s">
        <v>5805</v>
      </c>
      <c r="R1821" s="230">
        <v>333.5</v>
      </c>
      <c r="S1821" s="230">
        <f t="shared" si="199"/>
        <v>16473</v>
      </c>
      <c r="T1821" s="230">
        <v>16806.5</v>
      </c>
      <c r="U1821" s="231">
        <v>76.5</v>
      </c>
      <c r="V1821" s="230"/>
      <c r="W1821" s="230"/>
      <c r="X1821" s="231"/>
      <c r="Y1821" s="71"/>
      <c r="Z1821" s="101">
        <v>0.1</v>
      </c>
      <c r="AA1821" s="102">
        <v>0.09</v>
      </c>
    </row>
    <row r="1822" spans="1:29" ht="92" customHeight="1" x14ac:dyDescent="0.2">
      <c r="A1822" s="127" t="s">
        <v>5806</v>
      </c>
      <c r="B1822" s="118" t="e">
        <f t="shared" si="198"/>
        <v>#VALUE!</v>
      </c>
      <c r="C1822" s="118" t="s">
        <v>612</v>
      </c>
      <c r="D1822" s="113">
        <v>42082</v>
      </c>
      <c r="E1822" s="84">
        <v>42156</v>
      </c>
      <c r="F1822" s="84">
        <f t="shared" si="200"/>
        <v>45809</v>
      </c>
      <c r="G1822" s="229">
        <v>1134.8499999999999</v>
      </c>
      <c r="H1822" s="71" t="s">
        <v>5807</v>
      </c>
      <c r="I1822" s="71" t="s">
        <v>5808</v>
      </c>
      <c r="J1822" s="72" t="s">
        <v>5809</v>
      </c>
      <c r="K1822" s="55">
        <f t="shared" si="201"/>
        <v>2025</v>
      </c>
      <c r="L1822" s="81"/>
      <c r="M1822" s="81"/>
      <c r="N1822" s="131" t="s">
        <v>5810</v>
      </c>
      <c r="O1822" s="131" t="s">
        <v>5811</v>
      </c>
      <c r="Q1822" s="75" t="s">
        <v>5812</v>
      </c>
      <c r="R1822" s="230">
        <v>4127.5</v>
      </c>
      <c r="S1822" s="230">
        <f t="shared" si="199"/>
        <v>26105</v>
      </c>
      <c r="T1822" s="230">
        <v>30232.5</v>
      </c>
      <c r="U1822" s="231">
        <v>1702.5</v>
      </c>
      <c r="V1822" s="230"/>
      <c r="W1822" s="230"/>
      <c r="X1822" s="231"/>
      <c r="Y1822" s="71"/>
      <c r="Z1822" s="101">
        <v>0.1</v>
      </c>
      <c r="AA1822" s="102">
        <v>0.09</v>
      </c>
    </row>
    <row r="1823" spans="1:29" ht="105" customHeight="1" x14ac:dyDescent="0.2">
      <c r="A1823" s="127" t="s">
        <v>5813</v>
      </c>
      <c r="B1823" s="118" t="e">
        <f t="shared" si="198"/>
        <v>#VALUE!</v>
      </c>
      <c r="C1823" s="118" t="s">
        <v>612</v>
      </c>
      <c r="D1823" s="113">
        <v>42082</v>
      </c>
      <c r="E1823" s="84">
        <v>42156</v>
      </c>
      <c r="F1823" s="84">
        <f t="shared" si="200"/>
        <v>45809</v>
      </c>
      <c r="G1823" s="229">
        <v>1112.06</v>
      </c>
      <c r="H1823" s="71" t="s">
        <v>5807</v>
      </c>
      <c r="I1823" s="71" t="s">
        <v>5808</v>
      </c>
      <c r="J1823" s="72" t="s">
        <v>5809</v>
      </c>
      <c r="K1823" s="55">
        <f t="shared" si="201"/>
        <v>2025</v>
      </c>
      <c r="L1823" s="81"/>
      <c r="M1823" s="81"/>
      <c r="N1823" s="131" t="s">
        <v>5810</v>
      </c>
      <c r="O1823" s="131" t="s">
        <v>5814</v>
      </c>
      <c r="Q1823" s="75" t="s">
        <v>5815</v>
      </c>
      <c r="R1823" s="230">
        <v>4050.5</v>
      </c>
      <c r="S1823" s="230">
        <f t="shared" si="199"/>
        <v>31164</v>
      </c>
      <c r="T1823" s="230">
        <v>35214.5</v>
      </c>
      <c r="U1823" s="231">
        <v>1669.5</v>
      </c>
      <c r="V1823" s="230"/>
      <c r="W1823" s="230"/>
      <c r="X1823" s="231"/>
      <c r="Y1823" s="71"/>
      <c r="Z1823" s="101">
        <v>0.1</v>
      </c>
      <c r="AA1823" s="102">
        <v>0.09</v>
      </c>
    </row>
    <row r="1824" spans="1:29" ht="79" customHeight="1" x14ac:dyDescent="0.2">
      <c r="A1824" s="127" t="s">
        <v>5816</v>
      </c>
      <c r="B1824" s="118" t="e">
        <f t="shared" si="198"/>
        <v>#VALUE!</v>
      </c>
      <c r="C1824" s="118" t="s">
        <v>612</v>
      </c>
      <c r="D1824" s="113">
        <v>42082</v>
      </c>
      <c r="E1824" s="84">
        <v>42156</v>
      </c>
      <c r="F1824" s="84">
        <f t="shared" si="200"/>
        <v>45809</v>
      </c>
      <c r="G1824" s="229">
        <v>931.76</v>
      </c>
      <c r="H1824" s="71" t="s">
        <v>5807</v>
      </c>
      <c r="I1824" s="71" t="s">
        <v>5808</v>
      </c>
      <c r="J1824" s="72" t="s">
        <v>5809</v>
      </c>
      <c r="K1824" s="55">
        <f t="shared" si="201"/>
        <v>2025</v>
      </c>
      <c r="L1824" s="81"/>
      <c r="M1824" s="81"/>
      <c r="N1824" s="131" t="s">
        <v>5810</v>
      </c>
      <c r="O1824" s="131" t="s">
        <v>5817</v>
      </c>
      <c r="Q1824" s="75" t="s">
        <v>5818</v>
      </c>
      <c r="R1824" s="230">
        <v>3417</v>
      </c>
      <c r="S1824" s="230">
        <f t="shared" si="199"/>
        <v>16776</v>
      </c>
      <c r="T1824" s="230">
        <v>20193</v>
      </c>
      <c r="U1824" s="231">
        <v>1398</v>
      </c>
      <c r="V1824" s="230"/>
      <c r="W1824" s="230"/>
      <c r="X1824" s="231"/>
      <c r="Y1824" s="71"/>
      <c r="Z1824" s="101">
        <v>0.1</v>
      </c>
      <c r="AA1824" s="102">
        <v>0.09</v>
      </c>
    </row>
    <row r="1825" spans="1:27" ht="79" customHeight="1" x14ac:dyDescent="0.2">
      <c r="A1825" s="127" t="s">
        <v>5819</v>
      </c>
      <c r="B1825" s="118" t="e">
        <f t="shared" si="198"/>
        <v>#VALUE!</v>
      </c>
      <c r="C1825" s="118" t="s">
        <v>612</v>
      </c>
      <c r="D1825" s="113">
        <v>42082</v>
      </c>
      <c r="E1825" s="84">
        <v>42156</v>
      </c>
      <c r="F1825" s="84">
        <f t="shared" si="200"/>
        <v>45809</v>
      </c>
      <c r="G1825" s="229">
        <v>617.19000000000005</v>
      </c>
      <c r="H1825" s="71" t="s">
        <v>5807</v>
      </c>
      <c r="I1825" s="71" t="s">
        <v>5808</v>
      </c>
      <c r="J1825" s="72" t="s">
        <v>5809</v>
      </c>
      <c r="K1825" s="55">
        <f t="shared" si="201"/>
        <v>2025</v>
      </c>
      <c r="L1825" s="81"/>
      <c r="M1825" s="81"/>
      <c r="N1825" s="131" t="s">
        <v>5810</v>
      </c>
      <c r="O1825" s="131" t="s">
        <v>5820</v>
      </c>
      <c r="Q1825" s="75" t="s">
        <v>5821</v>
      </c>
      <c r="R1825" s="230">
        <v>2318</v>
      </c>
      <c r="S1825" s="230">
        <f t="shared" si="199"/>
        <v>11124</v>
      </c>
      <c r="T1825" s="230">
        <v>13442</v>
      </c>
      <c r="U1825" s="231">
        <v>927</v>
      </c>
      <c r="V1825" s="230"/>
      <c r="W1825" s="230"/>
      <c r="X1825" s="231"/>
      <c r="Y1825" s="71"/>
      <c r="Z1825" s="101">
        <v>0.1</v>
      </c>
      <c r="AA1825" s="102">
        <v>0.09</v>
      </c>
    </row>
    <row r="1826" spans="1:27" ht="53" customHeight="1" x14ac:dyDescent="0.2">
      <c r="A1826" s="127" t="s">
        <v>5822</v>
      </c>
      <c r="B1826" s="118" t="e">
        <f t="shared" si="198"/>
        <v>#VALUE!</v>
      </c>
      <c r="C1826" s="118" t="s">
        <v>612</v>
      </c>
      <c r="D1826" s="113">
        <v>42082</v>
      </c>
      <c r="E1826" s="84">
        <v>42156</v>
      </c>
      <c r="F1826" s="84">
        <f t="shared" si="200"/>
        <v>45809</v>
      </c>
      <c r="G1826" s="229">
        <v>691.27</v>
      </c>
      <c r="H1826" s="71" t="s">
        <v>5807</v>
      </c>
      <c r="I1826" s="71" t="s">
        <v>5808</v>
      </c>
      <c r="J1826" s="72" t="s">
        <v>5809</v>
      </c>
      <c r="K1826" s="55">
        <f t="shared" si="201"/>
        <v>2025</v>
      </c>
      <c r="L1826" s="81"/>
      <c r="M1826" s="81"/>
      <c r="N1826" s="131" t="s">
        <v>5810</v>
      </c>
      <c r="O1826" s="131" t="s">
        <v>5823</v>
      </c>
      <c r="Q1826" s="75" t="s">
        <v>5824</v>
      </c>
      <c r="R1826" s="230">
        <v>2577</v>
      </c>
      <c r="S1826" s="230">
        <f t="shared" si="199"/>
        <v>15916</v>
      </c>
      <c r="T1826" s="230">
        <v>18493</v>
      </c>
      <c r="U1826" s="231">
        <v>1038</v>
      </c>
      <c r="V1826" s="230"/>
      <c r="W1826" s="230"/>
      <c r="X1826" s="231"/>
      <c r="Y1826" s="71"/>
      <c r="Z1826" s="101">
        <v>0.1</v>
      </c>
      <c r="AA1826" s="102">
        <v>0.09</v>
      </c>
    </row>
    <row r="1827" spans="1:27" ht="15" hidden="1" customHeight="1" thickBot="1" x14ac:dyDescent="0.25">
      <c r="A1827" s="120"/>
      <c r="D1827" s="71"/>
      <c r="E1827" s="78"/>
      <c r="F1827" s="84"/>
      <c r="G1827" s="229"/>
      <c r="J1827" s="129"/>
      <c r="K1827" s="129"/>
      <c r="Q1827" s="75"/>
      <c r="R1827" s="241">
        <f>SUM(R1817:R1826)</f>
        <v>18567</v>
      </c>
      <c r="S1827" s="241">
        <f>SUM(S1817:S1826)</f>
        <v>176569</v>
      </c>
      <c r="T1827" s="241">
        <f>SUM(T1817:T1826)</f>
        <v>195136</v>
      </c>
      <c r="U1827" s="231"/>
      <c r="V1827" s="230"/>
      <c r="W1827" s="230"/>
      <c r="X1827" s="231"/>
      <c r="Y1827" s="71"/>
      <c r="Z1827" s="71"/>
      <c r="AA1827" s="96"/>
    </row>
    <row r="1828" spans="1:27" hidden="1" x14ac:dyDescent="0.2">
      <c r="A1828" s="64"/>
      <c r="D1828" s="71"/>
      <c r="E1828" s="78"/>
      <c r="F1828" s="84"/>
      <c r="G1828" s="229"/>
      <c r="J1828" s="129"/>
      <c r="K1828" s="129"/>
      <c r="Q1828" s="75"/>
      <c r="R1828" s="230"/>
      <c r="S1828" s="230"/>
      <c r="T1828" s="230"/>
      <c r="U1828" s="231"/>
      <c r="V1828" s="230"/>
      <c r="W1828" s="230"/>
      <c r="X1828" s="231"/>
      <c r="Y1828" s="71"/>
      <c r="Z1828" s="71"/>
      <c r="AA1828" s="96"/>
    </row>
    <row r="1829" spans="1:27" x14ac:dyDescent="0.2">
      <c r="A1829" s="127" t="s">
        <v>5825</v>
      </c>
      <c r="B1829" s="118" t="e">
        <f>IF(COUNTIF(GIS,A1829),"YES","NO")</f>
        <v>#VALUE!</v>
      </c>
      <c r="C1829" s="118" t="s">
        <v>612</v>
      </c>
      <c r="D1829" s="113">
        <v>42207</v>
      </c>
      <c r="E1829" s="84">
        <v>42278</v>
      </c>
      <c r="F1829" s="84">
        <f>DATE(YEAR(E1829)+10,MONTH(E1829),DAY(E1829))</f>
        <v>45931</v>
      </c>
      <c r="G1829" s="229">
        <v>320</v>
      </c>
      <c r="H1829" s="71" t="s">
        <v>1540</v>
      </c>
      <c r="I1829" s="71" t="s">
        <v>1147</v>
      </c>
      <c r="J1829" s="129"/>
      <c r="K1829" s="55">
        <f>YEAR(F1829)</f>
        <v>2025</v>
      </c>
      <c r="N1829" s="131" t="s">
        <v>5826</v>
      </c>
      <c r="O1829" s="131" t="s">
        <v>5827</v>
      </c>
      <c r="Q1829" s="75" t="s">
        <v>5828</v>
      </c>
      <c r="R1829" s="230">
        <v>1275</v>
      </c>
      <c r="S1829" s="230">
        <f>+T1829-R1829</f>
        <v>95360</v>
      </c>
      <c r="T1829" s="230">
        <v>96635</v>
      </c>
      <c r="U1829" s="231">
        <v>480</v>
      </c>
      <c r="V1829" s="230"/>
      <c r="W1829" s="230"/>
      <c r="X1829" s="231"/>
      <c r="Y1829" s="71"/>
      <c r="Z1829" s="101">
        <v>0.1</v>
      </c>
      <c r="AA1829" s="102">
        <v>0.1</v>
      </c>
    </row>
    <row r="1830" spans="1:27" x14ac:dyDescent="0.2">
      <c r="A1830" s="127" t="s">
        <v>5829</v>
      </c>
      <c r="B1830" s="118" t="e">
        <f>IF(COUNTIF(GIS,A1830),"YES","NO")</f>
        <v>#VALUE!</v>
      </c>
      <c r="C1830" s="118" t="s">
        <v>612</v>
      </c>
      <c r="D1830" s="113">
        <v>42207</v>
      </c>
      <c r="E1830" s="84">
        <v>42278</v>
      </c>
      <c r="F1830" s="84">
        <f>DATE(YEAR(E1830)+10,MONTH(E1830),DAY(E1830))</f>
        <v>45931</v>
      </c>
      <c r="G1830" s="229">
        <v>159.86000000000001</v>
      </c>
      <c r="H1830" s="71" t="s">
        <v>1540</v>
      </c>
      <c r="I1830" s="71" t="s">
        <v>1147</v>
      </c>
      <c r="J1830" s="129"/>
      <c r="K1830" s="55">
        <f>YEAR(F1830)</f>
        <v>2025</v>
      </c>
      <c r="N1830" s="131" t="s">
        <v>5830</v>
      </c>
      <c r="O1830" s="131" t="s">
        <v>5831</v>
      </c>
      <c r="Q1830" s="75" t="s">
        <v>5832</v>
      </c>
      <c r="R1830" s="230">
        <v>715</v>
      </c>
      <c r="S1830" s="230">
        <f>+T1830-R1830</f>
        <v>31680</v>
      </c>
      <c r="T1830" s="230">
        <v>32395</v>
      </c>
      <c r="U1830" s="231">
        <v>240</v>
      </c>
      <c r="V1830" s="230"/>
      <c r="W1830" s="230"/>
      <c r="X1830" s="231"/>
      <c r="Y1830" s="71"/>
      <c r="Z1830" s="101">
        <v>0.1</v>
      </c>
      <c r="AA1830" s="102">
        <v>0.1</v>
      </c>
    </row>
    <row r="1831" spans="1:27" ht="27" customHeight="1" x14ac:dyDescent="0.2">
      <c r="A1831" s="127" t="s">
        <v>5833</v>
      </c>
      <c r="B1831" s="118" t="e">
        <f>IF(COUNTIF(GIS,A1831),"YES","NO")</f>
        <v>#VALUE!</v>
      </c>
      <c r="C1831" s="118" t="s">
        <v>612</v>
      </c>
      <c r="D1831" s="113">
        <v>42207</v>
      </c>
      <c r="E1831" s="103">
        <v>42248</v>
      </c>
      <c r="F1831" s="84">
        <f>DATE(YEAR(E1831)+10,MONTH(E1831),DAY(E1831))</f>
        <v>45901</v>
      </c>
      <c r="G1831" s="229">
        <v>610</v>
      </c>
      <c r="H1831" s="71" t="s">
        <v>1634</v>
      </c>
      <c r="I1831" s="71" t="s">
        <v>812</v>
      </c>
      <c r="J1831" s="129"/>
      <c r="K1831" s="55">
        <f>YEAR(F1831)</f>
        <v>2025</v>
      </c>
      <c r="N1831" s="131" t="s">
        <v>5834</v>
      </c>
      <c r="O1831" s="131" t="s">
        <v>5835</v>
      </c>
      <c r="Q1831" s="60" t="s">
        <v>5836</v>
      </c>
      <c r="R1831" s="230">
        <v>2290</v>
      </c>
      <c r="S1831" s="230">
        <f>+T1831-R1831</f>
        <v>65880</v>
      </c>
      <c r="T1831" s="230">
        <v>68170</v>
      </c>
      <c r="U1831" s="231">
        <v>915</v>
      </c>
      <c r="V1831" s="230"/>
      <c r="W1831" s="230"/>
      <c r="X1831" s="231"/>
      <c r="Z1831" s="101">
        <v>0.1</v>
      </c>
      <c r="AA1831" s="102">
        <v>0.1</v>
      </c>
    </row>
    <row r="1832" spans="1:27" ht="15" hidden="1" customHeight="1" thickBot="1" x14ac:dyDescent="0.25">
      <c r="A1832" s="64"/>
      <c r="F1832" s="84"/>
      <c r="G1832" s="229"/>
      <c r="J1832" s="129"/>
      <c r="K1832" s="129"/>
      <c r="R1832" s="241">
        <f>SUM(R1829:R1831)</f>
        <v>4280</v>
      </c>
      <c r="S1832" s="241">
        <f>SUM(S1829:S1831)</f>
        <v>192920</v>
      </c>
      <c r="T1832" s="241">
        <f>SUM(T1829:T1831)</f>
        <v>197200</v>
      </c>
      <c r="U1832" s="231"/>
      <c r="V1832" s="230"/>
      <c r="W1832" s="230"/>
      <c r="X1832" s="231"/>
    </row>
    <row r="1833" spans="1:27" hidden="1" x14ac:dyDescent="0.2">
      <c r="A1833" s="64"/>
      <c r="F1833" s="84"/>
      <c r="G1833" s="229"/>
      <c r="J1833" s="129"/>
      <c r="K1833" s="129"/>
      <c r="R1833" s="230"/>
      <c r="S1833" s="230"/>
      <c r="T1833" s="230"/>
      <c r="U1833" s="231"/>
      <c r="V1833" s="230"/>
      <c r="W1833" s="230"/>
      <c r="X1833" s="231"/>
    </row>
    <row r="1834" spans="1:27" ht="27" customHeight="1" x14ac:dyDescent="0.2">
      <c r="A1834" s="127" t="s">
        <v>5837</v>
      </c>
      <c r="B1834" s="114" t="e">
        <f t="shared" ref="B1834:B1871" si="202">IF(COUNTIF(GIS,A1834),"YES","NO")</f>
        <v>#VALUE!</v>
      </c>
      <c r="C1834" s="118" t="s">
        <v>612</v>
      </c>
      <c r="D1834" s="157">
        <v>42213</v>
      </c>
      <c r="E1834" s="128">
        <v>42705</v>
      </c>
      <c r="F1834" s="84">
        <f t="shared" ref="F1834:F1871" si="203">DATE(YEAR(E1834)+10,MONTH(E1834),DAY(E1834))</f>
        <v>46357</v>
      </c>
      <c r="G1834" s="229">
        <v>20</v>
      </c>
      <c r="H1834" s="118" t="s">
        <v>5838</v>
      </c>
      <c r="I1834" s="118" t="s">
        <v>676</v>
      </c>
      <c r="J1834" s="122"/>
      <c r="K1834" s="55">
        <f t="shared" ref="K1834:K1871" si="204">YEAR(F1834)</f>
        <v>2026</v>
      </c>
      <c r="L1834" s="123"/>
      <c r="M1834" s="123"/>
      <c r="N1834" s="131" t="s">
        <v>5839</v>
      </c>
      <c r="O1834" s="131" t="s">
        <v>5840</v>
      </c>
      <c r="Q1834" s="60" t="s">
        <v>5841</v>
      </c>
      <c r="R1834" s="230">
        <v>225</v>
      </c>
      <c r="S1834" s="230">
        <f t="shared" ref="S1834:S1871" si="205">+T1834-R1834</f>
        <v>0</v>
      </c>
      <c r="T1834" s="230">
        <v>225</v>
      </c>
      <c r="U1834" s="231">
        <v>30</v>
      </c>
      <c r="V1834" s="230"/>
      <c r="W1834" s="230"/>
      <c r="X1834" s="231"/>
      <c r="Z1834" s="101">
        <v>0.1</v>
      </c>
      <c r="AA1834" s="102">
        <v>0.1</v>
      </c>
    </row>
    <row r="1835" spans="1:27" ht="27" customHeight="1" x14ac:dyDescent="0.2">
      <c r="A1835" s="127" t="s">
        <v>5842</v>
      </c>
      <c r="B1835" s="118" t="e">
        <f t="shared" si="202"/>
        <v>#VALUE!</v>
      </c>
      <c r="C1835" s="118" t="s">
        <v>612</v>
      </c>
      <c r="D1835" s="157">
        <v>42213</v>
      </c>
      <c r="E1835" s="128">
        <v>42705</v>
      </c>
      <c r="F1835" s="84">
        <f t="shared" si="203"/>
        <v>46357</v>
      </c>
      <c r="G1835" s="229">
        <v>160</v>
      </c>
      <c r="H1835" s="118" t="s">
        <v>5838</v>
      </c>
      <c r="I1835" s="118" t="s">
        <v>676</v>
      </c>
      <c r="J1835" s="122"/>
      <c r="K1835" s="55">
        <f t="shared" si="204"/>
        <v>2026</v>
      </c>
      <c r="L1835" s="123"/>
      <c r="M1835" s="123"/>
      <c r="N1835" s="131" t="s">
        <v>5843</v>
      </c>
      <c r="O1835" s="131" t="s">
        <v>5844</v>
      </c>
      <c r="Q1835" s="60" t="s">
        <v>5845</v>
      </c>
      <c r="R1835" s="230">
        <v>715</v>
      </c>
      <c r="S1835" s="230">
        <f t="shared" si="205"/>
        <v>0</v>
      </c>
      <c r="T1835" s="230">
        <v>715</v>
      </c>
      <c r="U1835" s="231">
        <v>240</v>
      </c>
      <c r="V1835" s="230"/>
      <c r="W1835" s="230"/>
      <c r="X1835" s="231"/>
      <c r="Z1835" s="101">
        <v>0.1</v>
      </c>
      <c r="AA1835" s="102">
        <v>0.1</v>
      </c>
    </row>
    <row r="1836" spans="1:27" x14ac:dyDescent="0.2">
      <c r="A1836" s="127" t="s">
        <v>5846</v>
      </c>
      <c r="B1836" s="118" t="e">
        <f t="shared" si="202"/>
        <v>#VALUE!</v>
      </c>
      <c r="C1836" s="118" t="s">
        <v>612</v>
      </c>
      <c r="D1836" s="157">
        <v>42213</v>
      </c>
      <c r="E1836" s="124">
        <v>42278</v>
      </c>
      <c r="F1836" s="84">
        <f t="shared" si="203"/>
        <v>45931</v>
      </c>
      <c r="G1836" s="229">
        <v>39.979999999999997</v>
      </c>
      <c r="H1836" s="118" t="s">
        <v>5847</v>
      </c>
      <c r="I1836" s="118" t="s">
        <v>684</v>
      </c>
      <c r="J1836" s="122"/>
      <c r="K1836" s="55">
        <f t="shared" si="204"/>
        <v>2025</v>
      </c>
      <c r="L1836" s="123"/>
      <c r="M1836" s="123"/>
      <c r="N1836" s="131" t="s">
        <v>5848</v>
      </c>
      <c r="O1836" s="131" t="s">
        <v>5849</v>
      </c>
      <c r="Q1836" s="60" t="s">
        <v>5850</v>
      </c>
      <c r="R1836" s="230">
        <v>295</v>
      </c>
      <c r="S1836" s="230">
        <f t="shared" si="205"/>
        <v>47920</v>
      </c>
      <c r="T1836" s="230">
        <v>48215</v>
      </c>
      <c r="U1836" s="231">
        <v>61.5</v>
      </c>
      <c r="V1836" s="230"/>
      <c r="W1836" s="230"/>
      <c r="X1836" s="231"/>
      <c r="Z1836" s="101">
        <v>0.1</v>
      </c>
      <c r="AA1836" s="102">
        <v>0.1</v>
      </c>
    </row>
    <row r="1837" spans="1:27" x14ac:dyDescent="0.2">
      <c r="A1837" s="127" t="s">
        <v>5851</v>
      </c>
      <c r="B1837" s="118" t="e">
        <f t="shared" si="202"/>
        <v>#VALUE!</v>
      </c>
      <c r="C1837" s="118" t="s">
        <v>612</v>
      </c>
      <c r="D1837" s="157">
        <v>42213</v>
      </c>
      <c r="E1837" s="128">
        <v>42309</v>
      </c>
      <c r="F1837" s="84">
        <f t="shared" si="203"/>
        <v>45962</v>
      </c>
      <c r="G1837" s="271">
        <v>19.88</v>
      </c>
      <c r="H1837" s="118" t="s">
        <v>5852</v>
      </c>
      <c r="I1837" s="118" t="s">
        <v>684</v>
      </c>
      <c r="J1837" s="122"/>
      <c r="K1837" s="55">
        <f t="shared" si="204"/>
        <v>2025</v>
      </c>
      <c r="L1837" s="123"/>
      <c r="M1837" s="123"/>
      <c r="N1837" s="131" t="s">
        <v>5853</v>
      </c>
      <c r="O1837" s="131" t="s">
        <v>5854</v>
      </c>
      <c r="Q1837" s="60" t="s">
        <v>5855</v>
      </c>
      <c r="R1837" s="222">
        <v>225</v>
      </c>
      <c r="S1837" s="222">
        <f t="shared" si="205"/>
        <v>4760</v>
      </c>
      <c r="T1837" s="222">
        <v>4985</v>
      </c>
      <c r="U1837" s="223">
        <v>30</v>
      </c>
      <c r="Z1837" s="101">
        <v>0.1</v>
      </c>
      <c r="AA1837" s="102">
        <v>0.1</v>
      </c>
    </row>
    <row r="1838" spans="1:27" x14ac:dyDescent="0.2">
      <c r="A1838" s="127" t="s">
        <v>5856</v>
      </c>
      <c r="B1838" s="118" t="e">
        <f t="shared" si="202"/>
        <v>#VALUE!</v>
      </c>
      <c r="C1838" s="118" t="s">
        <v>612</v>
      </c>
      <c r="D1838" s="157">
        <v>42213</v>
      </c>
      <c r="E1838" s="124">
        <v>42278</v>
      </c>
      <c r="F1838" s="84">
        <f t="shared" si="203"/>
        <v>45931</v>
      </c>
      <c r="G1838" s="229">
        <v>39.299999999999997</v>
      </c>
      <c r="H1838" s="118" t="s">
        <v>3146</v>
      </c>
      <c r="I1838" s="118" t="s">
        <v>1703</v>
      </c>
      <c r="J1838" s="129"/>
      <c r="K1838" s="55">
        <f t="shared" si="204"/>
        <v>2025</v>
      </c>
      <c r="N1838" s="131" t="s">
        <v>5857</v>
      </c>
      <c r="O1838" s="131" t="s">
        <v>5858</v>
      </c>
      <c r="Q1838" s="60" t="s">
        <v>5859</v>
      </c>
      <c r="R1838" s="230">
        <v>295</v>
      </c>
      <c r="S1838" s="230">
        <f t="shared" si="205"/>
        <v>0</v>
      </c>
      <c r="T1838" s="230">
        <v>295</v>
      </c>
      <c r="U1838" s="231">
        <v>60</v>
      </c>
      <c r="V1838" s="230"/>
      <c r="W1838" s="230"/>
      <c r="X1838" s="231"/>
      <c r="Z1838" s="101">
        <v>0.1</v>
      </c>
      <c r="AA1838" s="102">
        <v>0.1</v>
      </c>
    </row>
    <row r="1839" spans="1:27" x14ac:dyDescent="0.2">
      <c r="A1839" s="127" t="s">
        <v>5860</v>
      </c>
      <c r="B1839" s="118" t="e">
        <f t="shared" si="202"/>
        <v>#VALUE!</v>
      </c>
      <c r="C1839" s="118" t="s">
        <v>612</v>
      </c>
      <c r="D1839" s="157">
        <v>42213</v>
      </c>
      <c r="E1839" s="124">
        <v>42278</v>
      </c>
      <c r="F1839" s="84">
        <f t="shared" si="203"/>
        <v>45931</v>
      </c>
      <c r="G1839" s="229">
        <v>35.31</v>
      </c>
      <c r="H1839" s="118" t="s">
        <v>3146</v>
      </c>
      <c r="I1839" s="118" t="s">
        <v>1703</v>
      </c>
      <c r="J1839" s="129"/>
      <c r="K1839" s="55">
        <f t="shared" si="204"/>
        <v>2025</v>
      </c>
      <c r="N1839" s="131" t="s">
        <v>5861</v>
      </c>
      <c r="O1839" s="131" t="s">
        <v>5862</v>
      </c>
      <c r="Q1839" s="60" t="s">
        <v>5863</v>
      </c>
      <c r="R1839" s="230">
        <v>281</v>
      </c>
      <c r="S1839" s="230">
        <f t="shared" si="205"/>
        <v>0</v>
      </c>
      <c r="T1839" s="230">
        <v>281</v>
      </c>
      <c r="U1839" s="231">
        <v>54</v>
      </c>
      <c r="V1839" s="230"/>
      <c r="W1839" s="230"/>
      <c r="X1839" s="231"/>
      <c r="Z1839" s="101">
        <v>0.1</v>
      </c>
      <c r="AA1839" s="102">
        <v>0.1</v>
      </c>
    </row>
    <row r="1840" spans="1:27" x14ac:dyDescent="0.2">
      <c r="A1840" s="127" t="s">
        <v>5864</v>
      </c>
      <c r="B1840" s="118" t="e">
        <f t="shared" si="202"/>
        <v>#VALUE!</v>
      </c>
      <c r="C1840" s="118" t="s">
        <v>612</v>
      </c>
      <c r="D1840" s="157">
        <v>42213</v>
      </c>
      <c r="E1840" s="124">
        <v>42278</v>
      </c>
      <c r="F1840" s="84">
        <f t="shared" si="203"/>
        <v>45931</v>
      </c>
      <c r="G1840" s="229">
        <v>160</v>
      </c>
      <c r="H1840" s="118" t="s">
        <v>3146</v>
      </c>
      <c r="I1840" s="118" t="s">
        <v>1703</v>
      </c>
      <c r="J1840" s="129"/>
      <c r="K1840" s="55">
        <f t="shared" si="204"/>
        <v>2025</v>
      </c>
      <c r="N1840" s="131" t="s">
        <v>5865</v>
      </c>
      <c r="O1840" s="131" t="s">
        <v>5866</v>
      </c>
      <c r="Q1840" s="60" t="s">
        <v>5867</v>
      </c>
      <c r="R1840" s="230">
        <v>715</v>
      </c>
      <c r="S1840" s="230">
        <f t="shared" si="205"/>
        <v>0</v>
      </c>
      <c r="T1840" s="230">
        <v>715</v>
      </c>
      <c r="U1840" s="231">
        <v>240</v>
      </c>
      <c r="V1840" s="230"/>
      <c r="W1840" s="230"/>
      <c r="X1840" s="231"/>
      <c r="Z1840" s="101">
        <v>0.1</v>
      </c>
      <c r="AA1840" s="102">
        <v>0.1</v>
      </c>
    </row>
    <row r="1841" spans="1:27" ht="27" customHeight="1" x14ac:dyDescent="0.2">
      <c r="A1841" s="127" t="s">
        <v>5868</v>
      </c>
      <c r="B1841" s="118" t="e">
        <f t="shared" si="202"/>
        <v>#VALUE!</v>
      </c>
      <c r="C1841" s="118" t="s">
        <v>612</v>
      </c>
      <c r="D1841" s="157">
        <v>42213</v>
      </c>
      <c r="E1841" s="124">
        <v>42278</v>
      </c>
      <c r="F1841" s="84">
        <f t="shared" si="203"/>
        <v>45931</v>
      </c>
      <c r="G1841" s="229">
        <v>480</v>
      </c>
      <c r="H1841" s="118" t="s">
        <v>1702</v>
      </c>
      <c r="I1841" s="118" t="s">
        <v>1703</v>
      </c>
      <c r="J1841" s="129"/>
      <c r="K1841" s="55">
        <f t="shared" si="204"/>
        <v>2025</v>
      </c>
      <c r="N1841" s="131" t="s">
        <v>5869</v>
      </c>
      <c r="O1841" s="131" t="s">
        <v>5870</v>
      </c>
      <c r="Q1841" s="60" t="s">
        <v>5871</v>
      </c>
      <c r="R1841" s="230">
        <v>1835</v>
      </c>
      <c r="S1841" s="230">
        <f t="shared" si="205"/>
        <v>0</v>
      </c>
      <c r="T1841" s="230">
        <v>1835</v>
      </c>
      <c r="U1841" s="231">
        <v>720</v>
      </c>
      <c r="V1841" s="230"/>
      <c r="W1841" s="230"/>
      <c r="X1841" s="231"/>
      <c r="Z1841" s="101">
        <v>0.1</v>
      </c>
      <c r="AA1841" s="102">
        <v>0.1</v>
      </c>
    </row>
    <row r="1842" spans="1:27" x14ac:dyDescent="0.2">
      <c r="A1842" s="127" t="s">
        <v>5872</v>
      </c>
      <c r="B1842" s="118" t="e">
        <f t="shared" si="202"/>
        <v>#VALUE!</v>
      </c>
      <c r="C1842" s="118" t="s">
        <v>612</v>
      </c>
      <c r="D1842" s="157">
        <v>42213</v>
      </c>
      <c r="E1842" s="124">
        <v>42278</v>
      </c>
      <c r="F1842" s="84">
        <f t="shared" si="203"/>
        <v>45931</v>
      </c>
      <c r="G1842" s="229">
        <v>760</v>
      </c>
      <c r="H1842" s="118" t="s">
        <v>3146</v>
      </c>
      <c r="I1842" s="118" t="s">
        <v>1703</v>
      </c>
      <c r="J1842" s="129"/>
      <c r="K1842" s="55">
        <f t="shared" si="204"/>
        <v>2025</v>
      </c>
      <c r="N1842" s="131" t="s">
        <v>5873</v>
      </c>
      <c r="O1842" s="131" t="s">
        <v>5874</v>
      </c>
      <c r="Q1842" s="60" t="s">
        <v>5875</v>
      </c>
      <c r="R1842" s="230">
        <v>2815</v>
      </c>
      <c r="S1842" s="230">
        <f t="shared" si="205"/>
        <v>3040</v>
      </c>
      <c r="T1842" s="230">
        <v>5855</v>
      </c>
      <c r="U1842" s="231">
        <v>1140</v>
      </c>
      <c r="V1842" s="230"/>
      <c r="W1842" s="230"/>
      <c r="X1842" s="231"/>
      <c r="Z1842" s="101">
        <v>0.1</v>
      </c>
      <c r="AA1842" s="102">
        <v>0.1</v>
      </c>
    </row>
    <row r="1843" spans="1:27" ht="27" customHeight="1" x14ac:dyDescent="0.2">
      <c r="A1843" s="127" t="s">
        <v>5876</v>
      </c>
      <c r="B1843" s="118" t="e">
        <f t="shared" si="202"/>
        <v>#VALUE!</v>
      </c>
      <c r="C1843" s="118" t="s">
        <v>612</v>
      </c>
      <c r="D1843" s="157">
        <v>42213</v>
      </c>
      <c r="E1843" s="124">
        <v>42278</v>
      </c>
      <c r="F1843" s="84">
        <f t="shared" si="203"/>
        <v>45931</v>
      </c>
      <c r="G1843" s="229">
        <v>710</v>
      </c>
      <c r="H1843" s="118" t="s">
        <v>3146</v>
      </c>
      <c r="I1843" s="118" t="s">
        <v>1703</v>
      </c>
      <c r="J1843" s="129"/>
      <c r="K1843" s="55">
        <f t="shared" si="204"/>
        <v>2025</v>
      </c>
      <c r="N1843" s="131" t="s">
        <v>5877</v>
      </c>
      <c r="O1843" s="131" t="s">
        <v>5878</v>
      </c>
      <c r="P1843" s="119" t="s">
        <v>5879</v>
      </c>
      <c r="Q1843" s="60" t="s">
        <v>5880</v>
      </c>
      <c r="R1843" s="230">
        <v>2640</v>
      </c>
      <c r="S1843" s="230">
        <f t="shared" si="205"/>
        <v>0</v>
      </c>
      <c r="T1843" s="230">
        <v>2640</v>
      </c>
      <c r="U1843" s="231">
        <v>1065</v>
      </c>
      <c r="V1843" s="230"/>
      <c r="W1843" s="230"/>
      <c r="X1843" s="231"/>
      <c r="Z1843" s="101">
        <v>0.1</v>
      </c>
      <c r="AA1843" s="102">
        <v>0.1</v>
      </c>
    </row>
    <row r="1844" spans="1:27" ht="27" customHeight="1" x14ac:dyDescent="0.2">
      <c r="A1844" s="127" t="s">
        <v>5881</v>
      </c>
      <c r="B1844" s="118" t="e">
        <f t="shared" si="202"/>
        <v>#VALUE!</v>
      </c>
      <c r="C1844" s="118" t="s">
        <v>612</v>
      </c>
      <c r="D1844" s="157">
        <v>42213</v>
      </c>
      <c r="E1844" s="124">
        <v>42278</v>
      </c>
      <c r="F1844" s="84">
        <f t="shared" si="203"/>
        <v>45931</v>
      </c>
      <c r="G1844" s="229">
        <v>490</v>
      </c>
      <c r="H1844" s="118" t="s">
        <v>3146</v>
      </c>
      <c r="I1844" s="118" t="s">
        <v>1703</v>
      </c>
      <c r="J1844" s="129"/>
      <c r="K1844" s="55">
        <f t="shared" si="204"/>
        <v>2025</v>
      </c>
      <c r="N1844" s="131" t="s">
        <v>5877</v>
      </c>
      <c r="O1844" s="131" t="s">
        <v>5882</v>
      </c>
      <c r="Q1844" s="60" t="s">
        <v>5883</v>
      </c>
      <c r="R1844" s="230">
        <v>1870</v>
      </c>
      <c r="S1844" s="230">
        <f t="shared" si="205"/>
        <v>1960</v>
      </c>
      <c r="T1844" s="230">
        <v>3830</v>
      </c>
      <c r="U1844" s="231">
        <v>735</v>
      </c>
      <c r="V1844" s="230"/>
      <c r="W1844" s="230"/>
      <c r="X1844" s="231"/>
      <c r="Z1844" s="101">
        <v>0.1</v>
      </c>
      <c r="AA1844" s="102">
        <v>0.1</v>
      </c>
    </row>
    <row r="1845" spans="1:27" ht="66" customHeight="1" x14ac:dyDescent="0.2">
      <c r="A1845" s="127" t="s">
        <v>5884</v>
      </c>
      <c r="B1845" s="118" t="e">
        <f t="shared" si="202"/>
        <v>#VALUE!</v>
      </c>
      <c r="C1845" s="118" t="s">
        <v>612</v>
      </c>
      <c r="D1845" s="157">
        <v>42213</v>
      </c>
      <c r="E1845" s="124">
        <v>42278</v>
      </c>
      <c r="F1845" s="84">
        <f t="shared" si="203"/>
        <v>45931</v>
      </c>
      <c r="G1845" s="229">
        <v>1131.8800000000001</v>
      </c>
      <c r="H1845" s="118" t="s">
        <v>3146</v>
      </c>
      <c r="I1845" s="118" t="s">
        <v>1703</v>
      </c>
      <c r="J1845" s="129"/>
      <c r="K1845" s="55">
        <f t="shared" si="204"/>
        <v>2025</v>
      </c>
      <c r="N1845" s="131" t="s">
        <v>5857</v>
      </c>
      <c r="O1845" s="131" t="s">
        <v>5885</v>
      </c>
      <c r="P1845" s="119" t="s">
        <v>5886</v>
      </c>
      <c r="Q1845" s="60" t="s">
        <v>5887</v>
      </c>
      <c r="R1845" s="230">
        <v>4117</v>
      </c>
      <c r="S1845" s="230">
        <f t="shared" si="205"/>
        <v>0</v>
      </c>
      <c r="T1845" s="230">
        <v>4117</v>
      </c>
      <c r="U1845" s="231">
        <v>1698</v>
      </c>
      <c r="V1845" s="230"/>
      <c r="W1845" s="230"/>
      <c r="X1845" s="231"/>
      <c r="Z1845" s="101">
        <v>0.1</v>
      </c>
      <c r="AA1845" s="102">
        <v>0.1</v>
      </c>
    </row>
    <row r="1846" spans="1:27" x14ac:dyDescent="0.2">
      <c r="A1846" s="127" t="s">
        <v>5888</v>
      </c>
      <c r="B1846" s="118" t="e">
        <f t="shared" si="202"/>
        <v>#VALUE!</v>
      </c>
      <c r="C1846" s="118" t="s">
        <v>612</v>
      </c>
      <c r="D1846" s="157">
        <v>42213</v>
      </c>
      <c r="E1846" s="124">
        <v>42278</v>
      </c>
      <c r="F1846" s="84">
        <f t="shared" si="203"/>
        <v>45931</v>
      </c>
      <c r="G1846" s="229">
        <v>80</v>
      </c>
      <c r="H1846" s="118" t="s">
        <v>3146</v>
      </c>
      <c r="I1846" s="118" t="s">
        <v>1703</v>
      </c>
      <c r="J1846" s="129"/>
      <c r="K1846" s="55">
        <f t="shared" si="204"/>
        <v>2025</v>
      </c>
      <c r="N1846" s="131" t="s">
        <v>5857</v>
      </c>
      <c r="O1846" s="131" t="s">
        <v>5889</v>
      </c>
      <c r="Q1846" s="60" t="s">
        <v>5890</v>
      </c>
      <c r="R1846" s="230">
        <v>435</v>
      </c>
      <c r="S1846" s="230">
        <f t="shared" si="205"/>
        <v>0</v>
      </c>
      <c r="T1846" s="230">
        <v>435</v>
      </c>
      <c r="U1846" s="231">
        <v>120</v>
      </c>
      <c r="V1846" s="230"/>
      <c r="W1846" s="230"/>
      <c r="X1846" s="231"/>
      <c r="Z1846" s="101">
        <v>0.1</v>
      </c>
      <c r="AA1846" s="102">
        <v>0.1</v>
      </c>
    </row>
    <row r="1847" spans="1:27" ht="27" customHeight="1" x14ac:dyDescent="0.2">
      <c r="A1847" s="127" t="s">
        <v>5891</v>
      </c>
      <c r="B1847" s="118" t="e">
        <f t="shared" si="202"/>
        <v>#VALUE!</v>
      </c>
      <c r="C1847" s="118" t="s">
        <v>612</v>
      </c>
      <c r="D1847" s="157">
        <v>42213</v>
      </c>
      <c r="E1847" s="124">
        <v>42278</v>
      </c>
      <c r="F1847" s="84">
        <f t="shared" si="203"/>
        <v>45931</v>
      </c>
      <c r="G1847" s="229">
        <v>249.73</v>
      </c>
      <c r="H1847" s="118" t="s">
        <v>3146</v>
      </c>
      <c r="I1847" s="118" t="s">
        <v>1703</v>
      </c>
      <c r="J1847" s="129"/>
      <c r="K1847" s="55">
        <f t="shared" si="204"/>
        <v>2025</v>
      </c>
      <c r="N1847" s="131" t="s">
        <v>5892</v>
      </c>
      <c r="O1847" s="131" t="s">
        <v>5893</v>
      </c>
      <c r="Q1847" s="60" t="s">
        <v>5894</v>
      </c>
      <c r="R1847" s="230">
        <v>1030</v>
      </c>
      <c r="S1847" s="230">
        <f t="shared" si="205"/>
        <v>5750</v>
      </c>
      <c r="T1847" s="230">
        <v>6780</v>
      </c>
      <c r="U1847" s="231">
        <v>375</v>
      </c>
      <c r="V1847" s="230"/>
      <c r="W1847" s="230"/>
      <c r="X1847" s="231"/>
      <c r="Z1847" s="101">
        <v>0.1</v>
      </c>
      <c r="AA1847" s="102">
        <v>0.1</v>
      </c>
    </row>
    <row r="1848" spans="1:27" x14ac:dyDescent="0.2">
      <c r="A1848" s="127" t="s">
        <v>5895</v>
      </c>
      <c r="B1848" s="118" t="e">
        <f t="shared" si="202"/>
        <v>#VALUE!</v>
      </c>
      <c r="C1848" s="118" t="s">
        <v>612</v>
      </c>
      <c r="D1848" s="157">
        <v>42213</v>
      </c>
      <c r="E1848" s="124">
        <v>42278</v>
      </c>
      <c r="F1848" s="84">
        <f t="shared" si="203"/>
        <v>45931</v>
      </c>
      <c r="G1848" s="229">
        <v>72.28</v>
      </c>
      <c r="H1848" s="118" t="s">
        <v>3146</v>
      </c>
      <c r="I1848" s="118" t="s">
        <v>1703</v>
      </c>
      <c r="J1848" s="129"/>
      <c r="K1848" s="55">
        <f t="shared" si="204"/>
        <v>2025</v>
      </c>
      <c r="N1848" s="131" t="s">
        <v>5892</v>
      </c>
      <c r="O1848" s="131" t="s">
        <v>5896</v>
      </c>
      <c r="Q1848" s="60" t="s">
        <v>5897</v>
      </c>
      <c r="R1848" s="230">
        <v>410.5</v>
      </c>
      <c r="S1848" s="230">
        <f t="shared" si="205"/>
        <v>2044</v>
      </c>
      <c r="T1848" s="230">
        <v>2454.5</v>
      </c>
      <c r="U1848" s="231">
        <v>109.5</v>
      </c>
      <c r="V1848" s="230"/>
      <c r="W1848" s="230"/>
      <c r="X1848" s="231"/>
      <c r="Z1848" s="101">
        <v>0.1</v>
      </c>
      <c r="AA1848" s="102">
        <v>0.1</v>
      </c>
    </row>
    <row r="1849" spans="1:27" ht="27" customHeight="1" x14ac:dyDescent="0.2">
      <c r="A1849" s="127" t="s">
        <v>5898</v>
      </c>
      <c r="B1849" s="118" t="e">
        <f t="shared" si="202"/>
        <v>#VALUE!</v>
      </c>
      <c r="C1849" s="118" t="s">
        <v>612</v>
      </c>
      <c r="D1849" s="157">
        <v>42213</v>
      </c>
      <c r="E1849" s="124">
        <v>42278</v>
      </c>
      <c r="F1849" s="84">
        <f t="shared" si="203"/>
        <v>45931</v>
      </c>
      <c r="G1849" s="229">
        <v>1059.92</v>
      </c>
      <c r="H1849" s="118" t="s">
        <v>3146</v>
      </c>
      <c r="I1849" s="118" t="s">
        <v>1703</v>
      </c>
      <c r="J1849" s="129"/>
      <c r="K1849" s="55">
        <f t="shared" si="204"/>
        <v>2025</v>
      </c>
      <c r="N1849" s="131" t="s">
        <v>5899</v>
      </c>
      <c r="O1849" s="131" t="s">
        <v>5900</v>
      </c>
      <c r="P1849" s="119" t="s">
        <v>5901</v>
      </c>
      <c r="Q1849" s="60" t="s">
        <v>5902</v>
      </c>
      <c r="R1849" s="230">
        <v>3865</v>
      </c>
      <c r="S1849" s="230">
        <f t="shared" si="205"/>
        <v>0</v>
      </c>
      <c r="T1849" s="230">
        <v>3865</v>
      </c>
      <c r="U1849" s="231">
        <v>1590</v>
      </c>
      <c r="V1849" s="230"/>
      <c r="W1849" s="230"/>
      <c r="X1849" s="231"/>
      <c r="Z1849" s="101">
        <v>0.1</v>
      </c>
      <c r="AA1849" s="102">
        <v>0.1</v>
      </c>
    </row>
    <row r="1850" spans="1:27" ht="40" customHeight="1" x14ac:dyDescent="0.2">
      <c r="A1850" s="127" t="s">
        <v>5903</v>
      </c>
      <c r="B1850" s="118" t="e">
        <f t="shared" si="202"/>
        <v>#VALUE!</v>
      </c>
      <c r="C1850" s="118" t="s">
        <v>612</v>
      </c>
      <c r="D1850" s="157">
        <v>42213</v>
      </c>
      <c r="E1850" s="124">
        <v>42278</v>
      </c>
      <c r="F1850" s="84">
        <f t="shared" si="203"/>
        <v>45931</v>
      </c>
      <c r="G1850" s="229">
        <v>392.65</v>
      </c>
      <c r="H1850" s="118" t="s">
        <v>3146</v>
      </c>
      <c r="I1850" s="118" t="s">
        <v>1703</v>
      </c>
      <c r="J1850" s="129"/>
      <c r="K1850" s="55">
        <f t="shared" si="204"/>
        <v>2025</v>
      </c>
      <c r="N1850" s="131" t="s">
        <v>5899</v>
      </c>
      <c r="O1850" s="131" t="s">
        <v>5904</v>
      </c>
      <c r="P1850" s="119" t="s">
        <v>5905</v>
      </c>
      <c r="Q1850" s="60" t="s">
        <v>5906</v>
      </c>
      <c r="R1850" s="230">
        <v>1530.5</v>
      </c>
      <c r="S1850" s="230">
        <f t="shared" si="205"/>
        <v>0</v>
      </c>
      <c r="T1850" s="230">
        <v>1530.5</v>
      </c>
      <c r="U1850" s="231">
        <v>589.5</v>
      </c>
      <c r="V1850" s="230"/>
      <c r="W1850" s="230"/>
      <c r="X1850" s="231"/>
      <c r="Z1850" s="101">
        <v>0.1</v>
      </c>
      <c r="AA1850" s="102">
        <v>0.1</v>
      </c>
    </row>
    <row r="1851" spans="1:27" ht="27" customHeight="1" x14ac:dyDescent="0.2">
      <c r="A1851" s="127" t="s">
        <v>5907</v>
      </c>
      <c r="B1851" s="118" t="e">
        <f t="shared" si="202"/>
        <v>#VALUE!</v>
      </c>
      <c r="C1851" s="118" t="s">
        <v>612</v>
      </c>
      <c r="D1851" s="157">
        <v>42213</v>
      </c>
      <c r="E1851" s="124">
        <v>42278</v>
      </c>
      <c r="F1851" s="84">
        <f t="shared" si="203"/>
        <v>45931</v>
      </c>
      <c r="G1851" s="229">
        <v>962.32</v>
      </c>
      <c r="H1851" s="118" t="s">
        <v>3146</v>
      </c>
      <c r="I1851" s="118" t="s">
        <v>1703</v>
      </c>
      <c r="J1851" s="129"/>
      <c r="K1851" s="55">
        <f t="shared" si="204"/>
        <v>2025</v>
      </c>
      <c r="N1851" s="131" t="s">
        <v>5899</v>
      </c>
      <c r="O1851" s="131" t="s">
        <v>5908</v>
      </c>
      <c r="P1851" s="119" t="s">
        <v>5909</v>
      </c>
      <c r="Q1851" s="60" t="s">
        <v>5910</v>
      </c>
      <c r="R1851" s="230">
        <v>3525.5</v>
      </c>
      <c r="S1851" s="230">
        <f t="shared" si="205"/>
        <v>0</v>
      </c>
      <c r="T1851" s="230">
        <v>3525.5</v>
      </c>
      <c r="U1851" s="231">
        <v>1444.5</v>
      </c>
      <c r="V1851" s="230"/>
      <c r="W1851" s="230"/>
      <c r="X1851" s="231"/>
      <c r="Z1851" s="101">
        <v>0.1</v>
      </c>
      <c r="AA1851" s="102">
        <v>0.1</v>
      </c>
    </row>
    <row r="1852" spans="1:27" ht="53" customHeight="1" x14ac:dyDescent="0.2">
      <c r="A1852" s="127" t="s">
        <v>5911</v>
      </c>
      <c r="B1852" s="118" t="e">
        <f t="shared" si="202"/>
        <v>#VALUE!</v>
      </c>
      <c r="C1852" s="118" t="s">
        <v>612</v>
      </c>
      <c r="D1852" s="157">
        <v>42213</v>
      </c>
      <c r="E1852" s="124">
        <v>42278</v>
      </c>
      <c r="F1852" s="84">
        <f t="shared" si="203"/>
        <v>45931</v>
      </c>
      <c r="G1852" s="229">
        <v>884.68</v>
      </c>
      <c r="H1852" s="118" t="s">
        <v>3146</v>
      </c>
      <c r="I1852" s="118" t="s">
        <v>1703</v>
      </c>
      <c r="J1852" s="129"/>
      <c r="K1852" s="55">
        <f t="shared" si="204"/>
        <v>2025</v>
      </c>
      <c r="N1852" s="131" t="s">
        <v>5899</v>
      </c>
      <c r="O1852" s="131" t="s">
        <v>5912</v>
      </c>
      <c r="P1852" s="119" t="s">
        <v>5913</v>
      </c>
      <c r="Q1852" s="60" t="s">
        <v>5914</v>
      </c>
      <c r="R1852" s="230">
        <v>3252.5</v>
      </c>
      <c r="S1852" s="230">
        <f t="shared" si="205"/>
        <v>0</v>
      </c>
      <c r="T1852" s="230">
        <v>3252.5</v>
      </c>
      <c r="U1852" s="231">
        <v>1327.5</v>
      </c>
      <c r="V1852" s="230"/>
      <c r="W1852" s="230"/>
      <c r="X1852" s="231"/>
      <c r="Z1852" s="101">
        <v>0.1</v>
      </c>
      <c r="AA1852" s="102">
        <v>0.1</v>
      </c>
    </row>
    <row r="1853" spans="1:27" ht="40" customHeight="1" x14ac:dyDescent="0.2">
      <c r="A1853" s="127" t="s">
        <v>5915</v>
      </c>
      <c r="B1853" s="118" t="e">
        <f t="shared" si="202"/>
        <v>#VALUE!</v>
      </c>
      <c r="C1853" s="118" t="s">
        <v>612</v>
      </c>
      <c r="D1853" s="157">
        <v>42213</v>
      </c>
      <c r="E1853" s="128">
        <v>42248</v>
      </c>
      <c r="F1853" s="84">
        <f t="shared" si="203"/>
        <v>45901</v>
      </c>
      <c r="G1853" s="229">
        <v>110.64</v>
      </c>
      <c r="H1853" s="118" t="s">
        <v>3146</v>
      </c>
      <c r="I1853" s="118" t="s">
        <v>1703</v>
      </c>
      <c r="J1853" s="129"/>
      <c r="K1853" s="55">
        <f t="shared" si="204"/>
        <v>2025</v>
      </c>
      <c r="N1853" s="131" t="s">
        <v>5916</v>
      </c>
      <c r="O1853" s="131" t="s">
        <v>5917</v>
      </c>
      <c r="P1853" s="119" t="s">
        <v>5918</v>
      </c>
      <c r="Q1853" s="60" t="s">
        <v>5919</v>
      </c>
      <c r="R1853" s="230">
        <v>543.5</v>
      </c>
      <c r="S1853" s="230">
        <f t="shared" si="205"/>
        <v>0</v>
      </c>
      <c r="T1853" s="230">
        <v>543.5</v>
      </c>
      <c r="U1853" s="231">
        <v>166.5</v>
      </c>
      <c r="V1853" s="230"/>
      <c r="W1853" s="230"/>
      <c r="X1853" s="231"/>
      <c r="Z1853" s="101">
        <v>0.1</v>
      </c>
      <c r="AA1853" s="102">
        <v>0.1</v>
      </c>
    </row>
    <row r="1854" spans="1:27" ht="66" customHeight="1" x14ac:dyDescent="0.2">
      <c r="A1854" s="127" t="s">
        <v>5920</v>
      </c>
      <c r="B1854" s="118" t="e">
        <f t="shared" si="202"/>
        <v>#VALUE!</v>
      </c>
      <c r="C1854" s="118" t="s">
        <v>612</v>
      </c>
      <c r="D1854" s="157">
        <v>42213</v>
      </c>
      <c r="E1854" s="128">
        <v>42248</v>
      </c>
      <c r="F1854" s="84">
        <f t="shared" si="203"/>
        <v>45901</v>
      </c>
      <c r="G1854" s="229">
        <v>936.81</v>
      </c>
      <c r="H1854" s="118" t="s">
        <v>3146</v>
      </c>
      <c r="I1854" s="118" t="s">
        <v>1703</v>
      </c>
      <c r="J1854" s="129"/>
      <c r="K1854" s="55">
        <f t="shared" si="204"/>
        <v>2025</v>
      </c>
      <c r="N1854" s="131" t="s">
        <v>5921</v>
      </c>
      <c r="O1854" s="131" t="s">
        <v>5922</v>
      </c>
      <c r="P1854" s="119" t="s">
        <v>5923</v>
      </c>
      <c r="Q1854" s="60" t="s">
        <v>5924</v>
      </c>
      <c r="R1854" s="230">
        <v>3434.5</v>
      </c>
      <c r="S1854" s="230">
        <f t="shared" si="205"/>
        <v>0</v>
      </c>
      <c r="T1854" s="230">
        <v>3434.5</v>
      </c>
      <c r="U1854" s="231">
        <v>1405.5</v>
      </c>
      <c r="V1854" s="230"/>
      <c r="W1854" s="230"/>
      <c r="X1854" s="231"/>
      <c r="Z1854" s="101">
        <v>0.1</v>
      </c>
      <c r="AA1854" s="102">
        <v>0.1</v>
      </c>
    </row>
    <row r="1855" spans="1:27" ht="27" customHeight="1" x14ac:dyDescent="0.2">
      <c r="A1855" s="127" t="s">
        <v>5925</v>
      </c>
      <c r="B1855" s="118" t="e">
        <f t="shared" si="202"/>
        <v>#VALUE!</v>
      </c>
      <c r="C1855" s="118" t="s">
        <v>612</v>
      </c>
      <c r="D1855" s="157">
        <v>42213</v>
      </c>
      <c r="E1855" s="128">
        <v>42248</v>
      </c>
      <c r="F1855" s="84">
        <f t="shared" si="203"/>
        <v>45901</v>
      </c>
      <c r="G1855" s="229">
        <v>737.11</v>
      </c>
      <c r="H1855" s="118" t="s">
        <v>3146</v>
      </c>
      <c r="I1855" s="118" t="s">
        <v>1703</v>
      </c>
      <c r="J1855" s="129"/>
      <c r="K1855" s="55">
        <f t="shared" si="204"/>
        <v>2025</v>
      </c>
      <c r="N1855" s="131" t="s">
        <v>5926</v>
      </c>
      <c r="O1855" s="131" t="s">
        <v>5927</v>
      </c>
      <c r="P1855" s="119" t="s">
        <v>5928</v>
      </c>
      <c r="Q1855" s="60" t="s">
        <v>5929</v>
      </c>
      <c r="R1855" s="230">
        <v>2738</v>
      </c>
      <c r="S1855" s="230">
        <f t="shared" si="205"/>
        <v>16974</v>
      </c>
      <c r="T1855" s="230">
        <v>19712</v>
      </c>
      <c r="U1855" s="231">
        <v>1107</v>
      </c>
      <c r="V1855" s="230"/>
      <c r="W1855" s="230"/>
      <c r="X1855" s="231"/>
      <c r="Z1855" s="101">
        <v>0.1</v>
      </c>
      <c r="AA1855" s="102">
        <v>0.1</v>
      </c>
    </row>
    <row r="1856" spans="1:27" ht="29" x14ac:dyDescent="0.2">
      <c r="A1856" s="127" t="s">
        <v>5930</v>
      </c>
      <c r="B1856" s="118" t="e">
        <f t="shared" si="202"/>
        <v>#VALUE!</v>
      </c>
      <c r="C1856" s="118" t="s">
        <v>612</v>
      </c>
      <c r="D1856" s="157">
        <v>42213</v>
      </c>
      <c r="E1856" s="128">
        <v>42248</v>
      </c>
      <c r="F1856" s="84">
        <f t="shared" si="203"/>
        <v>45901</v>
      </c>
      <c r="G1856" s="229">
        <v>320</v>
      </c>
      <c r="H1856" s="118" t="s">
        <v>3146</v>
      </c>
      <c r="I1856" s="118" t="s">
        <v>1703</v>
      </c>
      <c r="J1856" s="129"/>
      <c r="K1856" s="55">
        <f t="shared" si="204"/>
        <v>2025</v>
      </c>
      <c r="N1856" s="131" t="s">
        <v>5926</v>
      </c>
      <c r="O1856" s="131" t="s">
        <v>5931</v>
      </c>
      <c r="Q1856" s="60" t="s">
        <v>5932</v>
      </c>
      <c r="R1856" s="230">
        <v>1275</v>
      </c>
      <c r="S1856" s="230">
        <f t="shared" si="205"/>
        <v>8960</v>
      </c>
      <c r="T1856" s="230">
        <v>10235</v>
      </c>
      <c r="U1856" s="231">
        <v>480</v>
      </c>
      <c r="V1856" s="230"/>
      <c r="W1856" s="230"/>
      <c r="X1856" s="231"/>
      <c r="Z1856" s="101">
        <v>0.1</v>
      </c>
      <c r="AA1856" s="102">
        <v>0.1</v>
      </c>
    </row>
    <row r="1857" spans="1:27" ht="27" customHeight="1" x14ac:dyDescent="0.2">
      <c r="A1857" s="127" t="s">
        <v>5933</v>
      </c>
      <c r="B1857" s="118" t="e">
        <f t="shared" si="202"/>
        <v>#VALUE!</v>
      </c>
      <c r="C1857" s="118" t="s">
        <v>612</v>
      </c>
      <c r="D1857" s="157">
        <v>42213</v>
      </c>
      <c r="E1857" s="128">
        <v>42248</v>
      </c>
      <c r="F1857" s="84">
        <f t="shared" si="203"/>
        <v>45901</v>
      </c>
      <c r="G1857" s="229">
        <v>484.85</v>
      </c>
      <c r="H1857" s="118" t="s">
        <v>3146</v>
      </c>
      <c r="I1857" s="118" t="s">
        <v>1703</v>
      </c>
      <c r="J1857" s="129"/>
      <c r="K1857" s="55">
        <f t="shared" si="204"/>
        <v>2025</v>
      </c>
      <c r="N1857" s="131" t="s">
        <v>5926</v>
      </c>
      <c r="O1857" s="131" t="s">
        <v>5934</v>
      </c>
      <c r="P1857" s="119" t="s">
        <v>5935</v>
      </c>
      <c r="Q1857" s="60" t="s">
        <v>5936</v>
      </c>
      <c r="R1857" s="230">
        <v>1852.5</v>
      </c>
      <c r="S1857" s="230">
        <f t="shared" si="205"/>
        <v>11640</v>
      </c>
      <c r="T1857" s="230">
        <v>13492.5</v>
      </c>
      <c r="U1857" s="231">
        <v>727.5</v>
      </c>
      <c r="V1857" s="230"/>
      <c r="W1857" s="230"/>
      <c r="X1857" s="231"/>
      <c r="Z1857" s="101">
        <v>0.1</v>
      </c>
      <c r="AA1857" s="102">
        <v>0.1</v>
      </c>
    </row>
    <row r="1858" spans="1:27" ht="27" customHeight="1" x14ac:dyDescent="0.2">
      <c r="A1858" s="127" t="s">
        <v>5937</v>
      </c>
      <c r="B1858" s="118" t="e">
        <f t="shared" si="202"/>
        <v>#VALUE!</v>
      </c>
      <c r="C1858" s="118" t="s">
        <v>612</v>
      </c>
      <c r="D1858" s="157">
        <v>42213</v>
      </c>
      <c r="E1858" s="128">
        <v>42248</v>
      </c>
      <c r="F1858" s="84">
        <f t="shared" si="203"/>
        <v>45901</v>
      </c>
      <c r="G1858" s="229">
        <v>1129.9100000000001</v>
      </c>
      <c r="H1858" s="118" t="s">
        <v>3146</v>
      </c>
      <c r="I1858" s="118" t="s">
        <v>1703</v>
      </c>
      <c r="J1858" s="129"/>
      <c r="K1858" s="55">
        <f t="shared" si="204"/>
        <v>2025</v>
      </c>
      <c r="N1858" s="131" t="s">
        <v>5926</v>
      </c>
      <c r="O1858" s="131" t="s">
        <v>5938</v>
      </c>
      <c r="P1858" s="119" t="s">
        <v>5939</v>
      </c>
      <c r="Q1858" s="60" t="s">
        <v>5940</v>
      </c>
      <c r="R1858" s="230">
        <v>4110</v>
      </c>
      <c r="S1858" s="230">
        <f t="shared" si="205"/>
        <v>27120</v>
      </c>
      <c r="T1858" s="230">
        <v>31230</v>
      </c>
      <c r="U1858" s="231">
        <v>1695</v>
      </c>
      <c r="V1858" s="230"/>
      <c r="W1858" s="230"/>
      <c r="X1858" s="231"/>
      <c r="Z1858" s="101">
        <v>0.1</v>
      </c>
      <c r="AA1858" s="102">
        <v>0.1</v>
      </c>
    </row>
    <row r="1859" spans="1:27" x14ac:dyDescent="0.2">
      <c r="A1859" s="127" t="s">
        <v>5941</v>
      </c>
      <c r="B1859" s="118" t="e">
        <f t="shared" si="202"/>
        <v>#VALUE!</v>
      </c>
      <c r="C1859" s="118" t="s">
        <v>612</v>
      </c>
      <c r="D1859" s="157">
        <v>42213</v>
      </c>
      <c r="E1859" s="128">
        <v>42248</v>
      </c>
      <c r="F1859" s="84">
        <f t="shared" si="203"/>
        <v>45901</v>
      </c>
      <c r="G1859" s="229">
        <v>122.81</v>
      </c>
      <c r="H1859" s="118" t="s">
        <v>3146</v>
      </c>
      <c r="I1859" s="118" t="s">
        <v>1703</v>
      </c>
      <c r="J1859" s="129"/>
      <c r="K1859" s="55">
        <f t="shared" si="204"/>
        <v>2025</v>
      </c>
      <c r="N1859" s="131" t="s">
        <v>5861</v>
      </c>
      <c r="O1859" s="131" t="s">
        <v>5942</v>
      </c>
      <c r="Q1859" s="60" t="s">
        <v>5943</v>
      </c>
      <c r="R1859" s="230">
        <v>585.5</v>
      </c>
      <c r="S1859" s="230">
        <f t="shared" si="205"/>
        <v>0</v>
      </c>
      <c r="T1859" s="230">
        <v>585.5</v>
      </c>
      <c r="U1859" s="231">
        <v>184.5</v>
      </c>
      <c r="V1859" s="230"/>
      <c r="W1859" s="230"/>
      <c r="X1859" s="231"/>
      <c r="Z1859" s="101">
        <v>0.1</v>
      </c>
      <c r="AA1859" s="102">
        <v>0.1</v>
      </c>
    </row>
    <row r="1860" spans="1:27" ht="27" customHeight="1" x14ac:dyDescent="0.2">
      <c r="A1860" s="127" t="s">
        <v>5944</v>
      </c>
      <c r="B1860" s="118" t="e">
        <f t="shared" si="202"/>
        <v>#VALUE!</v>
      </c>
      <c r="C1860" s="118" t="s">
        <v>612</v>
      </c>
      <c r="D1860" s="157">
        <v>42213</v>
      </c>
      <c r="E1860" s="128">
        <v>42248</v>
      </c>
      <c r="F1860" s="84">
        <f t="shared" si="203"/>
        <v>45901</v>
      </c>
      <c r="G1860" s="229">
        <v>560</v>
      </c>
      <c r="H1860" s="118" t="s">
        <v>3146</v>
      </c>
      <c r="I1860" s="125" t="s">
        <v>1703</v>
      </c>
      <c r="J1860" s="129"/>
      <c r="K1860" s="55">
        <f t="shared" si="204"/>
        <v>2025</v>
      </c>
      <c r="N1860" s="131" t="s">
        <v>5861</v>
      </c>
      <c r="O1860" s="131" t="s">
        <v>5945</v>
      </c>
      <c r="P1860" s="119" t="s">
        <v>5946</v>
      </c>
      <c r="Q1860" s="60" t="s">
        <v>5947</v>
      </c>
      <c r="R1860" s="230">
        <v>2115</v>
      </c>
      <c r="S1860" s="230">
        <f t="shared" si="205"/>
        <v>0</v>
      </c>
      <c r="T1860" s="230">
        <v>2115</v>
      </c>
      <c r="U1860" s="231">
        <v>840</v>
      </c>
      <c r="V1860" s="230"/>
      <c r="W1860" s="230"/>
      <c r="X1860" s="231"/>
      <c r="Z1860" s="101">
        <v>0.1</v>
      </c>
      <c r="AA1860" s="102">
        <v>0.1</v>
      </c>
    </row>
    <row r="1861" spans="1:27" ht="27" customHeight="1" x14ac:dyDescent="0.2">
      <c r="A1861" s="127" t="s">
        <v>5948</v>
      </c>
      <c r="B1861" s="118" t="e">
        <f t="shared" si="202"/>
        <v>#VALUE!</v>
      </c>
      <c r="C1861" s="118" t="s">
        <v>612</v>
      </c>
      <c r="D1861" s="157">
        <v>42213</v>
      </c>
      <c r="E1861" s="128">
        <v>42248</v>
      </c>
      <c r="F1861" s="84">
        <f t="shared" si="203"/>
        <v>45901</v>
      </c>
      <c r="G1861" s="229">
        <v>880</v>
      </c>
      <c r="H1861" s="118" t="s">
        <v>3146</v>
      </c>
      <c r="I1861" s="118" t="s">
        <v>1703</v>
      </c>
      <c r="J1861" s="129"/>
      <c r="K1861" s="55">
        <f t="shared" si="204"/>
        <v>2025</v>
      </c>
      <c r="N1861" s="131" t="s">
        <v>5861</v>
      </c>
      <c r="O1861" s="131" t="s">
        <v>5949</v>
      </c>
      <c r="Q1861" s="60" t="s">
        <v>5950</v>
      </c>
      <c r="R1861" s="230">
        <v>3235</v>
      </c>
      <c r="S1861" s="230">
        <f t="shared" si="205"/>
        <v>0</v>
      </c>
      <c r="T1861" s="230">
        <v>3235</v>
      </c>
      <c r="U1861" s="231">
        <v>1320</v>
      </c>
      <c r="V1861" s="230"/>
      <c r="W1861" s="230"/>
      <c r="X1861" s="231"/>
      <c r="Z1861" s="101">
        <v>0.1</v>
      </c>
      <c r="AA1861" s="102">
        <v>0.1</v>
      </c>
    </row>
    <row r="1862" spans="1:27" ht="27" customHeight="1" x14ac:dyDescent="0.2">
      <c r="A1862" s="127" t="s">
        <v>5951</v>
      </c>
      <c r="B1862" s="118" t="e">
        <f t="shared" si="202"/>
        <v>#VALUE!</v>
      </c>
      <c r="C1862" s="118" t="s">
        <v>612</v>
      </c>
      <c r="D1862" s="157">
        <v>42213</v>
      </c>
      <c r="E1862" s="128">
        <v>42248</v>
      </c>
      <c r="F1862" s="84">
        <f t="shared" si="203"/>
        <v>45901</v>
      </c>
      <c r="G1862" s="229">
        <v>1080</v>
      </c>
      <c r="H1862" s="118" t="s">
        <v>3146</v>
      </c>
      <c r="I1862" s="118" t="s">
        <v>1703</v>
      </c>
      <c r="J1862" s="129"/>
      <c r="K1862" s="55">
        <f t="shared" si="204"/>
        <v>2025</v>
      </c>
      <c r="N1862" s="131" t="s">
        <v>5861</v>
      </c>
      <c r="O1862" s="131" t="s">
        <v>5952</v>
      </c>
      <c r="Q1862" s="60" t="s">
        <v>5953</v>
      </c>
      <c r="R1862" s="230">
        <v>3935</v>
      </c>
      <c r="S1862" s="230">
        <f t="shared" si="205"/>
        <v>0</v>
      </c>
      <c r="T1862" s="230">
        <v>3935</v>
      </c>
      <c r="U1862" s="231">
        <v>1620</v>
      </c>
      <c r="V1862" s="230"/>
      <c r="W1862" s="230"/>
      <c r="X1862" s="231"/>
      <c r="Z1862" s="101">
        <v>0.1</v>
      </c>
      <c r="AA1862" s="102">
        <v>0.1</v>
      </c>
    </row>
    <row r="1863" spans="1:27" ht="79" customHeight="1" x14ac:dyDescent="0.2">
      <c r="A1863" s="127" t="s">
        <v>5954</v>
      </c>
      <c r="B1863" s="118" t="e">
        <f t="shared" si="202"/>
        <v>#VALUE!</v>
      </c>
      <c r="C1863" s="118" t="s">
        <v>612</v>
      </c>
      <c r="D1863" s="157">
        <v>42213</v>
      </c>
      <c r="E1863" s="128">
        <v>42248</v>
      </c>
      <c r="F1863" s="84">
        <f t="shared" si="203"/>
        <v>45901</v>
      </c>
      <c r="G1863" s="229">
        <v>239</v>
      </c>
      <c r="H1863" s="125" t="s">
        <v>3146</v>
      </c>
      <c r="I1863" s="118" t="s">
        <v>1703</v>
      </c>
      <c r="J1863" s="129"/>
      <c r="K1863" s="55">
        <f t="shared" si="204"/>
        <v>2025</v>
      </c>
      <c r="N1863" s="131" t="s">
        <v>5877</v>
      </c>
      <c r="O1863" s="131" t="s">
        <v>5955</v>
      </c>
      <c r="P1863" s="119" t="s">
        <v>5956</v>
      </c>
      <c r="Q1863" s="60" t="s">
        <v>5957</v>
      </c>
      <c r="R1863" s="230">
        <f>991.5</f>
        <v>991.5</v>
      </c>
      <c r="S1863" s="230">
        <f t="shared" si="205"/>
        <v>0</v>
      </c>
      <c r="T1863" s="230">
        <v>991.5</v>
      </c>
      <c r="U1863" s="231">
        <v>358.5</v>
      </c>
      <c r="V1863" s="230"/>
      <c r="W1863" s="230"/>
      <c r="X1863" s="231"/>
      <c r="Z1863" s="101">
        <v>0.1</v>
      </c>
      <c r="AA1863" s="102">
        <v>0.1</v>
      </c>
    </row>
    <row r="1864" spans="1:27" x14ac:dyDescent="0.2">
      <c r="A1864" s="127" t="s">
        <v>5958</v>
      </c>
      <c r="B1864" s="118" t="e">
        <f t="shared" si="202"/>
        <v>#VALUE!</v>
      </c>
      <c r="C1864" s="118" t="s">
        <v>612</v>
      </c>
      <c r="D1864" s="157">
        <v>42213</v>
      </c>
      <c r="E1864" s="128">
        <v>42248</v>
      </c>
      <c r="F1864" s="84">
        <f t="shared" si="203"/>
        <v>45901</v>
      </c>
      <c r="G1864" s="229">
        <v>45</v>
      </c>
      <c r="H1864" s="118" t="s">
        <v>3146</v>
      </c>
      <c r="I1864" s="118" t="s">
        <v>1703</v>
      </c>
      <c r="J1864" s="122" t="s">
        <v>5959</v>
      </c>
      <c r="K1864" s="55">
        <f t="shared" si="204"/>
        <v>2025</v>
      </c>
      <c r="L1864" s="123"/>
      <c r="M1864" s="123"/>
      <c r="N1864" s="131" t="s">
        <v>5877</v>
      </c>
      <c r="O1864" s="131" t="s">
        <v>5960</v>
      </c>
      <c r="Q1864" s="60" t="s">
        <v>5961</v>
      </c>
      <c r="R1864" s="230">
        <v>312.5</v>
      </c>
      <c r="S1864" s="230">
        <f t="shared" si="205"/>
        <v>0</v>
      </c>
      <c r="T1864" s="230">
        <v>312.5</v>
      </c>
      <c r="U1864" s="231">
        <v>67.5</v>
      </c>
      <c r="V1864" s="230"/>
      <c r="W1864" s="230"/>
      <c r="X1864" s="231"/>
      <c r="Z1864" s="101">
        <v>0.1</v>
      </c>
      <c r="AA1864" s="102">
        <v>0.1</v>
      </c>
    </row>
    <row r="1865" spans="1:27" x14ac:dyDescent="0.2">
      <c r="A1865" s="127" t="s">
        <v>5962</v>
      </c>
      <c r="B1865" s="118" t="e">
        <f t="shared" si="202"/>
        <v>#VALUE!</v>
      </c>
      <c r="C1865" s="118" t="s">
        <v>612</v>
      </c>
      <c r="D1865" s="157">
        <v>42213</v>
      </c>
      <c r="E1865" s="128">
        <v>42248</v>
      </c>
      <c r="F1865" s="84">
        <f t="shared" si="203"/>
        <v>45901</v>
      </c>
      <c r="G1865" s="229">
        <v>40</v>
      </c>
      <c r="H1865" s="118" t="s">
        <v>3146</v>
      </c>
      <c r="I1865" s="118" t="s">
        <v>1703</v>
      </c>
      <c r="J1865" s="122" t="s">
        <v>5963</v>
      </c>
      <c r="K1865" s="55">
        <f t="shared" si="204"/>
        <v>2025</v>
      </c>
      <c r="L1865" s="123"/>
      <c r="M1865" s="123"/>
      <c r="N1865" s="131" t="s">
        <v>5964</v>
      </c>
      <c r="O1865" s="131" t="s">
        <v>5965</v>
      </c>
      <c r="Q1865" s="60" t="s">
        <v>5966</v>
      </c>
      <c r="R1865" s="230">
        <v>295</v>
      </c>
      <c r="S1865" s="230">
        <f t="shared" si="205"/>
        <v>0</v>
      </c>
      <c r="T1865" s="230">
        <v>295</v>
      </c>
      <c r="U1865" s="231">
        <v>60</v>
      </c>
      <c r="V1865" s="230"/>
      <c r="W1865" s="230"/>
      <c r="X1865" s="231"/>
      <c r="Z1865" s="101">
        <v>0.1</v>
      </c>
      <c r="AA1865" s="102">
        <v>0.1</v>
      </c>
    </row>
    <row r="1866" spans="1:27" ht="27" customHeight="1" x14ac:dyDescent="0.2">
      <c r="A1866" s="127" t="s">
        <v>5967</v>
      </c>
      <c r="B1866" s="118" t="e">
        <f t="shared" si="202"/>
        <v>#VALUE!</v>
      </c>
      <c r="C1866" s="118" t="s">
        <v>612</v>
      </c>
      <c r="D1866" s="157">
        <v>42213</v>
      </c>
      <c r="E1866" s="128">
        <v>42248</v>
      </c>
      <c r="F1866" s="84">
        <f t="shared" si="203"/>
        <v>45901</v>
      </c>
      <c r="G1866" s="229">
        <v>1157.3</v>
      </c>
      <c r="H1866" s="118" t="s">
        <v>3146</v>
      </c>
      <c r="I1866" s="118" t="s">
        <v>1703</v>
      </c>
      <c r="J1866" s="122" t="s">
        <v>5968</v>
      </c>
      <c r="K1866" s="55">
        <f t="shared" si="204"/>
        <v>2025</v>
      </c>
      <c r="L1866" s="123"/>
      <c r="M1866" s="123"/>
      <c r="N1866" s="131" t="s">
        <v>5861</v>
      </c>
      <c r="O1866" s="131" t="s">
        <v>5969</v>
      </c>
      <c r="P1866" s="119" t="s">
        <v>5970</v>
      </c>
      <c r="Q1866" s="60" t="s">
        <v>5971</v>
      </c>
      <c r="R1866" s="230">
        <v>4208</v>
      </c>
      <c r="S1866" s="230">
        <f t="shared" si="205"/>
        <v>0</v>
      </c>
      <c r="T1866" s="230">
        <v>4208</v>
      </c>
      <c r="U1866" s="231">
        <v>1737</v>
      </c>
      <c r="V1866" s="230"/>
      <c r="W1866" s="230"/>
      <c r="X1866" s="231"/>
      <c r="Z1866" s="101">
        <v>0.1</v>
      </c>
      <c r="AA1866" s="102">
        <v>0.1</v>
      </c>
    </row>
    <row r="1867" spans="1:27" ht="27" customHeight="1" x14ac:dyDescent="0.2">
      <c r="A1867" s="127" t="s">
        <v>5972</v>
      </c>
      <c r="B1867" s="118" t="e">
        <f t="shared" si="202"/>
        <v>#VALUE!</v>
      </c>
      <c r="C1867" s="118" t="s">
        <v>612</v>
      </c>
      <c r="D1867" s="157">
        <v>42213</v>
      </c>
      <c r="E1867" s="128">
        <v>42248</v>
      </c>
      <c r="F1867" s="84">
        <f t="shared" si="203"/>
        <v>45901</v>
      </c>
      <c r="G1867" s="229">
        <v>720</v>
      </c>
      <c r="H1867" s="118" t="s">
        <v>3146</v>
      </c>
      <c r="I1867" s="125" t="s">
        <v>1703</v>
      </c>
      <c r="J1867" s="122" t="s">
        <v>5968</v>
      </c>
      <c r="K1867" s="55">
        <f t="shared" si="204"/>
        <v>2025</v>
      </c>
      <c r="L1867" s="123"/>
      <c r="M1867" s="123"/>
      <c r="N1867" s="131" t="s">
        <v>5899</v>
      </c>
      <c r="O1867" s="131" t="s">
        <v>5973</v>
      </c>
      <c r="P1867" s="119" t="s">
        <v>5974</v>
      </c>
      <c r="Q1867" s="60" t="s">
        <v>5975</v>
      </c>
      <c r="R1867" s="230">
        <v>2675</v>
      </c>
      <c r="S1867" s="230">
        <f t="shared" si="205"/>
        <v>0</v>
      </c>
      <c r="T1867" s="230">
        <v>2675</v>
      </c>
      <c r="U1867" s="231">
        <v>1080</v>
      </c>
      <c r="V1867" s="230"/>
      <c r="W1867" s="230"/>
      <c r="X1867" s="231"/>
      <c r="Z1867" s="101">
        <v>0.1</v>
      </c>
      <c r="AA1867" s="102">
        <v>0.1</v>
      </c>
    </row>
    <row r="1868" spans="1:27" x14ac:dyDescent="0.2">
      <c r="A1868" s="127" t="s">
        <v>5976</v>
      </c>
      <c r="B1868" s="118" t="e">
        <f t="shared" si="202"/>
        <v>#VALUE!</v>
      </c>
      <c r="C1868" s="118" t="s">
        <v>612</v>
      </c>
      <c r="D1868" s="157">
        <v>42213</v>
      </c>
      <c r="E1868" s="128">
        <v>42248</v>
      </c>
      <c r="F1868" s="84">
        <f t="shared" si="203"/>
        <v>45901</v>
      </c>
      <c r="G1868" s="229">
        <v>158.09</v>
      </c>
      <c r="H1868" s="118" t="s">
        <v>3146</v>
      </c>
      <c r="I1868" s="118" t="s">
        <v>1703</v>
      </c>
      <c r="J1868" s="122" t="s">
        <v>5977</v>
      </c>
      <c r="K1868" s="55">
        <f t="shared" si="204"/>
        <v>2025</v>
      </c>
      <c r="L1868" s="123"/>
      <c r="M1868" s="123"/>
      <c r="N1868" s="131" t="s">
        <v>5899</v>
      </c>
      <c r="O1868" s="131" t="s">
        <v>5978</v>
      </c>
      <c r="Q1868" s="60" t="s">
        <v>5979</v>
      </c>
      <c r="R1868" s="230">
        <v>711.5</v>
      </c>
      <c r="S1868" s="230">
        <f t="shared" si="205"/>
        <v>0</v>
      </c>
      <c r="T1868" s="230">
        <v>711.5</v>
      </c>
      <c r="U1868" s="231">
        <v>238.5</v>
      </c>
      <c r="V1868" s="230"/>
      <c r="W1868" s="230"/>
      <c r="X1868" s="231"/>
      <c r="Z1868" s="101">
        <v>0.1</v>
      </c>
      <c r="AA1868" s="102">
        <v>0.1</v>
      </c>
    </row>
    <row r="1869" spans="1:27" x14ac:dyDescent="0.2">
      <c r="A1869" s="127" t="s">
        <v>5980</v>
      </c>
      <c r="B1869" s="118" t="e">
        <f t="shared" si="202"/>
        <v>#VALUE!</v>
      </c>
      <c r="C1869" s="118" t="s">
        <v>612</v>
      </c>
      <c r="D1869" s="157">
        <v>42213</v>
      </c>
      <c r="E1869" s="128">
        <v>42248</v>
      </c>
      <c r="F1869" s="84">
        <f t="shared" si="203"/>
        <v>45901</v>
      </c>
      <c r="G1869" s="229">
        <v>120</v>
      </c>
      <c r="H1869" s="118" t="s">
        <v>3146</v>
      </c>
      <c r="I1869" s="118" t="s">
        <v>1703</v>
      </c>
      <c r="J1869" s="122" t="s">
        <v>5963</v>
      </c>
      <c r="K1869" s="55">
        <f t="shared" si="204"/>
        <v>2025</v>
      </c>
      <c r="L1869" s="123"/>
      <c r="M1869" s="123"/>
      <c r="N1869" s="131" t="s">
        <v>5926</v>
      </c>
      <c r="O1869" s="131" t="s">
        <v>5981</v>
      </c>
      <c r="Q1869" s="60" t="s">
        <v>5982</v>
      </c>
      <c r="R1869" s="230">
        <v>575</v>
      </c>
      <c r="S1869" s="230">
        <f t="shared" si="205"/>
        <v>2880</v>
      </c>
      <c r="T1869" s="230">
        <v>3455</v>
      </c>
      <c r="U1869" s="231">
        <v>180</v>
      </c>
      <c r="V1869" s="230"/>
      <c r="W1869" s="230"/>
      <c r="X1869" s="231"/>
      <c r="Z1869" s="101">
        <v>0.1</v>
      </c>
      <c r="AA1869" s="102">
        <v>0.1</v>
      </c>
    </row>
    <row r="1870" spans="1:27" x14ac:dyDescent="0.2">
      <c r="A1870" s="127" t="s">
        <v>5983</v>
      </c>
      <c r="B1870" s="118" t="e">
        <f t="shared" si="202"/>
        <v>#VALUE!</v>
      </c>
      <c r="C1870" s="118" t="s">
        <v>612</v>
      </c>
      <c r="D1870" s="157">
        <v>42213</v>
      </c>
      <c r="E1870" s="128">
        <v>42248</v>
      </c>
      <c r="F1870" s="84">
        <f t="shared" si="203"/>
        <v>45901</v>
      </c>
      <c r="G1870" s="229">
        <v>40</v>
      </c>
      <c r="H1870" s="118" t="s">
        <v>3146</v>
      </c>
      <c r="I1870" s="118" t="s">
        <v>1703</v>
      </c>
      <c r="J1870" s="122" t="s">
        <v>5984</v>
      </c>
      <c r="K1870" s="55">
        <f t="shared" si="204"/>
        <v>2025</v>
      </c>
      <c r="L1870" s="123"/>
      <c r="M1870" s="123"/>
      <c r="N1870" s="131" t="s">
        <v>5926</v>
      </c>
      <c r="O1870" s="131" t="s">
        <v>5985</v>
      </c>
      <c r="Q1870" s="60" t="s">
        <v>5986</v>
      </c>
      <c r="R1870" s="230">
        <v>295</v>
      </c>
      <c r="S1870" s="230">
        <f t="shared" si="205"/>
        <v>960</v>
      </c>
      <c r="T1870" s="230">
        <v>1255</v>
      </c>
      <c r="U1870" s="231">
        <v>60</v>
      </c>
      <c r="V1870" s="230"/>
      <c r="W1870" s="230"/>
      <c r="X1870" s="231"/>
      <c r="Z1870" s="101">
        <v>0.1</v>
      </c>
      <c r="AA1870" s="102">
        <v>0.1</v>
      </c>
    </row>
    <row r="1871" spans="1:27" x14ac:dyDescent="0.2">
      <c r="A1871" s="127" t="s">
        <v>5987</v>
      </c>
      <c r="B1871" s="118" t="e">
        <f t="shared" si="202"/>
        <v>#VALUE!</v>
      </c>
      <c r="C1871" s="118" t="s">
        <v>612</v>
      </c>
      <c r="D1871" s="157">
        <v>42213</v>
      </c>
      <c r="E1871" s="128">
        <v>42248</v>
      </c>
      <c r="F1871" s="84">
        <f t="shared" si="203"/>
        <v>45901</v>
      </c>
      <c r="G1871" s="229">
        <v>160</v>
      </c>
      <c r="H1871" s="118" t="s">
        <v>3146</v>
      </c>
      <c r="I1871" s="125" t="s">
        <v>1703</v>
      </c>
      <c r="J1871" s="122" t="s">
        <v>5988</v>
      </c>
      <c r="K1871" s="55">
        <f t="shared" si="204"/>
        <v>2025</v>
      </c>
      <c r="L1871" s="123"/>
      <c r="M1871" s="123"/>
      <c r="N1871" s="131" t="s">
        <v>5861</v>
      </c>
      <c r="O1871" s="131" t="s">
        <v>5989</v>
      </c>
      <c r="Q1871" s="60" t="s">
        <v>5990</v>
      </c>
      <c r="R1871" s="230">
        <v>715</v>
      </c>
      <c r="S1871" s="230">
        <f t="shared" si="205"/>
        <v>0</v>
      </c>
      <c r="T1871" s="230">
        <v>715</v>
      </c>
      <c r="U1871" s="231">
        <v>240</v>
      </c>
      <c r="V1871" s="230"/>
      <c r="W1871" s="230"/>
      <c r="X1871" s="231"/>
      <c r="Z1871" s="101">
        <v>0.1</v>
      </c>
      <c r="AA1871" s="102">
        <v>0.1</v>
      </c>
    </row>
    <row r="1872" spans="1:27" ht="15" hidden="1" customHeight="1" thickBot="1" x14ac:dyDescent="0.25">
      <c r="A1872" s="64"/>
      <c r="D1872" s="157"/>
      <c r="E1872" s="128"/>
      <c r="F1872" s="84"/>
      <c r="G1872" s="229"/>
      <c r="J1872" s="129"/>
      <c r="K1872" s="129"/>
      <c r="R1872" s="241">
        <f>SUM(R1834:R1871)</f>
        <v>64679.5</v>
      </c>
      <c r="S1872" s="241">
        <f>SUM(S1834:S1871)</f>
        <v>134008</v>
      </c>
      <c r="T1872" s="241">
        <f>SUM(T1834:T1871)</f>
        <v>198687.5</v>
      </c>
      <c r="U1872" s="231"/>
      <c r="V1872" s="230"/>
      <c r="W1872" s="230"/>
      <c r="X1872" s="231"/>
      <c r="Z1872" s="101"/>
      <c r="AA1872" s="102"/>
    </row>
    <row r="1873" spans="1:27" hidden="1" x14ac:dyDescent="0.2">
      <c r="D1873" s="157"/>
      <c r="E1873" s="128"/>
      <c r="F1873" s="84"/>
      <c r="G1873" s="229"/>
      <c r="J1873" s="129"/>
      <c r="K1873" s="129"/>
      <c r="R1873" s="230"/>
      <c r="S1873" s="230"/>
      <c r="T1873" s="230"/>
      <c r="U1873" s="231"/>
      <c r="V1873" s="230"/>
      <c r="W1873" s="230"/>
      <c r="X1873" s="231"/>
      <c r="Z1873" s="101"/>
      <c r="AA1873" s="102"/>
    </row>
    <row r="1874" spans="1:27" x14ac:dyDescent="0.2">
      <c r="A1874" s="127" t="s">
        <v>5991</v>
      </c>
      <c r="B1874" s="118" t="e">
        <f t="shared" ref="B1874:B1891" si="206">IF(COUNTIF(GIS,A1874),"YES","NO")</f>
        <v>#VALUE!</v>
      </c>
      <c r="C1874" s="118" t="s">
        <v>612</v>
      </c>
      <c r="D1874" s="157">
        <v>43354</v>
      </c>
      <c r="E1874" s="128">
        <v>43405</v>
      </c>
      <c r="F1874" s="84">
        <f t="shared" ref="F1874:F1891" si="207">DATE(YEAR(E1874)+10,MONTH(E1874),DAY(E1874))</f>
        <v>47058</v>
      </c>
      <c r="G1874" s="229">
        <v>40.1</v>
      </c>
      <c r="H1874" s="118" t="s">
        <v>5992</v>
      </c>
      <c r="I1874" s="118" t="s">
        <v>5993</v>
      </c>
      <c r="J1874" s="129"/>
      <c r="K1874" s="55">
        <f t="shared" ref="K1874:K1891" si="208">YEAR(F1874)</f>
        <v>2028</v>
      </c>
      <c r="N1874" s="131" t="s">
        <v>5994</v>
      </c>
      <c r="O1874" s="131" t="s">
        <v>5995</v>
      </c>
      <c r="Q1874" s="60" t="s">
        <v>5996</v>
      </c>
      <c r="R1874" s="230">
        <f>160+61.5+82</f>
        <v>303.5</v>
      </c>
      <c r="S1874" s="230">
        <v>1066</v>
      </c>
      <c r="T1874" s="230">
        <f>S1874+R1874</f>
        <v>1369.5</v>
      </c>
      <c r="U1874" s="231">
        <v>61.5</v>
      </c>
      <c r="V1874" s="230"/>
      <c r="W1874" s="230"/>
      <c r="X1874" s="231"/>
      <c r="Z1874" s="101">
        <v>0.1</v>
      </c>
      <c r="AA1874" s="102">
        <v>0.1</v>
      </c>
    </row>
    <row r="1875" spans="1:27" ht="27" customHeight="1" x14ac:dyDescent="0.2">
      <c r="A1875" s="127" t="s">
        <v>5997</v>
      </c>
      <c r="B1875" s="118" t="e">
        <f t="shared" si="206"/>
        <v>#VALUE!</v>
      </c>
      <c r="C1875" s="118" t="s">
        <v>612</v>
      </c>
      <c r="D1875" s="157">
        <v>43354</v>
      </c>
      <c r="E1875" s="128">
        <v>43405</v>
      </c>
      <c r="F1875" s="84">
        <f t="shared" si="207"/>
        <v>47058</v>
      </c>
      <c r="G1875" s="229">
        <v>960.32</v>
      </c>
      <c r="H1875" s="118" t="s">
        <v>5992</v>
      </c>
      <c r="I1875" s="118" t="s">
        <v>5993</v>
      </c>
      <c r="J1875" s="129"/>
      <c r="K1875" s="55">
        <f t="shared" si="208"/>
        <v>2028</v>
      </c>
      <c r="N1875" s="131" t="s">
        <v>5998</v>
      </c>
      <c r="O1875" s="131" t="s">
        <v>5999</v>
      </c>
      <c r="P1875" s="119" t="s">
        <v>6000</v>
      </c>
      <c r="Q1875" s="60" t="s">
        <v>6001</v>
      </c>
      <c r="R1875" s="230">
        <f>160+1441.5+1922</f>
        <v>3523.5</v>
      </c>
      <c r="S1875" s="230">
        <v>3844</v>
      </c>
      <c r="T1875" s="230">
        <f>S1875+R1875</f>
        <v>7367.5</v>
      </c>
      <c r="U1875" s="231">
        <v>1441.5</v>
      </c>
      <c r="V1875" s="230"/>
      <c r="W1875" s="230"/>
      <c r="X1875" s="231"/>
      <c r="Z1875" s="101">
        <v>0.1</v>
      </c>
      <c r="AA1875" s="102">
        <v>0.1</v>
      </c>
    </row>
    <row r="1876" spans="1:27" ht="27" customHeight="1" x14ac:dyDescent="0.2">
      <c r="A1876" s="127" t="s">
        <v>6002</v>
      </c>
      <c r="B1876" s="118" t="e">
        <f t="shared" si="206"/>
        <v>#VALUE!</v>
      </c>
      <c r="C1876" s="118" t="s">
        <v>612</v>
      </c>
      <c r="D1876" s="157">
        <v>43354</v>
      </c>
      <c r="E1876" s="128">
        <v>43405</v>
      </c>
      <c r="F1876" s="84">
        <f t="shared" si="207"/>
        <v>47058</v>
      </c>
      <c r="G1876" s="229">
        <v>800</v>
      </c>
      <c r="H1876" s="118" t="s">
        <v>5992</v>
      </c>
      <c r="I1876" s="118" t="s">
        <v>5993</v>
      </c>
      <c r="J1876" s="129"/>
      <c r="K1876" s="55">
        <f t="shared" si="208"/>
        <v>2028</v>
      </c>
      <c r="N1876" s="131" t="s">
        <v>5998</v>
      </c>
      <c r="O1876" s="131" t="s">
        <v>6003</v>
      </c>
      <c r="P1876" s="119" t="s">
        <v>6004</v>
      </c>
      <c r="Q1876" s="60" t="s">
        <v>6005</v>
      </c>
      <c r="R1876" s="230">
        <f>160+1200+1600</f>
        <v>2960</v>
      </c>
      <c r="S1876" s="230">
        <v>800</v>
      </c>
      <c r="T1876" s="230">
        <f>S1876+R1876</f>
        <v>3760</v>
      </c>
      <c r="U1876" s="231">
        <v>1200</v>
      </c>
      <c r="V1876" s="230"/>
      <c r="W1876" s="230"/>
      <c r="X1876" s="231"/>
      <c r="Z1876" s="101">
        <v>0.1</v>
      </c>
      <c r="AA1876" s="102">
        <v>0.1</v>
      </c>
    </row>
    <row r="1877" spans="1:27" ht="27" customHeight="1" x14ac:dyDescent="0.2">
      <c r="A1877" s="127" t="s">
        <v>6006</v>
      </c>
      <c r="B1877" s="118" t="e">
        <f t="shared" si="206"/>
        <v>#VALUE!</v>
      </c>
      <c r="C1877" s="118" t="s">
        <v>612</v>
      </c>
      <c r="D1877" s="157">
        <v>43354</v>
      </c>
      <c r="E1877" s="128">
        <v>43405</v>
      </c>
      <c r="F1877" s="84">
        <f t="shared" si="207"/>
        <v>47058</v>
      </c>
      <c r="G1877" s="229">
        <v>638.49</v>
      </c>
      <c r="H1877" s="118" t="s">
        <v>5992</v>
      </c>
      <c r="I1877" s="118" t="s">
        <v>5993</v>
      </c>
      <c r="J1877" s="129"/>
      <c r="K1877" s="55">
        <f t="shared" si="208"/>
        <v>2028</v>
      </c>
      <c r="N1877" s="131" t="s">
        <v>5998</v>
      </c>
      <c r="O1877" s="131" t="s">
        <v>6007</v>
      </c>
      <c r="P1877" s="119" t="s">
        <v>6008</v>
      </c>
      <c r="Q1877" s="60" t="s">
        <v>6009</v>
      </c>
      <c r="R1877" s="230">
        <f>160+958.5+1278</f>
        <v>2396.5</v>
      </c>
      <c r="S1877" s="230">
        <v>639</v>
      </c>
      <c r="T1877" s="230">
        <f t="shared" ref="T1877:T1891" si="209">R1877+S1877</f>
        <v>3035.5</v>
      </c>
      <c r="U1877" s="231">
        <v>958.5</v>
      </c>
      <c r="V1877" s="230"/>
      <c r="W1877" s="230"/>
      <c r="X1877" s="231"/>
      <c r="Z1877" s="101">
        <v>0.1</v>
      </c>
      <c r="AA1877" s="102">
        <v>0.1</v>
      </c>
    </row>
    <row r="1878" spans="1:27" ht="27" customHeight="1" x14ac:dyDescent="0.2">
      <c r="A1878" s="127" t="s">
        <v>6010</v>
      </c>
      <c r="B1878" s="118" t="e">
        <f t="shared" si="206"/>
        <v>#VALUE!</v>
      </c>
      <c r="C1878" s="118" t="s">
        <v>612</v>
      </c>
      <c r="D1878" s="157">
        <v>43354</v>
      </c>
      <c r="E1878" s="128">
        <v>43405</v>
      </c>
      <c r="F1878" s="84">
        <f t="shared" si="207"/>
        <v>47058</v>
      </c>
      <c r="G1878" s="229">
        <v>560</v>
      </c>
      <c r="H1878" s="118" t="s">
        <v>5992</v>
      </c>
      <c r="I1878" s="118" t="s">
        <v>5993</v>
      </c>
      <c r="J1878" s="129"/>
      <c r="K1878" s="55">
        <f t="shared" si="208"/>
        <v>2028</v>
      </c>
      <c r="N1878" s="131" t="s">
        <v>5998</v>
      </c>
      <c r="O1878" s="131" t="s">
        <v>6011</v>
      </c>
      <c r="Q1878" s="60" t="s">
        <v>6012</v>
      </c>
      <c r="R1878" s="230">
        <f>160+840+1120</f>
        <v>2120</v>
      </c>
      <c r="S1878" s="230">
        <v>560</v>
      </c>
      <c r="T1878" s="230">
        <f t="shared" si="209"/>
        <v>2680</v>
      </c>
      <c r="U1878" s="231">
        <v>840</v>
      </c>
      <c r="V1878" s="230"/>
      <c r="W1878" s="230"/>
      <c r="X1878" s="231"/>
      <c r="Z1878" s="101">
        <v>0.1</v>
      </c>
      <c r="AA1878" s="102">
        <v>0.1</v>
      </c>
    </row>
    <row r="1879" spans="1:27" x14ac:dyDescent="0.2">
      <c r="A1879" s="127" t="s">
        <v>6013</v>
      </c>
      <c r="B1879" s="118" t="e">
        <f t="shared" si="206"/>
        <v>#VALUE!</v>
      </c>
      <c r="C1879" s="118" t="s">
        <v>612</v>
      </c>
      <c r="D1879" s="157">
        <v>43354</v>
      </c>
      <c r="E1879" s="128">
        <v>43405</v>
      </c>
      <c r="F1879" s="84">
        <f t="shared" si="207"/>
        <v>47058</v>
      </c>
      <c r="G1879" s="229">
        <v>40</v>
      </c>
      <c r="H1879" s="118" t="s">
        <v>5992</v>
      </c>
      <c r="I1879" s="118" t="s">
        <v>5993</v>
      </c>
      <c r="J1879" s="129"/>
      <c r="K1879" s="55">
        <f t="shared" si="208"/>
        <v>2028</v>
      </c>
      <c r="N1879" s="131" t="s">
        <v>5998</v>
      </c>
      <c r="O1879" s="131" t="s">
        <v>6014</v>
      </c>
      <c r="Q1879" s="60" t="s">
        <v>6015</v>
      </c>
      <c r="R1879" s="230">
        <f>160+60+80</f>
        <v>300</v>
      </c>
      <c r="S1879" s="230">
        <v>360</v>
      </c>
      <c r="T1879" s="230">
        <f t="shared" si="209"/>
        <v>660</v>
      </c>
      <c r="U1879" s="231">
        <v>60</v>
      </c>
      <c r="V1879" s="230"/>
      <c r="W1879" s="230"/>
      <c r="X1879" s="231"/>
      <c r="Z1879" s="101">
        <v>0.1</v>
      </c>
      <c r="AA1879" s="102">
        <v>0.1</v>
      </c>
    </row>
    <row r="1880" spans="1:27" x14ac:dyDescent="0.2">
      <c r="A1880" s="127" t="s">
        <v>6016</v>
      </c>
      <c r="B1880" s="118" t="e">
        <f t="shared" si="206"/>
        <v>#VALUE!</v>
      </c>
      <c r="C1880" s="118" t="s">
        <v>612</v>
      </c>
      <c r="D1880" s="157">
        <v>43354</v>
      </c>
      <c r="E1880" s="128">
        <v>43405</v>
      </c>
      <c r="F1880" s="84">
        <f t="shared" si="207"/>
        <v>47058</v>
      </c>
      <c r="G1880" s="229">
        <v>440</v>
      </c>
      <c r="H1880" s="118" t="s">
        <v>5992</v>
      </c>
      <c r="I1880" s="118" t="s">
        <v>5993</v>
      </c>
      <c r="J1880" s="129"/>
      <c r="K1880" s="55">
        <f t="shared" si="208"/>
        <v>2028</v>
      </c>
      <c r="N1880" s="131" t="s">
        <v>6017</v>
      </c>
      <c r="O1880" s="131" t="s">
        <v>6018</v>
      </c>
      <c r="Q1880" s="60" t="s">
        <v>6019</v>
      </c>
      <c r="R1880" s="230">
        <f>160+660+880</f>
        <v>1700</v>
      </c>
      <c r="S1880" s="230">
        <v>5280</v>
      </c>
      <c r="T1880" s="230">
        <f t="shared" si="209"/>
        <v>6980</v>
      </c>
      <c r="U1880" s="231">
        <v>660</v>
      </c>
      <c r="V1880" s="230"/>
      <c r="W1880" s="230"/>
      <c r="X1880" s="231"/>
      <c r="Z1880" s="101">
        <v>0.1</v>
      </c>
      <c r="AA1880" s="102">
        <v>0.1</v>
      </c>
    </row>
    <row r="1881" spans="1:27" ht="27" customHeight="1" x14ac:dyDescent="0.2">
      <c r="A1881" s="127" t="s">
        <v>6020</v>
      </c>
      <c r="B1881" s="118" t="e">
        <f t="shared" si="206"/>
        <v>#VALUE!</v>
      </c>
      <c r="C1881" s="118" t="s">
        <v>612</v>
      </c>
      <c r="D1881" s="157">
        <v>43354</v>
      </c>
      <c r="E1881" s="128">
        <v>43405</v>
      </c>
      <c r="F1881" s="84">
        <f t="shared" si="207"/>
        <v>47058</v>
      </c>
      <c r="G1881" s="229">
        <v>834.84</v>
      </c>
      <c r="H1881" s="118" t="s">
        <v>5992</v>
      </c>
      <c r="I1881" s="118" t="s">
        <v>5993</v>
      </c>
      <c r="J1881" s="129"/>
      <c r="K1881" s="55">
        <f t="shared" si="208"/>
        <v>2028</v>
      </c>
      <c r="N1881" s="131" t="s">
        <v>6017</v>
      </c>
      <c r="O1881" s="131" t="s">
        <v>6021</v>
      </c>
      <c r="Q1881" s="60" t="s">
        <v>6022</v>
      </c>
      <c r="R1881" s="230">
        <f>160+1252.5+1670</f>
        <v>3082.5</v>
      </c>
      <c r="S1881" s="230">
        <v>7515</v>
      </c>
      <c r="T1881" s="230">
        <f t="shared" si="209"/>
        <v>10597.5</v>
      </c>
      <c r="U1881" s="231">
        <v>1252.5</v>
      </c>
      <c r="V1881" s="230"/>
      <c r="W1881" s="230"/>
      <c r="X1881" s="231"/>
      <c r="Z1881" s="101">
        <v>0.1</v>
      </c>
      <c r="AA1881" s="102">
        <v>0.1</v>
      </c>
    </row>
    <row r="1882" spans="1:27" ht="27" customHeight="1" x14ac:dyDescent="0.2">
      <c r="A1882" s="127" t="s">
        <v>6023</v>
      </c>
      <c r="B1882" s="118" t="e">
        <f t="shared" si="206"/>
        <v>#VALUE!</v>
      </c>
      <c r="C1882" s="118" t="s">
        <v>612</v>
      </c>
      <c r="D1882" s="157">
        <v>43354</v>
      </c>
      <c r="E1882" s="128">
        <v>43405</v>
      </c>
      <c r="F1882" s="84">
        <f t="shared" si="207"/>
        <v>47058</v>
      </c>
      <c r="G1882" s="229">
        <v>1076.32</v>
      </c>
      <c r="H1882" s="118" t="s">
        <v>5992</v>
      </c>
      <c r="I1882" s="118" t="s">
        <v>5993</v>
      </c>
      <c r="J1882" s="129"/>
      <c r="K1882" s="55">
        <f t="shared" si="208"/>
        <v>2028</v>
      </c>
      <c r="N1882" s="131" t="s">
        <v>6017</v>
      </c>
      <c r="O1882" s="131" t="s">
        <v>6024</v>
      </c>
      <c r="Q1882" s="60" t="s">
        <v>6025</v>
      </c>
      <c r="R1882" s="230">
        <f>160+1615.5+2154</f>
        <v>3929.5</v>
      </c>
      <c r="S1882" s="230">
        <v>1077</v>
      </c>
      <c r="T1882" s="230">
        <f t="shared" si="209"/>
        <v>5006.5</v>
      </c>
      <c r="U1882" s="231">
        <v>1615.5</v>
      </c>
      <c r="V1882" s="230"/>
      <c r="W1882" s="230"/>
      <c r="X1882" s="231"/>
      <c r="Z1882" s="101">
        <v>0.1</v>
      </c>
      <c r="AA1882" s="102">
        <v>0.1</v>
      </c>
    </row>
    <row r="1883" spans="1:27" ht="27" customHeight="1" x14ac:dyDescent="0.2">
      <c r="A1883" s="127" t="s">
        <v>6026</v>
      </c>
      <c r="B1883" s="118" t="e">
        <f t="shared" si="206"/>
        <v>#VALUE!</v>
      </c>
      <c r="C1883" s="118" t="s">
        <v>612</v>
      </c>
      <c r="D1883" s="157">
        <v>43354</v>
      </c>
      <c r="E1883" s="128">
        <v>43405</v>
      </c>
      <c r="F1883" s="84">
        <f t="shared" si="207"/>
        <v>47058</v>
      </c>
      <c r="G1883" s="229">
        <v>520</v>
      </c>
      <c r="H1883" s="118" t="s">
        <v>5992</v>
      </c>
      <c r="I1883" s="118" t="s">
        <v>5993</v>
      </c>
      <c r="J1883" s="129"/>
      <c r="K1883" s="55">
        <f t="shared" si="208"/>
        <v>2028</v>
      </c>
      <c r="N1883" s="131" t="s">
        <v>6017</v>
      </c>
      <c r="O1883" s="131" t="s">
        <v>6027</v>
      </c>
      <c r="Q1883" s="60" t="s">
        <v>6028</v>
      </c>
      <c r="R1883" s="230">
        <f>160+780+1040</f>
        <v>1980</v>
      </c>
      <c r="S1883" s="230">
        <v>520</v>
      </c>
      <c r="T1883" s="230">
        <f t="shared" si="209"/>
        <v>2500</v>
      </c>
      <c r="U1883" s="231">
        <v>780</v>
      </c>
      <c r="V1883" s="230"/>
      <c r="W1883" s="230"/>
      <c r="X1883" s="231"/>
      <c r="Z1883" s="101">
        <v>0.1</v>
      </c>
      <c r="AA1883" s="102">
        <v>0.1</v>
      </c>
    </row>
    <row r="1884" spans="1:27" ht="27" customHeight="1" x14ac:dyDescent="0.2">
      <c r="A1884" s="127" t="s">
        <v>6029</v>
      </c>
      <c r="B1884" s="118" t="e">
        <f t="shared" si="206"/>
        <v>#VALUE!</v>
      </c>
      <c r="C1884" s="118" t="s">
        <v>612</v>
      </c>
      <c r="D1884" s="157">
        <v>43354</v>
      </c>
      <c r="E1884" s="128">
        <v>43405</v>
      </c>
      <c r="F1884" s="84">
        <f t="shared" si="207"/>
        <v>47058</v>
      </c>
      <c r="G1884" s="229">
        <v>880.16</v>
      </c>
      <c r="H1884" s="118" t="s">
        <v>5992</v>
      </c>
      <c r="I1884" s="118" t="s">
        <v>5993</v>
      </c>
      <c r="J1884" s="129"/>
      <c r="K1884" s="55">
        <f t="shared" si="208"/>
        <v>2028</v>
      </c>
      <c r="N1884" s="131" t="s">
        <v>6030</v>
      </c>
      <c r="O1884" s="131" t="s">
        <v>6031</v>
      </c>
      <c r="Q1884" s="60" t="s">
        <v>6032</v>
      </c>
      <c r="R1884" s="230">
        <f>160+1321.5+1762</f>
        <v>3243.5</v>
      </c>
      <c r="S1884" s="230">
        <v>1762</v>
      </c>
      <c r="T1884" s="230">
        <f t="shared" si="209"/>
        <v>5005.5</v>
      </c>
      <c r="U1884" s="231">
        <v>1321.5</v>
      </c>
      <c r="V1884" s="230"/>
      <c r="W1884" s="230"/>
      <c r="X1884" s="231"/>
      <c r="Z1884" s="101">
        <v>0.1</v>
      </c>
      <c r="AA1884" s="102">
        <v>0.1</v>
      </c>
    </row>
    <row r="1885" spans="1:27" x14ac:dyDescent="0.2">
      <c r="A1885" s="127" t="s">
        <v>6033</v>
      </c>
      <c r="B1885" s="118" t="e">
        <f t="shared" si="206"/>
        <v>#VALUE!</v>
      </c>
      <c r="C1885" s="118" t="s">
        <v>612</v>
      </c>
      <c r="D1885" s="157">
        <v>43354</v>
      </c>
      <c r="E1885" s="128">
        <v>43405</v>
      </c>
      <c r="F1885" s="84">
        <f t="shared" si="207"/>
        <v>47058</v>
      </c>
      <c r="G1885" s="229">
        <v>440</v>
      </c>
      <c r="H1885" s="118" t="s">
        <v>5992</v>
      </c>
      <c r="I1885" s="118" t="s">
        <v>5993</v>
      </c>
      <c r="J1885" s="129"/>
      <c r="K1885" s="55">
        <f t="shared" si="208"/>
        <v>2028</v>
      </c>
      <c r="N1885" s="131" t="s">
        <v>6034</v>
      </c>
      <c r="O1885" s="131" t="s">
        <v>6035</v>
      </c>
      <c r="Q1885" s="60" t="s">
        <v>6036</v>
      </c>
      <c r="R1885" s="230">
        <f>160+660+880</f>
        <v>1700</v>
      </c>
      <c r="S1885" s="230">
        <v>1320</v>
      </c>
      <c r="T1885" s="230">
        <f t="shared" si="209"/>
        <v>3020</v>
      </c>
      <c r="U1885" s="231">
        <v>660</v>
      </c>
      <c r="V1885" s="230"/>
      <c r="W1885" s="230"/>
      <c r="X1885" s="231"/>
      <c r="Z1885" s="101">
        <v>0.1</v>
      </c>
      <c r="AA1885" s="102">
        <v>0.1</v>
      </c>
    </row>
    <row r="1886" spans="1:27" x14ac:dyDescent="0.2">
      <c r="A1886" s="127" t="s">
        <v>6037</v>
      </c>
      <c r="B1886" s="118" t="e">
        <f t="shared" si="206"/>
        <v>#VALUE!</v>
      </c>
      <c r="C1886" s="118" t="s">
        <v>612</v>
      </c>
      <c r="D1886" s="157">
        <v>43354</v>
      </c>
      <c r="E1886" s="128">
        <v>43405</v>
      </c>
      <c r="F1886" s="84">
        <f t="shared" si="207"/>
        <v>47058</v>
      </c>
      <c r="G1886" s="229">
        <v>720</v>
      </c>
      <c r="H1886" s="118" t="s">
        <v>5992</v>
      </c>
      <c r="I1886" s="118" t="s">
        <v>5993</v>
      </c>
      <c r="J1886" s="129"/>
      <c r="K1886" s="55">
        <f t="shared" si="208"/>
        <v>2028</v>
      </c>
      <c r="N1886" s="131" t="s">
        <v>6034</v>
      </c>
      <c r="O1886" s="131" t="s">
        <v>6038</v>
      </c>
      <c r="Q1886" s="60" t="s">
        <v>6039</v>
      </c>
      <c r="R1886" s="230">
        <f>160+1080+1440</f>
        <v>2680</v>
      </c>
      <c r="S1886" s="230">
        <v>720</v>
      </c>
      <c r="T1886" s="230">
        <f t="shared" si="209"/>
        <v>3400</v>
      </c>
      <c r="U1886" s="231">
        <v>1080</v>
      </c>
      <c r="V1886" s="230"/>
      <c r="W1886" s="230"/>
      <c r="X1886" s="231"/>
      <c r="Z1886" s="101">
        <v>0.1</v>
      </c>
      <c r="AA1886" s="102">
        <v>0.1</v>
      </c>
    </row>
    <row r="1887" spans="1:27" x14ac:dyDescent="0.2">
      <c r="A1887" s="127" t="s">
        <v>6040</v>
      </c>
      <c r="B1887" s="118" t="e">
        <f t="shared" si="206"/>
        <v>#VALUE!</v>
      </c>
      <c r="C1887" s="118" t="s">
        <v>612</v>
      </c>
      <c r="D1887" s="157">
        <v>43354</v>
      </c>
      <c r="E1887" s="128">
        <v>43405</v>
      </c>
      <c r="F1887" s="84">
        <f t="shared" si="207"/>
        <v>47058</v>
      </c>
      <c r="G1887" s="229">
        <v>160</v>
      </c>
      <c r="H1887" s="118" t="s">
        <v>5992</v>
      </c>
      <c r="I1887" s="118" t="s">
        <v>5993</v>
      </c>
      <c r="J1887" s="129"/>
      <c r="K1887" s="55">
        <f t="shared" si="208"/>
        <v>2028</v>
      </c>
      <c r="N1887" s="131" t="s">
        <v>6041</v>
      </c>
      <c r="O1887" s="131" t="s">
        <v>6042</v>
      </c>
      <c r="Q1887" s="60" t="s">
        <v>6043</v>
      </c>
      <c r="R1887" s="230">
        <f>160+240+320</f>
        <v>720</v>
      </c>
      <c r="S1887" s="230">
        <v>640</v>
      </c>
      <c r="T1887" s="230">
        <f t="shared" si="209"/>
        <v>1360</v>
      </c>
      <c r="U1887" s="231">
        <v>240</v>
      </c>
      <c r="V1887" s="230"/>
      <c r="W1887" s="230"/>
      <c r="X1887" s="231"/>
      <c r="Z1887" s="101">
        <v>0.1</v>
      </c>
      <c r="AA1887" s="102">
        <v>0.1</v>
      </c>
    </row>
    <row r="1888" spans="1:27" x14ac:dyDescent="0.2">
      <c r="A1888" s="127" t="s">
        <v>6044</v>
      </c>
      <c r="B1888" s="118" t="e">
        <f t="shared" si="206"/>
        <v>#VALUE!</v>
      </c>
      <c r="C1888" s="118" t="s">
        <v>612</v>
      </c>
      <c r="D1888" s="157">
        <v>43354</v>
      </c>
      <c r="E1888" s="128">
        <v>43405</v>
      </c>
      <c r="F1888" s="84">
        <f t="shared" si="207"/>
        <v>47058</v>
      </c>
      <c r="G1888" s="229">
        <v>320</v>
      </c>
      <c r="H1888" s="118" t="s">
        <v>5992</v>
      </c>
      <c r="I1888" s="118" t="s">
        <v>5993</v>
      </c>
      <c r="J1888" s="129"/>
      <c r="K1888" s="55">
        <f t="shared" si="208"/>
        <v>2028</v>
      </c>
      <c r="N1888" s="131" t="s">
        <v>6045</v>
      </c>
      <c r="O1888" s="131" t="s">
        <v>6046</v>
      </c>
      <c r="Q1888" s="60" t="s">
        <v>6047</v>
      </c>
      <c r="R1888" s="230">
        <f>160+480+640</f>
        <v>1280</v>
      </c>
      <c r="S1888" s="230">
        <v>27840</v>
      </c>
      <c r="T1888" s="230">
        <f t="shared" si="209"/>
        <v>29120</v>
      </c>
      <c r="U1888" s="231">
        <v>480</v>
      </c>
      <c r="V1888" s="230"/>
      <c r="W1888" s="230"/>
      <c r="X1888" s="231"/>
      <c r="Z1888" s="101">
        <v>0.1</v>
      </c>
      <c r="AA1888" s="102">
        <v>0.1</v>
      </c>
    </row>
    <row r="1889" spans="1:27" x14ac:dyDescent="0.2">
      <c r="A1889" s="127" t="s">
        <v>6048</v>
      </c>
      <c r="B1889" s="118" t="e">
        <f t="shared" si="206"/>
        <v>#VALUE!</v>
      </c>
      <c r="C1889" s="118" t="s">
        <v>612</v>
      </c>
      <c r="D1889" s="157">
        <v>43354</v>
      </c>
      <c r="E1889" s="128">
        <v>43405</v>
      </c>
      <c r="F1889" s="84">
        <f t="shared" si="207"/>
        <v>47058</v>
      </c>
      <c r="G1889" s="229">
        <v>880</v>
      </c>
      <c r="H1889" s="118" t="s">
        <v>6049</v>
      </c>
      <c r="I1889" s="118" t="s">
        <v>6050</v>
      </c>
      <c r="J1889" s="129"/>
      <c r="K1889" s="55">
        <f t="shared" si="208"/>
        <v>2028</v>
      </c>
      <c r="N1889" s="131" t="s">
        <v>6051</v>
      </c>
      <c r="O1889" s="131" t="s">
        <v>6052</v>
      </c>
      <c r="Q1889" s="60" t="s">
        <v>6053</v>
      </c>
      <c r="R1889" s="230">
        <f>160+1320+1760</f>
        <v>3240</v>
      </c>
      <c r="S1889" s="230">
        <v>1760</v>
      </c>
      <c r="T1889" s="230">
        <f t="shared" si="209"/>
        <v>5000</v>
      </c>
      <c r="U1889" s="231">
        <v>1320</v>
      </c>
      <c r="V1889" s="230"/>
      <c r="W1889" s="230"/>
      <c r="X1889" s="231"/>
      <c r="Z1889" s="101">
        <v>0.1</v>
      </c>
      <c r="AA1889" s="102">
        <v>0.1</v>
      </c>
    </row>
    <row r="1890" spans="1:27" ht="27" customHeight="1" x14ac:dyDescent="0.2">
      <c r="A1890" s="127" t="s">
        <v>6054</v>
      </c>
      <c r="B1890" s="118" t="e">
        <f t="shared" si="206"/>
        <v>#VALUE!</v>
      </c>
      <c r="C1890" s="118" t="s">
        <v>612</v>
      </c>
      <c r="D1890" s="157">
        <v>43354</v>
      </c>
      <c r="E1890" s="128">
        <v>43405</v>
      </c>
      <c r="F1890" s="84">
        <f t="shared" si="207"/>
        <v>47058</v>
      </c>
      <c r="G1890" s="229">
        <v>720</v>
      </c>
      <c r="H1890" s="118" t="s">
        <v>6049</v>
      </c>
      <c r="I1890" s="118" t="s">
        <v>6050</v>
      </c>
      <c r="J1890" s="129"/>
      <c r="K1890" s="55">
        <f t="shared" si="208"/>
        <v>2028</v>
      </c>
      <c r="N1890" s="131" t="s">
        <v>6055</v>
      </c>
      <c r="O1890" s="131" t="s">
        <v>6056</v>
      </c>
      <c r="Q1890" s="60" t="s">
        <v>6057</v>
      </c>
      <c r="R1890" s="230">
        <f>160+1080+1440</f>
        <v>2680</v>
      </c>
      <c r="S1890" s="230">
        <v>1440</v>
      </c>
      <c r="T1890" s="230">
        <f t="shared" si="209"/>
        <v>4120</v>
      </c>
      <c r="U1890" s="231">
        <v>1080</v>
      </c>
      <c r="V1890" s="230"/>
      <c r="W1890" s="230"/>
      <c r="X1890" s="231"/>
      <c r="Z1890" s="101">
        <v>0.1</v>
      </c>
      <c r="AA1890" s="102">
        <v>0.1</v>
      </c>
    </row>
    <row r="1891" spans="1:27" x14ac:dyDescent="0.2">
      <c r="A1891" s="127" t="s">
        <v>6058</v>
      </c>
      <c r="B1891" s="118" t="e">
        <f t="shared" si="206"/>
        <v>#VALUE!</v>
      </c>
      <c r="C1891" s="118" t="s">
        <v>612</v>
      </c>
      <c r="D1891" s="157">
        <v>43354</v>
      </c>
      <c r="E1891" s="128">
        <v>43405</v>
      </c>
      <c r="F1891" s="84">
        <f t="shared" si="207"/>
        <v>47058</v>
      </c>
      <c r="G1891" s="229">
        <v>200</v>
      </c>
      <c r="H1891" s="118" t="s">
        <v>6049</v>
      </c>
      <c r="I1891" s="118" t="s">
        <v>6050</v>
      </c>
      <c r="J1891" s="129"/>
      <c r="K1891" s="55">
        <f t="shared" si="208"/>
        <v>2028</v>
      </c>
      <c r="N1891" s="131" t="s">
        <v>6055</v>
      </c>
      <c r="O1891" s="131" t="s">
        <v>6059</v>
      </c>
      <c r="Q1891" s="60" t="s">
        <v>6060</v>
      </c>
      <c r="R1891" s="230">
        <f>160+300+400</f>
        <v>860</v>
      </c>
      <c r="S1891" s="230">
        <v>1800</v>
      </c>
      <c r="T1891" s="230">
        <f t="shared" si="209"/>
        <v>2660</v>
      </c>
      <c r="U1891" s="231">
        <v>300</v>
      </c>
      <c r="V1891" s="230"/>
      <c r="W1891" s="230"/>
      <c r="X1891" s="231"/>
      <c r="Z1891" s="101">
        <v>0.1</v>
      </c>
      <c r="AA1891" s="102">
        <v>0.1</v>
      </c>
    </row>
    <row r="1892" spans="1:27" ht="15" hidden="1" customHeight="1" thickBot="1" x14ac:dyDescent="0.25">
      <c r="F1892" s="84"/>
      <c r="G1892" s="229"/>
      <c r="J1892" s="129"/>
      <c r="K1892" s="129"/>
      <c r="R1892" s="241">
        <f>SUM(R1874:R1891)</f>
        <v>38699</v>
      </c>
      <c r="S1892" s="241">
        <f>SUM(S1874:S1891)</f>
        <v>58943</v>
      </c>
      <c r="T1892" s="241">
        <f>SUM(T1874:T1891)</f>
        <v>97642</v>
      </c>
      <c r="U1892" s="231"/>
      <c r="V1892" s="230"/>
      <c r="W1892" s="230"/>
      <c r="X1892" s="231"/>
      <c r="Z1892" s="101"/>
      <c r="AA1892" s="102"/>
    </row>
    <row r="1893" spans="1:27" hidden="1" x14ac:dyDescent="0.2">
      <c r="F1893" s="84"/>
      <c r="G1893" s="229"/>
      <c r="J1893" s="129"/>
      <c r="K1893" s="129"/>
      <c r="R1893" s="230"/>
      <c r="S1893" s="230"/>
      <c r="T1893" s="230"/>
      <c r="U1893" s="231"/>
      <c r="V1893" s="230"/>
      <c r="W1893" s="230"/>
      <c r="X1893" s="231"/>
      <c r="Z1893" s="101"/>
      <c r="AA1893" s="102"/>
    </row>
    <row r="1894" spans="1:27" x14ac:dyDescent="0.2">
      <c r="A1894" s="127" t="s">
        <v>6061</v>
      </c>
      <c r="B1894" s="118" t="e">
        <f t="shared" ref="B1894:B1909" si="210">IF(COUNTIF(GIS,A1894),"YES","NO")</f>
        <v>#VALUE!</v>
      </c>
      <c r="C1894" s="118" t="s">
        <v>612</v>
      </c>
      <c r="D1894" s="157">
        <v>43363</v>
      </c>
      <c r="E1894" s="128">
        <v>43374</v>
      </c>
      <c r="F1894" s="84">
        <f t="shared" ref="F1894:F1909" si="211">DATE(YEAR(E1894)+10,MONTH(E1894),DAY(E1894))</f>
        <v>47027</v>
      </c>
      <c r="G1894" s="229">
        <v>80</v>
      </c>
      <c r="H1894" s="118" t="s">
        <v>1005</v>
      </c>
      <c r="I1894" s="118" t="s">
        <v>676</v>
      </c>
      <c r="J1894" s="129"/>
      <c r="K1894" s="55">
        <f t="shared" ref="K1894:K1909" si="212">YEAR(F1894)</f>
        <v>2028</v>
      </c>
      <c r="N1894" s="131" t="s">
        <v>6062</v>
      </c>
      <c r="O1894" s="131" t="s">
        <v>6063</v>
      </c>
      <c r="Q1894" s="60" t="s">
        <v>6064</v>
      </c>
      <c r="R1894" s="230">
        <f>160+160+120</f>
        <v>440</v>
      </c>
      <c r="S1894" s="230">
        <f t="shared" ref="S1894:S1909" si="213">T1894-R1894</f>
        <v>0</v>
      </c>
      <c r="T1894" s="230">
        <v>440</v>
      </c>
      <c r="U1894" s="231">
        <v>120</v>
      </c>
      <c r="V1894" s="230"/>
      <c r="W1894" s="230"/>
      <c r="X1894" s="231"/>
      <c r="Z1894" s="101">
        <v>0.1</v>
      </c>
      <c r="AA1894" s="102">
        <v>0.1</v>
      </c>
    </row>
    <row r="1895" spans="1:27" x14ac:dyDescent="0.2">
      <c r="A1895" s="127" t="s">
        <v>6065</v>
      </c>
      <c r="B1895" s="118" t="e">
        <f t="shared" si="210"/>
        <v>#VALUE!</v>
      </c>
      <c r="C1895" s="118" t="s">
        <v>612</v>
      </c>
      <c r="D1895" s="157">
        <v>43363</v>
      </c>
      <c r="E1895" s="128">
        <v>43374</v>
      </c>
      <c r="F1895" s="84">
        <f t="shared" si="211"/>
        <v>47027</v>
      </c>
      <c r="G1895" s="229">
        <v>40</v>
      </c>
      <c r="H1895" s="118" t="s">
        <v>6066</v>
      </c>
      <c r="I1895" s="118" t="s">
        <v>676</v>
      </c>
      <c r="J1895" s="129"/>
      <c r="K1895" s="55">
        <f t="shared" si="212"/>
        <v>2028</v>
      </c>
      <c r="N1895" s="131" t="s">
        <v>6067</v>
      </c>
      <c r="O1895" s="131" t="s">
        <v>6068</v>
      </c>
      <c r="Q1895" s="60" t="s">
        <v>6069</v>
      </c>
      <c r="R1895" s="230">
        <f>80+160+60</f>
        <v>300</v>
      </c>
      <c r="S1895" s="230">
        <f t="shared" si="213"/>
        <v>0</v>
      </c>
      <c r="T1895" s="230">
        <v>300</v>
      </c>
      <c r="U1895" s="231">
        <v>60</v>
      </c>
      <c r="V1895" s="230"/>
      <c r="W1895" s="230"/>
      <c r="X1895" s="231"/>
      <c r="Z1895" s="101">
        <v>0.1</v>
      </c>
      <c r="AA1895" s="102">
        <v>0.1</v>
      </c>
    </row>
    <row r="1896" spans="1:27" x14ac:dyDescent="0.2">
      <c r="A1896" s="127" t="s">
        <v>6070</v>
      </c>
      <c r="B1896" s="118" t="e">
        <f t="shared" si="210"/>
        <v>#VALUE!</v>
      </c>
      <c r="C1896" s="118" t="s">
        <v>612</v>
      </c>
      <c r="D1896" s="157">
        <v>43363</v>
      </c>
      <c r="E1896" s="128">
        <v>43374</v>
      </c>
      <c r="F1896" s="84">
        <f t="shared" si="211"/>
        <v>47027</v>
      </c>
      <c r="G1896" s="229">
        <v>40</v>
      </c>
      <c r="H1896" s="118" t="s">
        <v>6066</v>
      </c>
      <c r="I1896" s="118" t="s">
        <v>676</v>
      </c>
      <c r="J1896" s="129"/>
      <c r="K1896" s="55">
        <f t="shared" si="212"/>
        <v>2028</v>
      </c>
      <c r="N1896" s="131" t="s">
        <v>6067</v>
      </c>
      <c r="O1896" s="131" t="s">
        <v>6071</v>
      </c>
      <c r="Q1896" s="60" t="s">
        <v>6072</v>
      </c>
      <c r="R1896" s="230">
        <f>80+160+60</f>
        <v>300</v>
      </c>
      <c r="S1896" s="230">
        <f t="shared" si="213"/>
        <v>0</v>
      </c>
      <c r="T1896" s="230">
        <v>300</v>
      </c>
      <c r="U1896" s="231">
        <v>60</v>
      </c>
      <c r="V1896" s="230"/>
      <c r="W1896" s="230"/>
      <c r="X1896" s="231"/>
      <c r="Z1896" s="101">
        <v>0.1</v>
      </c>
      <c r="AA1896" s="102">
        <v>0.1</v>
      </c>
    </row>
    <row r="1897" spans="1:27" x14ac:dyDescent="0.2">
      <c r="A1897" s="127" t="s">
        <v>6073</v>
      </c>
      <c r="B1897" s="118" t="e">
        <f t="shared" si="210"/>
        <v>#VALUE!</v>
      </c>
      <c r="C1897" s="118" t="s">
        <v>612</v>
      </c>
      <c r="D1897" s="157">
        <v>43363</v>
      </c>
      <c r="E1897" s="128">
        <v>43374</v>
      </c>
      <c r="F1897" s="84">
        <f t="shared" si="211"/>
        <v>47027</v>
      </c>
      <c r="G1897" s="229">
        <v>40</v>
      </c>
      <c r="H1897" s="118" t="s">
        <v>6066</v>
      </c>
      <c r="I1897" s="118" t="s">
        <v>676</v>
      </c>
      <c r="J1897" s="129"/>
      <c r="K1897" s="55">
        <f t="shared" si="212"/>
        <v>2028</v>
      </c>
      <c r="N1897" s="131" t="s">
        <v>6067</v>
      </c>
      <c r="O1897" s="131" t="s">
        <v>6074</v>
      </c>
      <c r="Q1897" s="60" t="s">
        <v>6075</v>
      </c>
      <c r="R1897" s="230">
        <f>80+160+60</f>
        <v>300</v>
      </c>
      <c r="S1897" s="230">
        <f t="shared" si="213"/>
        <v>0</v>
      </c>
      <c r="T1897" s="230">
        <v>300</v>
      </c>
      <c r="U1897" s="231">
        <v>60</v>
      </c>
      <c r="V1897" s="230"/>
      <c r="W1897" s="230"/>
      <c r="X1897" s="231"/>
      <c r="Z1897" s="101">
        <v>0.1</v>
      </c>
      <c r="AA1897" s="102">
        <v>0.1</v>
      </c>
    </row>
    <row r="1898" spans="1:27" x14ac:dyDescent="0.2">
      <c r="A1898" s="127" t="s">
        <v>6076</v>
      </c>
      <c r="B1898" s="118" t="e">
        <f t="shared" si="210"/>
        <v>#VALUE!</v>
      </c>
      <c r="C1898" s="118" t="s">
        <v>612</v>
      </c>
      <c r="D1898" s="157">
        <v>43363</v>
      </c>
      <c r="E1898" s="128">
        <v>43374</v>
      </c>
      <c r="F1898" s="84">
        <f t="shared" si="211"/>
        <v>47027</v>
      </c>
      <c r="G1898" s="229">
        <v>40</v>
      </c>
      <c r="H1898" s="118" t="s">
        <v>6066</v>
      </c>
      <c r="I1898" s="118" t="s">
        <v>676</v>
      </c>
      <c r="J1898" s="129"/>
      <c r="K1898" s="55">
        <f t="shared" si="212"/>
        <v>2028</v>
      </c>
      <c r="N1898" s="131" t="s">
        <v>6067</v>
      </c>
      <c r="O1898" s="131" t="s">
        <v>6077</v>
      </c>
      <c r="Q1898" s="60" t="s">
        <v>6078</v>
      </c>
      <c r="R1898" s="230">
        <f>80+160+60</f>
        <v>300</v>
      </c>
      <c r="S1898" s="230">
        <f t="shared" si="213"/>
        <v>0</v>
      </c>
      <c r="T1898" s="230">
        <v>300</v>
      </c>
      <c r="U1898" s="231">
        <v>60</v>
      </c>
      <c r="V1898" s="230"/>
      <c r="W1898" s="230"/>
      <c r="X1898" s="231"/>
      <c r="Z1898" s="101">
        <v>0.1</v>
      </c>
      <c r="AA1898" s="102">
        <v>0.1</v>
      </c>
    </row>
    <row r="1899" spans="1:27" x14ac:dyDescent="0.2">
      <c r="A1899" s="127" t="s">
        <v>6079</v>
      </c>
      <c r="B1899" s="118" t="e">
        <f t="shared" si="210"/>
        <v>#VALUE!</v>
      </c>
      <c r="C1899" s="118" t="s">
        <v>612</v>
      </c>
      <c r="D1899" s="157">
        <v>43363</v>
      </c>
      <c r="E1899" s="128">
        <v>43374</v>
      </c>
      <c r="F1899" s="84">
        <f t="shared" si="211"/>
        <v>47027</v>
      </c>
      <c r="G1899" s="229">
        <v>20</v>
      </c>
      <c r="H1899" s="118" t="s">
        <v>6066</v>
      </c>
      <c r="I1899" s="118" t="s">
        <v>676</v>
      </c>
      <c r="J1899" s="129"/>
      <c r="K1899" s="55">
        <f t="shared" si="212"/>
        <v>2028</v>
      </c>
      <c r="N1899" s="131" t="s">
        <v>6080</v>
      </c>
      <c r="O1899" s="131" t="s">
        <v>6081</v>
      </c>
      <c r="Q1899" s="60" t="s">
        <v>6082</v>
      </c>
      <c r="R1899" s="230">
        <f>40+160+30</f>
        <v>230</v>
      </c>
      <c r="S1899" s="230">
        <f t="shared" si="213"/>
        <v>0</v>
      </c>
      <c r="T1899" s="230">
        <v>230</v>
      </c>
      <c r="U1899" s="231">
        <v>30</v>
      </c>
      <c r="V1899" s="230"/>
      <c r="W1899" s="230"/>
      <c r="X1899" s="231"/>
      <c r="Z1899" s="101">
        <v>0.1</v>
      </c>
      <c r="AA1899" s="102">
        <v>0.1</v>
      </c>
    </row>
    <row r="1900" spans="1:27" x14ac:dyDescent="0.2">
      <c r="A1900" s="127" t="s">
        <v>6083</v>
      </c>
      <c r="B1900" s="118" t="e">
        <f t="shared" si="210"/>
        <v>#VALUE!</v>
      </c>
      <c r="C1900" s="118" t="s">
        <v>612</v>
      </c>
      <c r="D1900" s="157">
        <v>43363</v>
      </c>
      <c r="E1900" s="128">
        <v>43374</v>
      </c>
      <c r="F1900" s="84">
        <f t="shared" si="211"/>
        <v>47027</v>
      </c>
      <c r="G1900" s="229">
        <v>13.2</v>
      </c>
      <c r="H1900" s="118" t="s">
        <v>6066</v>
      </c>
      <c r="I1900" s="118" t="s">
        <v>676</v>
      </c>
      <c r="J1900" s="129"/>
      <c r="K1900" s="55">
        <f t="shared" si="212"/>
        <v>2028</v>
      </c>
      <c r="N1900" s="131" t="s">
        <v>6084</v>
      </c>
      <c r="O1900" s="131" t="s">
        <v>6085</v>
      </c>
      <c r="Q1900" s="60" t="s">
        <v>6086</v>
      </c>
      <c r="R1900" s="230">
        <f>28+160+21</f>
        <v>209</v>
      </c>
      <c r="S1900" s="230">
        <f t="shared" si="213"/>
        <v>0</v>
      </c>
      <c r="T1900" s="230">
        <v>209</v>
      </c>
      <c r="U1900" s="231">
        <v>21</v>
      </c>
      <c r="V1900" s="230"/>
      <c r="W1900" s="230"/>
      <c r="X1900" s="231"/>
      <c r="Z1900" s="101">
        <v>0.1</v>
      </c>
      <c r="AA1900" s="102">
        <v>0.1</v>
      </c>
    </row>
    <row r="1901" spans="1:27" x14ac:dyDescent="0.2">
      <c r="A1901" s="127" t="s">
        <v>6087</v>
      </c>
      <c r="B1901" s="118" t="e">
        <f t="shared" si="210"/>
        <v>#VALUE!</v>
      </c>
      <c r="C1901" s="118" t="s">
        <v>612</v>
      </c>
      <c r="D1901" s="157">
        <v>43363</v>
      </c>
      <c r="E1901" s="128">
        <v>43374</v>
      </c>
      <c r="F1901" s="84">
        <f t="shared" si="211"/>
        <v>47027</v>
      </c>
      <c r="G1901" s="229">
        <v>80</v>
      </c>
      <c r="H1901" s="118" t="s">
        <v>6066</v>
      </c>
      <c r="I1901" s="118" t="s">
        <v>676</v>
      </c>
      <c r="J1901" s="129"/>
      <c r="K1901" s="55">
        <f t="shared" si="212"/>
        <v>2028</v>
      </c>
      <c r="N1901" s="131" t="s">
        <v>6084</v>
      </c>
      <c r="O1901" s="131" t="s">
        <v>6088</v>
      </c>
      <c r="Q1901" s="60" t="s">
        <v>6089</v>
      </c>
      <c r="R1901" s="230">
        <f>160+160+120</f>
        <v>440</v>
      </c>
      <c r="S1901" s="230">
        <f t="shared" si="213"/>
        <v>0</v>
      </c>
      <c r="T1901" s="230">
        <v>440</v>
      </c>
      <c r="U1901" s="231">
        <v>120</v>
      </c>
      <c r="V1901" s="230"/>
      <c r="W1901" s="230"/>
      <c r="X1901" s="231"/>
      <c r="Z1901" s="101">
        <v>0.1</v>
      </c>
      <c r="AA1901" s="102">
        <v>0.1</v>
      </c>
    </row>
    <row r="1902" spans="1:27" x14ac:dyDescent="0.2">
      <c r="A1902" s="127" t="s">
        <v>6090</v>
      </c>
      <c r="B1902" s="118" t="e">
        <f t="shared" si="210"/>
        <v>#VALUE!</v>
      </c>
      <c r="C1902" s="118" t="s">
        <v>612</v>
      </c>
      <c r="D1902" s="157">
        <v>43363</v>
      </c>
      <c r="E1902" s="128">
        <v>43374</v>
      </c>
      <c r="F1902" s="84">
        <f t="shared" si="211"/>
        <v>47027</v>
      </c>
      <c r="G1902" s="229">
        <v>120</v>
      </c>
      <c r="H1902" s="118" t="s">
        <v>2340</v>
      </c>
      <c r="I1902" s="118" t="s">
        <v>1703</v>
      </c>
      <c r="J1902" s="129"/>
      <c r="K1902" s="55">
        <f t="shared" si="212"/>
        <v>2028</v>
      </c>
      <c r="N1902" s="131" t="s">
        <v>6091</v>
      </c>
      <c r="O1902" s="131" t="s">
        <v>6092</v>
      </c>
      <c r="Q1902" s="60" t="s">
        <v>6093</v>
      </c>
      <c r="R1902" s="230">
        <f>240+160+180</f>
        <v>580</v>
      </c>
      <c r="S1902" s="230">
        <f t="shared" si="213"/>
        <v>0</v>
      </c>
      <c r="T1902" s="230">
        <v>580</v>
      </c>
      <c r="U1902" s="231">
        <v>180</v>
      </c>
      <c r="V1902" s="230"/>
      <c r="W1902" s="230"/>
      <c r="X1902" s="231"/>
      <c r="Z1902" s="101">
        <v>0.1</v>
      </c>
      <c r="AA1902" s="102">
        <v>0.1</v>
      </c>
    </row>
    <row r="1903" spans="1:27" ht="27" customHeight="1" x14ac:dyDescent="0.2">
      <c r="A1903" s="127" t="s">
        <v>6094</v>
      </c>
      <c r="B1903" s="118" t="e">
        <f t="shared" si="210"/>
        <v>#VALUE!</v>
      </c>
      <c r="C1903" s="118" t="s">
        <v>612</v>
      </c>
      <c r="D1903" s="157">
        <v>43363</v>
      </c>
      <c r="E1903" s="128">
        <v>43374</v>
      </c>
      <c r="F1903" s="84">
        <f t="shared" si="211"/>
        <v>47027</v>
      </c>
      <c r="G1903" s="229">
        <v>1006.86</v>
      </c>
      <c r="H1903" s="118" t="s">
        <v>2340</v>
      </c>
      <c r="I1903" s="118" t="s">
        <v>1703</v>
      </c>
      <c r="J1903" s="129"/>
      <c r="K1903" s="55">
        <f t="shared" si="212"/>
        <v>2028</v>
      </c>
      <c r="N1903" s="131" t="s">
        <v>6091</v>
      </c>
      <c r="O1903" s="131" t="s">
        <v>6095</v>
      </c>
      <c r="Q1903" s="60" t="s">
        <v>6096</v>
      </c>
      <c r="R1903" s="230">
        <f>2014+160+1510.5</f>
        <v>3684.5</v>
      </c>
      <c r="S1903" s="230">
        <f t="shared" si="213"/>
        <v>0</v>
      </c>
      <c r="T1903" s="230">
        <v>3684.5</v>
      </c>
      <c r="U1903" s="231">
        <v>1510.5</v>
      </c>
      <c r="V1903" s="230"/>
      <c r="W1903" s="230"/>
      <c r="X1903" s="231"/>
      <c r="Z1903" s="101">
        <v>0.1</v>
      </c>
      <c r="AA1903" s="102">
        <v>0.1</v>
      </c>
    </row>
    <row r="1904" spans="1:27" x14ac:dyDescent="0.2">
      <c r="A1904" s="127" t="s">
        <v>6097</v>
      </c>
      <c r="B1904" s="118" t="e">
        <f t="shared" si="210"/>
        <v>#VALUE!</v>
      </c>
      <c r="C1904" s="118" t="s">
        <v>612</v>
      </c>
      <c r="D1904" s="157">
        <v>43363</v>
      </c>
      <c r="E1904" s="128">
        <v>43374</v>
      </c>
      <c r="F1904" s="84">
        <f t="shared" si="211"/>
        <v>47027</v>
      </c>
      <c r="G1904" s="229">
        <v>100</v>
      </c>
      <c r="H1904" s="118" t="s">
        <v>2340</v>
      </c>
      <c r="I1904" s="118" t="s">
        <v>1703</v>
      </c>
      <c r="J1904" s="129"/>
      <c r="K1904" s="55">
        <f t="shared" si="212"/>
        <v>2028</v>
      </c>
      <c r="N1904" s="131" t="s">
        <v>6091</v>
      </c>
      <c r="O1904" s="131" t="s">
        <v>6098</v>
      </c>
      <c r="Q1904" s="60" t="s">
        <v>6099</v>
      </c>
      <c r="R1904" s="230">
        <f>200+160+150</f>
        <v>510</v>
      </c>
      <c r="S1904" s="230">
        <f t="shared" si="213"/>
        <v>0</v>
      </c>
      <c r="T1904" s="230">
        <v>510</v>
      </c>
      <c r="U1904" s="231">
        <v>150</v>
      </c>
      <c r="V1904" s="230"/>
      <c r="W1904" s="230"/>
      <c r="X1904" s="231"/>
      <c r="Z1904" s="101">
        <v>0.1</v>
      </c>
      <c r="AA1904" s="102">
        <v>0.1</v>
      </c>
    </row>
    <row r="1905" spans="1:27" ht="27" customHeight="1" x14ac:dyDescent="0.2">
      <c r="A1905" s="127" t="s">
        <v>6100</v>
      </c>
      <c r="B1905" s="118" t="e">
        <f t="shared" si="210"/>
        <v>#VALUE!</v>
      </c>
      <c r="C1905" s="118" t="s">
        <v>612</v>
      </c>
      <c r="D1905" s="157">
        <v>43363</v>
      </c>
      <c r="E1905" s="128">
        <v>43374</v>
      </c>
      <c r="F1905" s="84">
        <f t="shared" si="211"/>
        <v>47027</v>
      </c>
      <c r="G1905" s="229">
        <v>1040</v>
      </c>
      <c r="H1905" s="118" t="s">
        <v>2340</v>
      </c>
      <c r="I1905" s="118" t="s">
        <v>1703</v>
      </c>
      <c r="J1905" s="129"/>
      <c r="K1905" s="55">
        <f t="shared" si="212"/>
        <v>2028</v>
      </c>
      <c r="N1905" s="131" t="s">
        <v>6091</v>
      </c>
      <c r="O1905" s="131" t="s">
        <v>6101</v>
      </c>
      <c r="Q1905" s="60" t="s">
        <v>6102</v>
      </c>
      <c r="R1905" s="230">
        <f>2080+160+1560</f>
        <v>3800</v>
      </c>
      <c r="S1905" s="230">
        <f t="shared" si="213"/>
        <v>0</v>
      </c>
      <c r="T1905" s="230">
        <v>3800</v>
      </c>
      <c r="U1905" s="231">
        <v>1560</v>
      </c>
      <c r="V1905" s="230"/>
      <c r="W1905" s="230"/>
      <c r="X1905" s="231"/>
      <c r="Z1905" s="101">
        <v>0.1</v>
      </c>
      <c r="AA1905" s="102">
        <v>0.1</v>
      </c>
    </row>
    <row r="1906" spans="1:27" x14ac:dyDescent="0.2">
      <c r="A1906" s="127" t="s">
        <v>6103</v>
      </c>
      <c r="B1906" s="118" t="e">
        <f t="shared" si="210"/>
        <v>#VALUE!</v>
      </c>
      <c r="C1906" s="118" t="s">
        <v>612</v>
      </c>
      <c r="D1906" s="157">
        <v>43363</v>
      </c>
      <c r="E1906" s="128">
        <v>43374</v>
      </c>
      <c r="F1906" s="84">
        <f t="shared" si="211"/>
        <v>47027</v>
      </c>
      <c r="G1906" s="229">
        <v>340</v>
      </c>
      <c r="H1906" s="118" t="s">
        <v>2340</v>
      </c>
      <c r="I1906" s="118" t="s">
        <v>1703</v>
      </c>
      <c r="J1906" s="129"/>
      <c r="K1906" s="55">
        <f t="shared" si="212"/>
        <v>2028</v>
      </c>
      <c r="N1906" s="131" t="s">
        <v>6091</v>
      </c>
      <c r="O1906" s="131" t="s">
        <v>6104</v>
      </c>
      <c r="Q1906" s="60" t="s">
        <v>6105</v>
      </c>
      <c r="R1906" s="230">
        <f>680+160+510</f>
        <v>1350</v>
      </c>
      <c r="S1906" s="230">
        <f t="shared" si="213"/>
        <v>0</v>
      </c>
      <c r="T1906" s="230">
        <v>1350</v>
      </c>
      <c r="U1906" s="231">
        <v>510</v>
      </c>
      <c r="V1906" s="230"/>
      <c r="W1906" s="230"/>
      <c r="X1906" s="231"/>
      <c r="Z1906" s="101">
        <v>0.1</v>
      </c>
      <c r="AA1906" s="102">
        <v>0.1</v>
      </c>
    </row>
    <row r="1907" spans="1:27" x14ac:dyDescent="0.2">
      <c r="A1907" s="127" t="s">
        <v>6106</v>
      </c>
      <c r="B1907" s="118" t="e">
        <f t="shared" si="210"/>
        <v>#VALUE!</v>
      </c>
      <c r="C1907" s="118" t="s">
        <v>612</v>
      </c>
      <c r="D1907" s="157">
        <v>43363</v>
      </c>
      <c r="E1907" s="128">
        <v>43374</v>
      </c>
      <c r="F1907" s="84">
        <f t="shared" si="211"/>
        <v>47027</v>
      </c>
      <c r="G1907" s="229">
        <v>80</v>
      </c>
      <c r="H1907" s="118" t="s">
        <v>2340</v>
      </c>
      <c r="I1907" s="118" t="s">
        <v>1703</v>
      </c>
      <c r="J1907" s="129"/>
      <c r="K1907" s="55">
        <f t="shared" si="212"/>
        <v>2028</v>
      </c>
      <c r="N1907" s="131" t="s">
        <v>6091</v>
      </c>
      <c r="O1907" s="131" t="s">
        <v>6107</v>
      </c>
      <c r="Q1907" s="60" t="s">
        <v>6108</v>
      </c>
      <c r="R1907" s="230">
        <f>160+160+120</f>
        <v>440</v>
      </c>
      <c r="S1907" s="230">
        <f t="shared" si="213"/>
        <v>0</v>
      </c>
      <c r="T1907" s="230">
        <v>440</v>
      </c>
      <c r="U1907" s="231">
        <v>120</v>
      </c>
      <c r="V1907" s="230"/>
      <c r="W1907" s="230"/>
      <c r="X1907" s="231"/>
      <c r="Z1907" s="101">
        <v>0.1</v>
      </c>
      <c r="AA1907" s="102">
        <v>0.1</v>
      </c>
    </row>
    <row r="1908" spans="1:27" x14ac:dyDescent="0.2">
      <c r="A1908" s="127" t="s">
        <v>6109</v>
      </c>
      <c r="B1908" s="118" t="e">
        <f t="shared" si="210"/>
        <v>#VALUE!</v>
      </c>
      <c r="C1908" s="118" t="s">
        <v>612</v>
      </c>
      <c r="D1908" s="157">
        <v>43363</v>
      </c>
      <c r="E1908" s="128">
        <v>43374</v>
      </c>
      <c r="F1908" s="84">
        <f t="shared" si="211"/>
        <v>47027</v>
      </c>
      <c r="G1908" s="229">
        <v>40</v>
      </c>
      <c r="H1908" s="118" t="s">
        <v>2340</v>
      </c>
      <c r="I1908" s="118" t="s">
        <v>1703</v>
      </c>
      <c r="J1908" s="129"/>
      <c r="K1908" s="55">
        <f t="shared" si="212"/>
        <v>2028</v>
      </c>
      <c r="N1908" s="131" t="s">
        <v>6110</v>
      </c>
      <c r="O1908" s="131" t="s">
        <v>6111</v>
      </c>
      <c r="Q1908" s="60" t="s">
        <v>6112</v>
      </c>
      <c r="R1908" s="230">
        <f>80+160+60</f>
        <v>300</v>
      </c>
      <c r="S1908" s="230">
        <f t="shared" si="213"/>
        <v>0</v>
      </c>
      <c r="T1908" s="230">
        <v>300</v>
      </c>
      <c r="U1908" s="231">
        <v>60</v>
      </c>
      <c r="V1908" s="230"/>
      <c r="W1908" s="230"/>
      <c r="X1908" s="231"/>
      <c r="Z1908" s="101">
        <v>0.1</v>
      </c>
      <c r="AA1908" s="102">
        <v>0.1</v>
      </c>
    </row>
    <row r="1909" spans="1:27" x14ac:dyDescent="0.2">
      <c r="A1909" s="127" t="s">
        <v>6113</v>
      </c>
      <c r="B1909" s="118" t="e">
        <f t="shared" si="210"/>
        <v>#VALUE!</v>
      </c>
      <c r="C1909" s="118" t="s">
        <v>612</v>
      </c>
      <c r="D1909" s="157">
        <v>43363</v>
      </c>
      <c r="E1909" s="128">
        <v>43374</v>
      </c>
      <c r="F1909" s="84">
        <f t="shared" si="211"/>
        <v>47027</v>
      </c>
      <c r="G1909" s="229">
        <v>40</v>
      </c>
      <c r="H1909" s="118" t="s">
        <v>2340</v>
      </c>
      <c r="I1909" s="118" t="s">
        <v>1703</v>
      </c>
      <c r="J1909" s="129"/>
      <c r="K1909" s="55">
        <f t="shared" si="212"/>
        <v>2028</v>
      </c>
      <c r="N1909" s="131" t="s">
        <v>6091</v>
      </c>
      <c r="O1909" s="131" t="s">
        <v>6114</v>
      </c>
      <c r="Q1909" s="60" t="s">
        <v>6115</v>
      </c>
      <c r="R1909" s="230">
        <f>80+160+60</f>
        <v>300</v>
      </c>
      <c r="S1909" s="230">
        <f t="shared" si="213"/>
        <v>0</v>
      </c>
      <c r="T1909" s="230">
        <v>300</v>
      </c>
      <c r="U1909" s="231">
        <v>60</v>
      </c>
      <c r="V1909" s="230"/>
      <c r="W1909" s="230"/>
      <c r="X1909" s="231"/>
      <c r="Z1909" s="101">
        <v>0.1</v>
      </c>
      <c r="AA1909" s="102">
        <v>0.1</v>
      </c>
    </row>
    <row r="1910" spans="1:27" ht="15" hidden="1" customHeight="1" thickBot="1" x14ac:dyDescent="0.25">
      <c r="F1910" s="84"/>
      <c r="G1910" s="229"/>
      <c r="J1910" s="129"/>
      <c r="K1910" s="129"/>
      <c r="R1910" s="241">
        <f>SUM(R1894:R1909)</f>
        <v>13483.5</v>
      </c>
      <c r="S1910" s="241">
        <f>SUM(S1894:S1909)</f>
        <v>0</v>
      </c>
      <c r="T1910" s="241">
        <f>SUM(T1894:T1909)</f>
        <v>13483.5</v>
      </c>
      <c r="U1910" s="231"/>
      <c r="V1910" s="230"/>
      <c r="W1910" s="230"/>
      <c r="X1910" s="231"/>
    </row>
    <row r="1911" spans="1:27" hidden="1" x14ac:dyDescent="0.2">
      <c r="F1911" s="84"/>
      <c r="G1911" s="229"/>
      <c r="J1911" s="129"/>
      <c r="K1911" s="129"/>
      <c r="R1911" s="230"/>
      <c r="S1911" s="230"/>
      <c r="T1911" s="230"/>
      <c r="U1911" s="231"/>
      <c r="V1911" s="230"/>
      <c r="W1911" s="230"/>
      <c r="X1911" s="231"/>
    </row>
    <row r="1912" spans="1:27" x14ac:dyDescent="0.2">
      <c r="A1912" s="127" t="s">
        <v>6116</v>
      </c>
      <c r="B1912" s="118" t="e">
        <f>IF(COUNTIF(GIS,A1912),"YES","NO")</f>
        <v>#VALUE!</v>
      </c>
      <c r="C1912" s="118" t="s">
        <v>612</v>
      </c>
      <c r="D1912" s="157">
        <v>43354</v>
      </c>
      <c r="E1912" s="128">
        <v>43405</v>
      </c>
      <c r="F1912" s="84">
        <f>DATE(YEAR(E1912)+10,MONTH(E1912),DAY(E1912))</f>
        <v>47058</v>
      </c>
      <c r="G1912" s="229">
        <v>896.97</v>
      </c>
      <c r="H1912" s="118" t="s">
        <v>6117</v>
      </c>
      <c r="I1912" s="118" t="s">
        <v>6118</v>
      </c>
      <c r="J1912" s="129"/>
      <c r="K1912" s="55">
        <f>YEAR(F1912)</f>
        <v>2028</v>
      </c>
      <c r="N1912" s="131" t="s">
        <v>6119</v>
      </c>
      <c r="O1912" s="131" t="s">
        <v>6120</v>
      </c>
      <c r="Q1912" s="60" t="s">
        <v>6121</v>
      </c>
      <c r="R1912" s="230">
        <f>2691+160+1345.5</f>
        <v>4196.5</v>
      </c>
      <c r="S1912" s="230">
        <f>T1912-R1912</f>
        <v>0</v>
      </c>
      <c r="T1912" s="230">
        <v>4196.5</v>
      </c>
      <c r="U1912" s="231">
        <v>1345.5</v>
      </c>
      <c r="V1912" s="230"/>
      <c r="W1912" s="230"/>
      <c r="X1912" s="231"/>
      <c r="Z1912" s="101">
        <v>0.1</v>
      </c>
      <c r="AA1912" s="102">
        <v>0.1</v>
      </c>
    </row>
    <row r="1913" spans="1:27" hidden="1" x14ac:dyDescent="0.2">
      <c r="F1913" s="84"/>
      <c r="G1913" s="229"/>
      <c r="J1913" s="129"/>
      <c r="K1913" s="129"/>
      <c r="R1913" s="230"/>
      <c r="S1913" s="230"/>
      <c r="T1913" s="230"/>
      <c r="U1913" s="231"/>
      <c r="V1913" s="230"/>
      <c r="W1913" s="230"/>
      <c r="X1913" s="231"/>
    </row>
    <row r="1914" spans="1:27" ht="15" hidden="1" customHeight="1" thickBot="1" x14ac:dyDescent="0.25">
      <c r="F1914" s="84"/>
      <c r="G1914" s="229"/>
      <c r="J1914" s="129"/>
      <c r="K1914" s="129"/>
      <c r="R1914" s="241">
        <f>SUM(R1912:R1913)</f>
        <v>4196.5</v>
      </c>
      <c r="S1914" s="241">
        <f>SUM(S1912:S1913)</f>
        <v>0</v>
      </c>
      <c r="T1914" s="241">
        <f>SUM(T1912:T1913)</f>
        <v>4196.5</v>
      </c>
      <c r="U1914" s="231"/>
      <c r="V1914" s="230"/>
      <c r="W1914" s="230"/>
      <c r="X1914" s="231"/>
    </row>
    <row r="1915" spans="1:27" hidden="1" x14ac:dyDescent="0.2">
      <c r="F1915" s="84"/>
      <c r="G1915" s="229"/>
      <c r="J1915" s="129"/>
      <c r="K1915" s="129"/>
      <c r="R1915" s="230"/>
      <c r="S1915" s="230"/>
      <c r="T1915" s="230"/>
      <c r="U1915" s="231"/>
      <c r="V1915" s="230"/>
      <c r="W1915" s="230"/>
      <c r="X1915" s="231"/>
    </row>
    <row r="1916" spans="1:27" x14ac:dyDescent="0.2">
      <c r="A1916" s="127" t="s">
        <v>6122</v>
      </c>
      <c r="B1916" s="118" t="e">
        <f t="shared" ref="B1916:B1923" si="214">IF(COUNTIF(GIS,A1916),"YES","NO")</f>
        <v>#VALUE!</v>
      </c>
      <c r="C1916" s="118" t="s">
        <v>612</v>
      </c>
      <c r="D1916" s="157">
        <v>43348</v>
      </c>
      <c r="E1916" s="124">
        <v>43405</v>
      </c>
      <c r="F1916" s="84">
        <f t="shared" ref="F1916:F1923" si="215">DATE(YEAR(E1916)+10,MONTH(E1916),DAY(E1916))</f>
        <v>47058</v>
      </c>
      <c r="G1916" s="229">
        <v>320</v>
      </c>
      <c r="H1916" s="118" t="s">
        <v>1540</v>
      </c>
      <c r="I1916" s="118" t="s">
        <v>1147</v>
      </c>
      <c r="J1916" s="129"/>
      <c r="K1916" s="55">
        <f t="shared" ref="K1916:K1923" si="216">YEAR(F1916)</f>
        <v>2028</v>
      </c>
      <c r="N1916" s="131" t="s">
        <v>6123</v>
      </c>
      <c r="O1916" s="131" t="s">
        <v>6124</v>
      </c>
      <c r="Q1916" s="60" t="s">
        <v>6125</v>
      </c>
      <c r="R1916" s="230">
        <v>24320</v>
      </c>
      <c r="S1916" s="230">
        <f t="shared" ref="S1916:S1923" si="217">T1916-R1916</f>
        <v>0</v>
      </c>
      <c r="T1916" s="230">
        <v>24320</v>
      </c>
      <c r="U1916" s="231">
        <v>480</v>
      </c>
      <c r="V1916" s="230"/>
      <c r="W1916" s="230"/>
      <c r="X1916" s="231"/>
      <c r="Z1916" s="101">
        <v>0.1</v>
      </c>
      <c r="AA1916" s="102">
        <v>0.1</v>
      </c>
    </row>
    <row r="1917" spans="1:27" x14ac:dyDescent="0.2">
      <c r="A1917" s="127" t="s">
        <v>6126</v>
      </c>
      <c r="B1917" s="118" t="e">
        <f t="shared" si="214"/>
        <v>#VALUE!</v>
      </c>
      <c r="C1917" s="118" t="s">
        <v>612</v>
      </c>
      <c r="D1917" s="157">
        <v>43348</v>
      </c>
      <c r="E1917" s="124">
        <v>43405</v>
      </c>
      <c r="F1917" s="84">
        <f t="shared" si="215"/>
        <v>47058</v>
      </c>
      <c r="G1917" s="229">
        <v>320</v>
      </c>
      <c r="H1917" s="118" t="s">
        <v>1540</v>
      </c>
      <c r="I1917" s="118" t="s">
        <v>1147</v>
      </c>
      <c r="J1917" s="129"/>
      <c r="K1917" s="55">
        <f t="shared" si="216"/>
        <v>2028</v>
      </c>
      <c r="N1917" s="131" t="s">
        <v>6123</v>
      </c>
      <c r="O1917" s="131" t="s">
        <v>6127</v>
      </c>
      <c r="Q1917" s="60" t="s">
        <v>6128</v>
      </c>
      <c r="R1917" s="230">
        <v>24320</v>
      </c>
      <c r="S1917" s="230">
        <f t="shared" si="217"/>
        <v>0</v>
      </c>
      <c r="T1917" s="230">
        <v>24320</v>
      </c>
      <c r="U1917" s="231">
        <v>480</v>
      </c>
      <c r="V1917" s="230"/>
      <c r="W1917" s="230"/>
      <c r="X1917" s="231"/>
      <c r="Z1917" s="101">
        <v>0.1</v>
      </c>
      <c r="AA1917" s="102">
        <v>0.1</v>
      </c>
    </row>
    <row r="1918" spans="1:27" x14ac:dyDescent="0.2">
      <c r="A1918" s="127" t="s">
        <v>6129</v>
      </c>
      <c r="B1918" s="118" t="e">
        <f t="shared" si="214"/>
        <v>#VALUE!</v>
      </c>
      <c r="C1918" s="118" t="s">
        <v>612</v>
      </c>
      <c r="D1918" s="157">
        <v>43348</v>
      </c>
      <c r="E1918" s="124">
        <v>43405</v>
      </c>
      <c r="F1918" s="84">
        <f t="shared" si="215"/>
        <v>47058</v>
      </c>
      <c r="G1918" s="229">
        <v>321.01</v>
      </c>
      <c r="H1918" s="118" t="s">
        <v>1540</v>
      </c>
      <c r="I1918" s="118" t="s">
        <v>1147</v>
      </c>
      <c r="J1918" s="129"/>
      <c r="K1918" s="55">
        <f t="shared" si="216"/>
        <v>2028</v>
      </c>
      <c r="N1918" s="131" t="s">
        <v>6130</v>
      </c>
      <c r="O1918" s="131" t="s">
        <v>6131</v>
      </c>
      <c r="Q1918" s="60" t="s">
        <v>6132</v>
      </c>
      <c r="R1918" s="230">
        <v>64078</v>
      </c>
      <c r="S1918" s="230">
        <f t="shared" si="217"/>
        <v>0</v>
      </c>
      <c r="T1918" s="230">
        <v>64078</v>
      </c>
      <c r="U1918" s="231">
        <v>483</v>
      </c>
      <c r="V1918" s="230"/>
      <c r="W1918" s="230"/>
      <c r="X1918" s="231"/>
      <c r="Z1918" s="101">
        <v>0.1</v>
      </c>
      <c r="AA1918" s="102">
        <v>0.1</v>
      </c>
    </row>
    <row r="1919" spans="1:27" x14ac:dyDescent="0.2">
      <c r="A1919" s="127" t="s">
        <v>6133</v>
      </c>
      <c r="B1919" s="118" t="e">
        <f t="shared" si="214"/>
        <v>#VALUE!</v>
      </c>
      <c r="C1919" s="118" t="s">
        <v>612</v>
      </c>
      <c r="D1919" s="157">
        <v>43348</v>
      </c>
      <c r="E1919" s="124">
        <v>43405</v>
      </c>
      <c r="F1919" s="84">
        <f t="shared" si="215"/>
        <v>47058</v>
      </c>
      <c r="G1919" s="229">
        <v>320</v>
      </c>
      <c r="H1919" s="118" t="s">
        <v>1540</v>
      </c>
      <c r="I1919" s="118" t="s">
        <v>1147</v>
      </c>
      <c r="J1919" s="129"/>
      <c r="K1919" s="55">
        <f t="shared" si="216"/>
        <v>2028</v>
      </c>
      <c r="N1919" s="131" t="s">
        <v>6130</v>
      </c>
      <c r="O1919" s="131" t="s">
        <v>6134</v>
      </c>
      <c r="Q1919" s="60" t="s">
        <v>6135</v>
      </c>
      <c r="R1919" s="230">
        <v>95680</v>
      </c>
      <c r="S1919" s="230">
        <f t="shared" si="217"/>
        <v>0</v>
      </c>
      <c r="T1919" s="230">
        <v>95680</v>
      </c>
      <c r="U1919" s="231">
        <v>480</v>
      </c>
      <c r="V1919" s="230"/>
      <c r="W1919" s="230"/>
      <c r="X1919" s="231"/>
      <c r="Z1919" s="101">
        <v>0.1</v>
      </c>
      <c r="AA1919" s="102">
        <v>0.1</v>
      </c>
    </row>
    <row r="1920" spans="1:27" x14ac:dyDescent="0.2">
      <c r="A1920" s="127" t="s">
        <v>6136</v>
      </c>
      <c r="B1920" s="118" t="e">
        <f t="shared" si="214"/>
        <v>#VALUE!</v>
      </c>
      <c r="C1920" s="118" t="s">
        <v>612</v>
      </c>
      <c r="D1920" s="157">
        <v>43348</v>
      </c>
      <c r="E1920" s="124">
        <v>43405</v>
      </c>
      <c r="F1920" s="84">
        <f t="shared" si="215"/>
        <v>47058</v>
      </c>
      <c r="G1920" s="229">
        <v>40</v>
      </c>
      <c r="H1920" s="118" t="s">
        <v>1540</v>
      </c>
      <c r="I1920" s="118" t="s">
        <v>1147</v>
      </c>
      <c r="J1920" s="129"/>
      <c r="K1920" s="55">
        <f t="shared" si="216"/>
        <v>2028</v>
      </c>
      <c r="N1920" s="131" t="s">
        <v>6137</v>
      </c>
      <c r="O1920" s="131" t="s">
        <v>6138</v>
      </c>
      <c r="Q1920" s="60" t="s">
        <v>6139</v>
      </c>
      <c r="R1920" s="230">
        <v>13040</v>
      </c>
      <c r="S1920" s="230">
        <f t="shared" si="217"/>
        <v>0</v>
      </c>
      <c r="T1920" s="230">
        <v>13040</v>
      </c>
      <c r="U1920" s="231">
        <v>60</v>
      </c>
      <c r="V1920" s="230"/>
      <c r="W1920" s="230"/>
      <c r="X1920" s="231"/>
      <c r="Z1920" s="101">
        <v>0.1</v>
      </c>
      <c r="AA1920" s="102">
        <v>0.1</v>
      </c>
    </row>
    <row r="1921" spans="1:29" x14ac:dyDescent="0.2">
      <c r="A1921" s="127" t="s">
        <v>6140</v>
      </c>
      <c r="B1921" s="118" t="e">
        <f t="shared" si="214"/>
        <v>#VALUE!</v>
      </c>
      <c r="C1921" s="118" t="s">
        <v>612</v>
      </c>
      <c r="D1921" s="157">
        <v>43348</v>
      </c>
      <c r="E1921" s="124">
        <v>43405</v>
      </c>
      <c r="F1921" s="84">
        <f t="shared" si="215"/>
        <v>47058</v>
      </c>
      <c r="G1921" s="229">
        <v>40</v>
      </c>
      <c r="H1921" s="118" t="s">
        <v>1540</v>
      </c>
      <c r="I1921" s="118" t="s">
        <v>1147</v>
      </c>
      <c r="J1921" s="129"/>
      <c r="K1921" s="55">
        <f t="shared" si="216"/>
        <v>2028</v>
      </c>
      <c r="N1921" s="131" t="s">
        <v>6137</v>
      </c>
      <c r="O1921" s="131" t="s">
        <v>6141</v>
      </c>
      <c r="Q1921" s="60" t="s">
        <v>6142</v>
      </c>
      <c r="R1921" s="230">
        <v>10160</v>
      </c>
      <c r="S1921" s="230">
        <f t="shared" si="217"/>
        <v>0</v>
      </c>
      <c r="T1921" s="230">
        <v>10160</v>
      </c>
      <c r="U1921" s="231">
        <v>60</v>
      </c>
      <c r="V1921" s="230"/>
      <c r="W1921" s="230"/>
      <c r="X1921" s="231"/>
      <c r="Z1921" s="101">
        <v>0.1</v>
      </c>
      <c r="AA1921" s="102">
        <v>0.1</v>
      </c>
    </row>
    <row r="1922" spans="1:29" x14ac:dyDescent="0.2">
      <c r="A1922" s="127" t="s">
        <v>6143</v>
      </c>
      <c r="B1922" s="118" t="e">
        <f t="shared" si="214"/>
        <v>#VALUE!</v>
      </c>
      <c r="C1922" s="118" t="s">
        <v>612</v>
      </c>
      <c r="D1922" s="157">
        <v>43348</v>
      </c>
      <c r="E1922" s="124">
        <v>43405</v>
      </c>
      <c r="F1922" s="84">
        <f t="shared" si="215"/>
        <v>47058</v>
      </c>
      <c r="G1922" s="229">
        <v>40</v>
      </c>
      <c r="H1922" s="118" t="s">
        <v>1540</v>
      </c>
      <c r="I1922" s="118" t="s">
        <v>1147</v>
      </c>
      <c r="J1922" s="129"/>
      <c r="K1922" s="55">
        <f t="shared" si="216"/>
        <v>2028</v>
      </c>
      <c r="N1922" s="131" t="s">
        <v>6144</v>
      </c>
      <c r="O1922" s="131" t="s">
        <v>6145</v>
      </c>
      <c r="Q1922" s="60" t="s">
        <v>6146</v>
      </c>
      <c r="R1922" s="230">
        <v>17040</v>
      </c>
      <c r="S1922" s="230">
        <f t="shared" si="217"/>
        <v>0</v>
      </c>
      <c r="T1922" s="230">
        <v>17040</v>
      </c>
      <c r="U1922" s="231">
        <v>60</v>
      </c>
      <c r="V1922" s="230"/>
      <c r="W1922" s="230"/>
      <c r="X1922" s="231"/>
      <c r="Z1922" s="101">
        <v>0.1</v>
      </c>
      <c r="AA1922" s="102">
        <v>0.1</v>
      </c>
    </row>
    <row r="1923" spans="1:29" x14ac:dyDescent="0.2">
      <c r="A1923" s="127" t="s">
        <v>6147</v>
      </c>
      <c r="B1923" s="118" t="e">
        <f t="shared" si="214"/>
        <v>#VALUE!</v>
      </c>
      <c r="C1923" s="118" t="s">
        <v>612</v>
      </c>
      <c r="D1923" s="157">
        <v>43348</v>
      </c>
      <c r="E1923" s="124">
        <v>43405</v>
      </c>
      <c r="F1923" s="84">
        <f t="shared" si="215"/>
        <v>47058</v>
      </c>
      <c r="G1923" s="229">
        <v>47.2</v>
      </c>
      <c r="H1923" s="118" t="s">
        <v>1540</v>
      </c>
      <c r="I1923" s="118" t="s">
        <v>1147</v>
      </c>
      <c r="J1923" s="129"/>
      <c r="K1923" s="55">
        <f t="shared" si="216"/>
        <v>2028</v>
      </c>
      <c r="N1923" s="131" t="s">
        <v>6148</v>
      </c>
      <c r="O1923" s="131" t="s">
        <v>6149</v>
      </c>
      <c r="Q1923" s="60" t="s">
        <v>6150</v>
      </c>
      <c r="R1923" s="230">
        <v>4752</v>
      </c>
      <c r="S1923" s="230">
        <f t="shared" si="217"/>
        <v>0</v>
      </c>
      <c r="T1923" s="230">
        <v>4752</v>
      </c>
      <c r="U1923" s="231">
        <v>72</v>
      </c>
      <c r="V1923" s="230"/>
      <c r="W1923" s="230"/>
      <c r="X1923" s="231"/>
      <c r="Z1923" s="101">
        <v>0.1</v>
      </c>
      <c r="AA1923" s="102">
        <v>0.1</v>
      </c>
    </row>
    <row r="1924" spans="1:29" hidden="1" x14ac:dyDescent="0.2">
      <c r="A1924" s="132"/>
      <c r="G1924" s="229"/>
      <c r="J1924" s="129"/>
      <c r="K1924" s="129"/>
      <c r="R1924" s="272">
        <f>SUM(R1916:R1923)</f>
        <v>253390</v>
      </c>
      <c r="S1924" s="272">
        <f>SUM(S1916:S1923)</f>
        <v>0</v>
      </c>
      <c r="T1924" s="272">
        <f>SUM(T1916:T1923)</f>
        <v>253390</v>
      </c>
      <c r="U1924" s="231"/>
      <c r="V1924" s="230"/>
      <c r="W1924" s="230"/>
      <c r="X1924" s="231"/>
      <c r="Z1924" s="101"/>
      <c r="AA1924" s="102"/>
    </row>
    <row r="1925" spans="1:29" ht="56" customHeight="1" x14ac:dyDescent="0.2">
      <c r="A1925" s="133" t="s">
        <v>6151</v>
      </c>
      <c r="B1925" s="118" t="e">
        <f>IF(COUNTIF(GIS,A1925),"YES","NO")</f>
        <v>#VALUE!</v>
      </c>
      <c r="C1925" t="s">
        <v>6152</v>
      </c>
      <c r="D1925" s="134">
        <v>38435</v>
      </c>
      <c r="E1925" s="135">
        <v>40483</v>
      </c>
      <c r="F1925" s="84">
        <f>DATE(YEAR(E1925)+10,MONTH(E1925),DAY(E1925))</f>
        <v>44136</v>
      </c>
      <c r="G1925" s="136">
        <v>142.41</v>
      </c>
      <c r="H1925" s="137" t="s">
        <v>3081</v>
      </c>
      <c r="I1925" s="137" t="s">
        <v>684</v>
      </c>
      <c r="J1925" s="138" t="s">
        <v>6153</v>
      </c>
      <c r="K1925" s="55">
        <f>YEAR(F1925)</f>
        <v>2020</v>
      </c>
      <c r="L1925" s="139" t="s">
        <v>6154</v>
      </c>
      <c r="M1925" s="139" t="s">
        <v>6155</v>
      </c>
      <c r="N1925" s="213" t="s">
        <v>6156</v>
      </c>
      <c r="Q1925" s="140"/>
      <c r="R1925" s="273">
        <v>575.5</v>
      </c>
      <c r="S1925" s="273">
        <v>0</v>
      </c>
      <c r="T1925" s="274">
        <v>575.5</v>
      </c>
      <c r="U1925" s="275">
        <v>214.5</v>
      </c>
      <c r="V1925" s="273"/>
      <c r="W1925" s="273"/>
      <c r="X1925" s="275"/>
      <c r="Z1925" s="184">
        <v>0.1</v>
      </c>
      <c r="AA1925" s="141">
        <v>0.09</v>
      </c>
      <c r="AB1925" s="142"/>
      <c r="AC1925" s="137"/>
    </row>
    <row r="1926" spans="1:29" ht="16" hidden="1" x14ac:dyDescent="0.2">
      <c r="A1926" s="143"/>
      <c r="D1926" s="134"/>
      <c r="E1926" s="135"/>
      <c r="F1926" s="135"/>
      <c r="G1926" s="136"/>
      <c r="H1926" s="137"/>
      <c r="I1926" s="137"/>
      <c r="J1926" s="144"/>
      <c r="K1926" s="144"/>
      <c r="L1926" s="139"/>
      <c r="M1926" s="139" t="s">
        <v>6157</v>
      </c>
      <c r="N1926" s="213" t="s">
        <v>6158</v>
      </c>
      <c r="Q1926" s="140"/>
      <c r="R1926" s="273"/>
      <c r="S1926" s="273"/>
      <c r="T1926" s="274"/>
      <c r="U1926" s="275"/>
      <c r="V1926" s="273"/>
      <c r="W1926" s="273"/>
      <c r="X1926" s="275"/>
      <c r="Z1926" s="184"/>
      <c r="AA1926" s="141"/>
      <c r="AB1926" s="142"/>
      <c r="AC1926" s="137"/>
    </row>
    <row r="1927" spans="1:29" ht="28" hidden="1" customHeight="1" x14ac:dyDescent="0.2">
      <c r="A1927" s="133" t="s">
        <v>6159</v>
      </c>
      <c r="B1927" s="118" t="e">
        <f>IF(COUNTIF(GIS,A1927),"YES","NO")</f>
        <v>#VALUE!</v>
      </c>
      <c r="C1927" t="s">
        <v>6152</v>
      </c>
      <c r="D1927" s="134">
        <v>38735</v>
      </c>
      <c r="E1927" s="135">
        <v>38777</v>
      </c>
      <c r="F1927" s="84">
        <f>DATE(YEAR(E1927)+10,MONTH(E1927),DAY(E1927))</f>
        <v>42430</v>
      </c>
      <c r="G1927" s="136">
        <v>479.46</v>
      </c>
      <c r="H1927" s="137" t="s">
        <v>2239</v>
      </c>
      <c r="I1927" s="137" t="s">
        <v>812</v>
      </c>
      <c r="J1927" s="138" t="s">
        <v>6160</v>
      </c>
      <c r="K1927" s="55">
        <f>YEAR(F1927)</f>
        <v>2016</v>
      </c>
      <c r="L1927" s="139" t="s">
        <v>6161</v>
      </c>
      <c r="M1927" s="139" t="s">
        <v>6162</v>
      </c>
      <c r="N1927" s="213" t="s">
        <v>6163</v>
      </c>
      <c r="Q1927" s="140"/>
      <c r="R1927" s="273">
        <v>0</v>
      </c>
      <c r="S1927" s="273">
        <v>0</v>
      </c>
      <c r="T1927" s="274">
        <v>0</v>
      </c>
      <c r="U1927" s="275">
        <v>960</v>
      </c>
      <c r="V1927" s="273"/>
      <c r="W1927" s="273"/>
      <c r="X1927" s="275"/>
      <c r="Z1927" s="184">
        <v>0.1</v>
      </c>
      <c r="AA1927" s="141">
        <v>0.09</v>
      </c>
      <c r="AB1927" s="142"/>
      <c r="AC1927" s="137"/>
    </row>
    <row r="1928" spans="1:29" ht="16" hidden="1" x14ac:dyDescent="0.2">
      <c r="A1928" s="143"/>
      <c r="D1928" s="134"/>
      <c r="E1928" s="135"/>
      <c r="F1928" s="135"/>
      <c r="G1928" s="136"/>
      <c r="H1928" s="137"/>
      <c r="I1928" s="137"/>
      <c r="J1928" s="144"/>
      <c r="K1928" s="144"/>
      <c r="L1928" s="139"/>
      <c r="M1928" s="139"/>
      <c r="N1928" s="213" t="s">
        <v>6158</v>
      </c>
      <c r="Q1928" s="140"/>
      <c r="R1928" s="273"/>
      <c r="S1928" s="273"/>
      <c r="T1928" s="274"/>
      <c r="U1928" s="275"/>
      <c r="V1928" s="273"/>
      <c r="W1928" s="273"/>
      <c r="X1928" s="275"/>
      <c r="Z1928" s="184"/>
      <c r="AA1928" s="141"/>
      <c r="AB1928" s="142"/>
      <c r="AC1928" s="137"/>
    </row>
    <row r="1929" spans="1:29" ht="42" hidden="1" customHeight="1" x14ac:dyDescent="0.2">
      <c r="A1929" s="133" t="s">
        <v>6164</v>
      </c>
      <c r="B1929" s="118" t="e">
        <f t="shared" ref="B1929:B1942" si="218">IF(COUNTIF(GIS,A1929),"YES","NO")</f>
        <v>#VALUE!</v>
      </c>
      <c r="C1929" t="s">
        <v>6152</v>
      </c>
      <c r="D1929" s="134">
        <v>39099</v>
      </c>
      <c r="E1929" s="135">
        <v>39142</v>
      </c>
      <c r="F1929" s="84">
        <f t="shared" ref="F1929:F1942" si="219">DATE(YEAR(E1929)+10,MONTH(E1929),DAY(E1929))</f>
        <v>42795</v>
      </c>
      <c r="G1929" s="136">
        <v>1200</v>
      </c>
      <c r="H1929" s="137" t="s">
        <v>2239</v>
      </c>
      <c r="I1929" s="137" t="s">
        <v>812</v>
      </c>
      <c r="J1929" s="138" t="s">
        <v>6165</v>
      </c>
      <c r="K1929" s="55">
        <f t="shared" ref="K1929:K1942" si="220">YEAR(F1929)</f>
        <v>2017</v>
      </c>
      <c r="L1929" s="139" t="s">
        <v>6166</v>
      </c>
      <c r="M1929" s="139" t="s">
        <v>6162</v>
      </c>
      <c r="N1929" s="213" t="s">
        <v>6167</v>
      </c>
      <c r="Q1929" s="140"/>
      <c r="R1929" s="273">
        <v>0</v>
      </c>
      <c r="S1929" s="273">
        <v>0</v>
      </c>
      <c r="T1929" s="274">
        <v>0</v>
      </c>
      <c r="U1929" s="275">
        <v>2400</v>
      </c>
      <c r="V1929" s="273"/>
      <c r="W1929" s="273"/>
      <c r="X1929" s="275"/>
      <c r="Z1929" s="184">
        <v>0.1</v>
      </c>
      <c r="AA1929" s="141">
        <v>0.09</v>
      </c>
      <c r="AB1929" s="142"/>
      <c r="AC1929" s="137"/>
    </row>
    <row r="1930" spans="1:29" ht="28" hidden="1" customHeight="1" x14ac:dyDescent="0.2">
      <c r="A1930" s="133" t="s">
        <v>6168</v>
      </c>
      <c r="B1930" s="118" t="e">
        <f t="shared" si="218"/>
        <v>#VALUE!</v>
      </c>
      <c r="C1930" t="s">
        <v>6152</v>
      </c>
      <c r="D1930" s="134">
        <v>39099</v>
      </c>
      <c r="E1930" s="135">
        <v>39142</v>
      </c>
      <c r="F1930" s="84">
        <f t="shared" si="219"/>
        <v>42795</v>
      </c>
      <c r="G1930" s="136">
        <v>922.76</v>
      </c>
      <c r="H1930" s="137" t="s">
        <v>2239</v>
      </c>
      <c r="I1930" s="137" t="s">
        <v>812</v>
      </c>
      <c r="J1930" s="138" t="s">
        <v>6165</v>
      </c>
      <c r="K1930" s="55">
        <f t="shared" si="220"/>
        <v>2017</v>
      </c>
      <c r="L1930" s="139" t="s">
        <v>6166</v>
      </c>
      <c r="M1930" s="139" t="s">
        <v>6162</v>
      </c>
      <c r="N1930" s="213" t="s">
        <v>6169</v>
      </c>
      <c r="Q1930" s="140"/>
      <c r="R1930" s="273">
        <v>0</v>
      </c>
      <c r="S1930" s="273">
        <v>0</v>
      </c>
      <c r="T1930" s="274">
        <v>0</v>
      </c>
      <c r="U1930" s="275">
        <v>1846</v>
      </c>
      <c r="V1930" s="273"/>
      <c r="W1930" s="273"/>
      <c r="X1930" s="275"/>
      <c r="Z1930" s="184">
        <v>0.1</v>
      </c>
      <c r="AA1930" s="141">
        <v>0.09</v>
      </c>
      <c r="AB1930" s="142"/>
      <c r="AC1930" s="137"/>
    </row>
    <row r="1931" spans="1:29" ht="84" hidden="1" customHeight="1" x14ac:dyDescent="0.2">
      <c r="A1931" s="133" t="s">
        <v>6170</v>
      </c>
      <c r="B1931" s="118" t="e">
        <f t="shared" si="218"/>
        <v>#VALUE!</v>
      </c>
      <c r="C1931" t="s">
        <v>6152</v>
      </c>
      <c r="D1931" s="134">
        <v>39099</v>
      </c>
      <c r="E1931" s="135">
        <v>39142</v>
      </c>
      <c r="F1931" s="84">
        <f t="shared" si="219"/>
        <v>42795</v>
      </c>
      <c r="G1931" s="136">
        <v>2183.3000000000002</v>
      </c>
      <c r="H1931" s="137" t="s">
        <v>2239</v>
      </c>
      <c r="I1931" s="137" t="s">
        <v>812</v>
      </c>
      <c r="J1931" s="138" t="s">
        <v>6165</v>
      </c>
      <c r="K1931" s="55">
        <f t="shared" si="220"/>
        <v>2017</v>
      </c>
      <c r="L1931" s="139" t="s">
        <v>6166</v>
      </c>
      <c r="M1931" s="139" t="s">
        <v>6162</v>
      </c>
      <c r="N1931" s="213" t="s">
        <v>6171</v>
      </c>
      <c r="Q1931" s="140"/>
      <c r="R1931" s="273">
        <v>0</v>
      </c>
      <c r="S1931" s="273">
        <v>0</v>
      </c>
      <c r="T1931" s="274">
        <v>0</v>
      </c>
      <c r="U1931" s="275">
        <v>4368</v>
      </c>
      <c r="V1931" s="273"/>
      <c r="W1931" s="273"/>
      <c r="X1931" s="275"/>
      <c r="Z1931" s="184">
        <v>0.1</v>
      </c>
      <c r="AA1931" s="141">
        <v>0.09</v>
      </c>
      <c r="AB1931" s="142"/>
      <c r="AC1931" s="137"/>
    </row>
    <row r="1932" spans="1:29" ht="42" hidden="1" customHeight="1" x14ac:dyDescent="0.2">
      <c r="A1932" s="133" t="s">
        <v>6172</v>
      </c>
      <c r="B1932" s="118" t="e">
        <f t="shared" si="218"/>
        <v>#VALUE!</v>
      </c>
      <c r="C1932" t="s">
        <v>6152</v>
      </c>
      <c r="D1932" s="134">
        <v>39099</v>
      </c>
      <c r="E1932" s="135">
        <v>39142</v>
      </c>
      <c r="F1932" s="84">
        <f t="shared" si="219"/>
        <v>42795</v>
      </c>
      <c r="G1932" s="136">
        <v>1920</v>
      </c>
      <c r="H1932" s="137" t="s">
        <v>2239</v>
      </c>
      <c r="I1932" s="137" t="s">
        <v>812</v>
      </c>
      <c r="J1932" s="138" t="s">
        <v>6165</v>
      </c>
      <c r="K1932" s="55">
        <f t="shared" si="220"/>
        <v>2017</v>
      </c>
      <c r="L1932" s="139" t="s">
        <v>6166</v>
      </c>
      <c r="M1932" s="139" t="s">
        <v>6162</v>
      </c>
      <c r="N1932" s="213" t="s">
        <v>6173</v>
      </c>
      <c r="Q1932" s="140"/>
      <c r="R1932" s="273">
        <v>0</v>
      </c>
      <c r="S1932" s="273">
        <v>0</v>
      </c>
      <c r="T1932" s="274">
        <v>0</v>
      </c>
      <c r="U1932" s="275">
        <v>3840</v>
      </c>
      <c r="V1932" s="273"/>
      <c r="W1932" s="273"/>
      <c r="X1932" s="275"/>
      <c r="Z1932" s="184">
        <v>0.1</v>
      </c>
      <c r="AA1932" s="141">
        <v>0.09</v>
      </c>
      <c r="AB1932" s="142"/>
      <c r="AC1932" s="137"/>
    </row>
    <row r="1933" spans="1:29" ht="42" hidden="1" customHeight="1" x14ac:dyDescent="0.2">
      <c r="A1933" s="133" t="s">
        <v>6174</v>
      </c>
      <c r="B1933" s="118" t="e">
        <f t="shared" si="218"/>
        <v>#VALUE!</v>
      </c>
      <c r="C1933" t="s">
        <v>6152</v>
      </c>
      <c r="D1933" s="134">
        <v>39099</v>
      </c>
      <c r="E1933" s="135">
        <v>39142</v>
      </c>
      <c r="F1933" s="84">
        <f t="shared" si="219"/>
        <v>42795</v>
      </c>
      <c r="G1933" s="136">
        <v>1800</v>
      </c>
      <c r="H1933" s="137" t="s">
        <v>2239</v>
      </c>
      <c r="I1933" s="137" t="s">
        <v>812</v>
      </c>
      <c r="J1933" s="138" t="s">
        <v>6165</v>
      </c>
      <c r="K1933" s="55">
        <f t="shared" si="220"/>
        <v>2017</v>
      </c>
      <c r="L1933" s="139" t="s">
        <v>6166</v>
      </c>
      <c r="M1933" s="139" t="s">
        <v>6162</v>
      </c>
      <c r="N1933" s="213" t="s">
        <v>6175</v>
      </c>
      <c r="Q1933" s="140"/>
      <c r="R1933" s="273">
        <v>0</v>
      </c>
      <c r="S1933" s="273">
        <v>0</v>
      </c>
      <c r="T1933" s="274">
        <v>0</v>
      </c>
      <c r="U1933" s="275">
        <v>3600</v>
      </c>
      <c r="V1933" s="273"/>
      <c r="W1933" s="273"/>
      <c r="X1933" s="275"/>
      <c r="Z1933" s="184">
        <v>0.1</v>
      </c>
      <c r="AA1933" s="141">
        <v>0.09</v>
      </c>
      <c r="AB1933" s="142"/>
      <c r="AC1933" s="137"/>
    </row>
    <row r="1934" spans="1:29" ht="56" hidden="1" customHeight="1" x14ac:dyDescent="0.2">
      <c r="A1934" s="133" t="s">
        <v>6176</v>
      </c>
      <c r="B1934" s="118" t="e">
        <f t="shared" si="218"/>
        <v>#VALUE!</v>
      </c>
      <c r="C1934" t="s">
        <v>6152</v>
      </c>
      <c r="D1934" s="134">
        <v>39099</v>
      </c>
      <c r="E1934" s="135">
        <v>39142</v>
      </c>
      <c r="F1934" s="84">
        <f t="shared" si="219"/>
        <v>42795</v>
      </c>
      <c r="G1934" s="136">
        <v>1714.52</v>
      </c>
      <c r="H1934" s="137" t="s">
        <v>2239</v>
      </c>
      <c r="I1934" s="137" t="s">
        <v>812</v>
      </c>
      <c r="J1934" s="138" t="s">
        <v>6165</v>
      </c>
      <c r="K1934" s="55">
        <f t="shared" si="220"/>
        <v>2017</v>
      </c>
      <c r="L1934" s="139" t="s">
        <v>6166</v>
      </c>
      <c r="M1934" s="139" t="s">
        <v>6162</v>
      </c>
      <c r="N1934" s="213" t="s">
        <v>6177</v>
      </c>
      <c r="Q1934" s="140"/>
      <c r="R1934" s="273">
        <v>0</v>
      </c>
      <c r="S1934" s="273">
        <v>0</v>
      </c>
      <c r="T1934" s="274">
        <v>0</v>
      </c>
      <c r="U1934" s="275">
        <v>3430</v>
      </c>
      <c r="V1934" s="273"/>
      <c r="W1934" s="273"/>
      <c r="X1934" s="275"/>
      <c r="Z1934" s="184">
        <v>0.1</v>
      </c>
      <c r="AA1934" s="141">
        <v>0.09</v>
      </c>
      <c r="AB1934" s="142"/>
      <c r="AC1934" s="137"/>
    </row>
    <row r="1935" spans="1:29" ht="28" hidden="1" customHeight="1" x14ac:dyDescent="0.2">
      <c r="A1935" s="133" t="s">
        <v>6178</v>
      </c>
      <c r="B1935" s="118" t="e">
        <f t="shared" si="218"/>
        <v>#VALUE!</v>
      </c>
      <c r="C1935" t="s">
        <v>6152</v>
      </c>
      <c r="D1935" s="134">
        <v>39099</v>
      </c>
      <c r="E1935" s="135">
        <v>39142</v>
      </c>
      <c r="F1935" s="84">
        <f t="shared" si="219"/>
        <v>42795</v>
      </c>
      <c r="G1935" s="136">
        <v>2440</v>
      </c>
      <c r="H1935" s="137" t="s">
        <v>2239</v>
      </c>
      <c r="I1935" s="137" t="s">
        <v>812</v>
      </c>
      <c r="J1935" s="138" t="s">
        <v>6165</v>
      </c>
      <c r="K1935" s="55">
        <f t="shared" si="220"/>
        <v>2017</v>
      </c>
      <c r="L1935" s="139" t="s">
        <v>6166</v>
      </c>
      <c r="M1935" s="139" t="s">
        <v>6162</v>
      </c>
      <c r="N1935" s="213" t="s">
        <v>6179</v>
      </c>
      <c r="Q1935" s="140"/>
      <c r="R1935" s="273">
        <v>0</v>
      </c>
      <c r="S1935" s="273">
        <v>0</v>
      </c>
      <c r="T1935" s="274">
        <v>0</v>
      </c>
      <c r="U1935" s="275">
        <v>4880</v>
      </c>
      <c r="V1935" s="273"/>
      <c r="W1935" s="273"/>
      <c r="X1935" s="275"/>
      <c r="Z1935" s="184">
        <v>0.1</v>
      </c>
      <c r="AA1935" s="141">
        <v>0.09</v>
      </c>
      <c r="AB1935" s="142"/>
      <c r="AC1935" s="137"/>
    </row>
    <row r="1936" spans="1:29" ht="42" hidden="1" customHeight="1" x14ac:dyDescent="0.2">
      <c r="A1936" s="133" t="s">
        <v>6180</v>
      </c>
      <c r="B1936" s="118" t="e">
        <f t="shared" si="218"/>
        <v>#VALUE!</v>
      </c>
      <c r="C1936" t="s">
        <v>6152</v>
      </c>
      <c r="D1936" s="134">
        <v>39099</v>
      </c>
      <c r="E1936" s="135">
        <v>39142</v>
      </c>
      <c r="F1936" s="84">
        <f t="shared" si="219"/>
        <v>42795</v>
      </c>
      <c r="G1936" s="136">
        <v>2350</v>
      </c>
      <c r="H1936" s="137" t="s">
        <v>2239</v>
      </c>
      <c r="I1936" s="137" t="s">
        <v>812</v>
      </c>
      <c r="J1936" s="138" t="s">
        <v>6165</v>
      </c>
      <c r="K1936" s="55">
        <f t="shared" si="220"/>
        <v>2017</v>
      </c>
      <c r="L1936" s="139" t="s">
        <v>6166</v>
      </c>
      <c r="M1936" s="139" t="s">
        <v>6162</v>
      </c>
      <c r="N1936" s="213" t="s">
        <v>6181</v>
      </c>
      <c r="Q1936" s="140"/>
      <c r="R1936" s="273">
        <v>0</v>
      </c>
      <c r="S1936" s="273">
        <v>0</v>
      </c>
      <c r="T1936" s="274">
        <v>0</v>
      </c>
      <c r="U1936" s="275">
        <v>4700</v>
      </c>
      <c r="V1936" s="273"/>
      <c r="W1936" s="273"/>
      <c r="X1936" s="275"/>
      <c r="Z1936" s="184">
        <v>0.1</v>
      </c>
      <c r="AA1936" s="141">
        <v>0.09</v>
      </c>
      <c r="AB1936" s="142"/>
      <c r="AC1936" s="137"/>
    </row>
    <row r="1937" spans="1:29" ht="56" hidden="1" customHeight="1" x14ac:dyDescent="0.2">
      <c r="A1937" s="133" t="s">
        <v>6182</v>
      </c>
      <c r="B1937" s="118" t="e">
        <f t="shared" si="218"/>
        <v>#VALUE!</v>
      </c>
      <c r="C1937" t="s">
        <v>6152</v>
      </c>
      <c r="D1937" s="134">
        <v>39099</v>
      </c>
      <c r="E1937" s="135">
        <v>39142</v>
      </c>
      <c r="F1937" s="84">
        <f t="shared" si="219"/>
        <v>42795</v>
      </c>
      <c r="G1937" s="136">
        <v>2356</v>
      </c>
      <c r="H1937" s="137" t="s">
        <v>2239</v>
      </c>
      <c r="I1937" s="137" t="s">
        <v>812</v>
      </c>
      <c r="J1937" s="138" t="s">
        <v>6165</v>
      </c>
      <c r="K1937" s="55">
        <f t="shared" si="220"/>
        <v>2017</v>
      </c>
      <c r="L1937" s="139" t="s">
        <v>6166</v>
      </c>
      <c r="M1937" s="139" t="s">
        <v>6162</v>
      </c>
      <c r="N1937" s="213" t="s">
        <v>6183</v>
      </c>
      <c r="Q1937" s="140"/>
      <c r="R1937" s="273">
        <v>0</v>
      </c>
      <c r="S1937" s="273">
        <v>0</v>
      </c>
      <c r="T1937" s="274">
        <v>0</v>
      </c>
      <c r="U1937" s="275">
        <v>4712</v>
      </c>
      <c r="V1937" s="273"/>
      <c r="W1937" s="273"/>
      <c r="X1937" s="275"/>
      <c r="Z1937" s="184">
        <v>0.1</v>
      </c>
      <c r="AA1937" s="141">
        <v>0.09</v>
      </c>
      <c r="AB1937" s="142"/>
      <c r="AC1937" s="137"/>
    </row>
    <row r="1938" spans="1:29" ht="56" hidden="1" customHeight="1" x14ac:dyDescent="0.2">
      <c r="A1938" s="133" t="s">
        <v>6184</v>
      </c>
      <c r="B1938" s="118" t="e">
        <f t="shared" si="218"/>
        <v>#VALUE!</v>
      </c>
      <c r="C1938" t="s">
        <v>6152</v>
      </c>
      <c r="D1938" s="134">
        <v>39099</v>
      </c>
      <c r="E1938" s="135">
        <v>39142</v>
      </c>
      <c r="F1938" s="84">
        <f t="shared" si="219"/>
        <v>42795</v>
      </c>
      <c r="G1938" s="136">
        <v>1185.07</v>
      </c>
      <c r="H1938" s="137" t="s">
        <v>2239</v>
      </c>
      <c r="I1938" s="137" t="s">
        <v>812</v>
      </c>
      <c r="J1938" s="138" t="s">
        <v>6165</v>
      </c>
      <c r="K1938" s="55">
        <f t="shared" si="220"/>
        <v>2017</v>
      </c>
      <c r="L1938" s="139" t="s">
        <v>6166</v>
      </c>
      <c r="M1938" s="139" t="s">
        <v>6185</v>
      </c>
      <c r="N1938" s="213" t="s">
        <v>6186</v>
      </c>
      <c r="Q1938" s="140"/>
      <c r="R1938" s="273">
        <v>0</v>
      </c>
      <c r="S1938" s="273">
        <v>0</v>
      </c>
      <c r="T1938" s="274">
        <v>0</v>
      </c>
      <c r="U1938" s="275">
        <v>2372</v>
      </c>
      <c r="V1938" s="273"/>
      <c r="W1938" s="273"/>
      <c r="X1938" s="275"/>
      <c r="Z1938" s="184">
        <v>0.1</v>
      </c>
      <c r="AA1938" s="141">
        <v>0.09</v>
      </c>
      <c r="AB1938" s="142"/>
      <c r="AC1938" s="137"/>
    </row>
    <row r="1939" spans="1:29" ht="28" hidden="1" customHeight="1" x14ac:dyDescent="0.2">
      <c r="A1939" s="133" t="s">
        <v>6187</v>
      </c>
      <c r="B1939" s="118" t="e">
        <f t="shared" si="218"/>
        <v>#VALUE!</v>
      </c>
      <c r="C1939" t="s">
        <v>6152</v>
      </c>
      <c r="D1939" s="134">
        <v>39099</v>
      </c>
      <c r="E1939" s="135">
        <v>39142</v>
      </c>
      <c r="F1939" s="84">
        <f t="shared" si="219"/>
        <v>42795</v>
      </c>
      <c r="G1939" s="136">
        <v>920</v>
      </c>
      <c r="H1939" s="137" t="s">
        <v>2239</v>
      </c>
      <c r="I1939" s="137" t="s">
        <v>812</v>
      </c>
      <c r="J1939" s="138" t="s">
        <v>6165</v>
      </c>
      <c r="K1939" s="55">
        <f t="shared" si="220"/>
        <v>2017</v>
      </c>
      <c r="L1939" s="139" t="s">
        <v>6166</v>
      </c>
      <c r="M1939" s="139" t="s">
        <v>6185</v>
      </c>
      <c r="N1939" s="213" t="s">
        <v>6188</v>
      </c>
      <c r="Q1939" s="140"/>
      <c r="R1939" s="273">
        <v>0</v>
      </c>
      <c r="S1939" s="273">
        <v>0</v>
      </c>
      <c r="T1939" s="274">
        <v>0</v>
      </c>
      <c r="U1939" s="275">
        <v>1840</v>
      </c>
      <c r="V1939" s="273"/>
      <c r="W1939" s="273"/>
      <c r="X1939" s="275"/>
      <c r="Z1939" s="184">
        <v>0.1</v>
      </c>
      <c r="AA1939" s="141">
        <v>0.09</v>
      </c>
      <c r="AB1939" s="142"/>
      <c r="AC1939" s="137"/>
    </row>
    <row r="1940" spans="1:29" ht="42" hidden="1" customHeight="1" x14ac:dyDescent="0.2">
      <c r="A1940" s="133" t="s">
        <v>6189</v>
      </c>
      <c r="B1940" s="118" t="e">
        <f t="shared" si="218"/>
        <v>#VALUE!</v>
      </c>
      <c r="C1940" t="s">
        <v>6152</v>
      </c>
      <c r="D1940" s="134">
        <v>39099</v>
      </c>
      <c r="E1940" s="135">
        <v>39142</v>
      </c>
      <c r="F1940" s="84">
        <f t="shared" si="219"/>
        <v>42795</v>
      </c>
      <c r="G1940" s="136">
        <v>1420</v>
      </c>
      <c r="H1940" s="137" t="s">
        <v>2239</v>
      </c>
      <c r="I1940" s="137" t="s">
        <v>812</v>
      </c>
      <c r="J1940" s="138" t="s">
        <v>6165</v>
      </c>
      <c r="K1940" s="55">
        <f t="shared" si="220"/>
        <v>2017</v>
      </c>
      <c r="L1940" s="139" t="s">
        <v>6166</v>
      </c>
      <c r="M1940" s="139" t="s">
        <v>6185</v>
      </c>
      <c r="N1940" s="213" t="s">
        <v>6190</v>
      </c>
      <c r="Q1940" s="140"/>
      <c r="R1940" s="273">
        <v>0</v>
      </c>
      <c r="S1940" s="273">
        <v>0</v>
      </c>
      <c r="T1940" s="274">
        <v>0</v>
      </c>
      <c r="U1940" s="275">
        <v>2840</v>
      </c>
      <c r="V1940" s="273"/>
      <c r="W1940" s="273"/>
      <c r="X1940" s="275"/>
      <c r="Z1940" s="184">
        <v>0.1</v>
      </c>
      <c r="AA1940" s="141">
        <v>0.09</v>
      </c>
      <c r="AB1940" s="142"/>
      <c r="AC1940" s="137"/>
    </row>
    <row r="1941" spans="1:29" ht="84" hidden="1" customHeight="1" x14ac:dyDescent="0.2">
      <c r="A1941" s="133" t="s">
        <v>6191</v>
      </c>
      <c r="B1941" s="118" t="e">
        <f t="shared" si="218"/>
        <v>#VALUE!</v>
      </c>
      <c r="C1941" t="s">
        <v>6152</v>
      </c>
      <c r="D1941" s="134">
        <v>39099</v>
      </c>
      <c r="E1941" s="135">
        <v>39142</v>
      </c>
      <c r="F1941" s="84">
        <f t="shared" si="219"/>
        <v>42795</v>
      </c>
      <c r="G1941" s="136">
        <v>2050</v>
      </c>
      <c r="H1941" s="137" t="s">
        <v>2239</v>
      </c>
      <c r="I1941" s="137" t="s">
        <v>812</v>
      </c>
      <c r="J1941" s="138" t="s">
        <v>6165</v>
      </c>
      <c r="K1941" s="55">
        <f t="shared" si="220"/>
        <v>2017</v>
      </c>
      <c r="L1941" s="139" t="s">
        <v>6166</v>
      </c>
      <c r="M1941" s="139" t="s">
        <v>6185</v>
      </c>
      <c r="N1941" s="213" t="s">
        <v>6192</v>
      </c>
      <c r="Q1941" s="140"/>
      <c r="R1941" s="273">
        <v>0</v>
      </c>
      <c r="S1941" s="273">
        <v>0</v>
      </c>
      <c r="T1941" s="274">
        <v>0</v>
      </c>
      <c r="U1941" s="275">
        <v>4100</v>
      </c>
      <c r="V1941" s="273"/>
      <c r="W1941" s="273"/>
      <c r="X1941" s="275"/>
      <c r="Z1941" s="184">
        <v>0.1</v>
      </c>
      <c r="AA1941" s="141">
        <v>0.09</v>
      </c>
      <c r="AB1941" s="142"/>
      <c r="AC1941" s="137"/>
    </row>
    <row r="1942" spans="1:29" ht="56" hidden="1" customHeight="1" x14ac:dyDescent="0.2">
      <c r="A1942" s="133" t="s">
        <v>6193</v>
      </c>
      <c r="B1942" s="118" t="e">
        <f t="shared" si="218"/>
        <v>#VALUE!</v>
      </c>
      <c r="C1942" t="s">
        <v>6152</v>
      </c>
      <c r="D1942" s="134">
        <v>39099</v>
      </c>
      <c r="E1942" s="135">
        <v>39142</v>
      </c>
      <c r="F1942" s="84">
        <f t="shared" si="219"/>
        <v>42795</v>
      </c>
      <c r="G1942" s="136">
        <v>2456.08</v>
      </c>
      <c r="H1942" s="137" t="s">
        <v>2239</v>
      </c>
      <c r="I1942" s="137" t="s">
        <v>812</v>
      </c>
      <c r="J1942" s="138" t="s">
        <v>6165</v>
      </c>
      <c r="K1942" s="55">
        <f t="shared" si="220"/>
        <v>2017</v>
      </c>
      <c r="L1942" s="139" t="s">
        <v>6166</v>
      </c>
      <c r="M1942" s="139" t="s">
        <v>6185</v>
      </c>
      <c r="N1942" s="213" t="s">
        <v>6194</v>
      </c>
      <c r="Q1942" s="140"/>
      <c r="R1942" s="273">
        <v>0</v>
      </c>
      <c r="S1942" s="273">
        <v>0</v>
      </c>
      <c r="T1942" s="274">
        <v>0</v>
      </c>
      <c r="U1942" s="275">
        <v>4914</v>
      </c>
      <c r="V1942" s="273"/>
      <c r="W1942" s="273"/>
      <c r="X1942" s="275"/>
      <c r="Z1942" s="184">
        <v>0.1</v>
      </c>
      <c r="AA1942" s="141">
        <v>0.09</v>
      </c>
      <c r="AB1942" s="142"/>
      <c r="AC1942" s="137"/>
    </row>
    <row r="1943" spans="1:29" ht="16" hidden="1" x14ac:dyDescent="0.2">
      <c r="A1943" s="143"/>
      <c r="D1943" s="134"/>
      <c r="E1943" s="135"/>
      <c r="F1943" s="135"/>
      <c r="G1943" s="136"/>
      <c r="H1943" s="137"/>
      <c r="I1943" s="137"/>
      <c r="J1943" s="144"/>
      <c r="K1943" s="144"/>
      <c r="L1943" s="139"/>
      <c r="M1943" s="139"/>
      <c r="N1943" s="213" t="s">
        <v>6158</v>
      </c>
      <c r="Q1943" s="140"/>
      <c r="R1943" s="273"/>
      <c r="S1943" s="273"/>
      <c r="T1943" s="274"/>
      <c r="U1943" s="275"/>
      <c r="V1943" s="273"/>
      <c r="W1943" s="273"/>
      <c r="X1943" s="275"/>
      <c r="Z1943" s="184"/>
      <c r="AA1943" s="141"/>
      <c r="AB1943" s="142"/>
      <c r="AC1943" s="137"/>
    </row>
    <row r="1944" spans="1:29" ht="98" hidden="1" customHeight="1" x14ac:dyDescent="0.2">
      <c r="A1944" s="133" t="s">
        <v>6195</v>
      </c>
      <c r="B1944" s="118" t="e">
        <f>IF(COUNTIF(GIS,A1944),"YES","NO")</f>
        <v>#VALUE!</v>
      </c>
      <c r="C1944" t="s">
        <v>6152</v>
      </c>
      <c r="D1944" s="134">
        <v>39372</v>
      </c>
      <c r="E1944" s="135">
        <v>39417</v>
      </c>
      <c r="F1944" s="84">
        <f>DATE(YEAR(E1944)+10,MONTH(E1944),DAY(E1944))</f>
        <v>43070</v>
      </c>
      <c r="G1944" s="136">
        <v>348.75</v>
      </c>
      <c r="H1944" s="137" t="s">
        <v>2239</v>
      </c>
      <c r="I1944" s="137" t="s">
        <v>812</v>
      </c>
      <c r="J1944" s="138" t="s">
        <v>6165</v>
      </c>
      <c r="K1944" s="55">
        <f>YEAR(F1944)</f>
        <v>2017</v>
      </c>
      <c r="L1944" s="139" t="s">
        <v>6161</v>
      </c>
      <c r="M1944" s="139" t="s">
        <v>6196</v>
      </c>
      <c r="N1944" s="213" t="s">
        <v>6197</v>
      </c>
      <c r="Q1944" s="140"/>
      <c r="R1944" s="273">
        <v>0</v>
      </c>
      <c r="S1944" s="273">
        <v>0</v>
      </c>
      <c r="T1944" s="274">
        <v>0</v>
      </c>
      <c r="U1944" s="275">
        <v>698</v>
      </c>
      <c r="V1944" s="273"/>
      <c r="W1944" s="273"/>
      <c r="X1944" s="275"/>
      <c r="Z1944" s="184">
        <v>0.1</v>
      </c>
      <c r="AA1944" s="141">
        <v>0.09</v>
      </c>
      <c r="AB1944" s="142"/>
      <c r="AC1944" s="137"/>
    </row>
    <row r="1945" spans="1:29" ht="85" hidden="1" customHeight="1" x14ac:dyDescent="0.2">
      <c r="A1945" s="133" t="s">
        <v>6198</v>
      </c>
      <c r="B1945" s="118" t="e">
        <f>IF(COUNTIF(GIS,A1945),"YES","NO")</f>
        <v>#VALUE!</v>
      </c>
      <c r="C1945" t="s">
        <v>6152</v>
      </c>
      <c r="D1945" s="134">
        <v>39372</v>
      </c>
      <c r="E1945" s="135">
        <v>39417</v>
      </c>
      <c r="F1945" s="84">
        <f>DATE(YEAR(E1945)+10,MONTH(E1945),DAY(E1945))</f>
        <v>43070</v>
      </c>
      <c r="G1945" s="136">
        <v>425</v>
      </c>
      <c r="H1945" s="137" t="s">
        <v>2239</v>
      </c>
      <c r="I1945" s="137" t="s">
        <v>812</v>
      </c>
      <c r="J1945" s="138" t="s">
        <v>6165</v>
      </c>
      <c r="K1945" s="55">
        <f>YEAR(F1945)</f>
        <v>2017</v>
      </c>
      <c r="L1945" s="139" t="s">
        <v>6161</v>
      </c>
      <c r="M1945" s="139" t="s">
        <v>6162</v>
      </c>
      <c r="N1945" s="145" t="s">
        <v>6199</v>
      </c>
      <c r="Q1945" s="140"/>
      <c r="R1945" s="273">
        <v>0</v>
      </c>
      <c r="S1945" s="273">
        <v>0</v>
      </c>
      <c r="T1945" s="274">
        <v>0</v>
      </c>
      <c r="U1945" s="275">
        <v>850</v>
      </c>
      <c r="V1945" s="273"/>
      <c r="W1945" s="273"/>
      <c r="X1945" s="275"/>
      <c r="Z1945" s="184">
        <v>0.1</v>
      </c>
      <c r="AA1945" s="141">
        <v>0.09</v>
      </c>
      <c r="AB1945" s="142"/>
      <c r="AC1945" s="137"/>
    </row>
    <row r="1946" spans="1:29" ht="16" hidden="1" x14ac:dyDescent="0.2">
      <c r="A1946" s="143"/>
      <c r="D1946" s="134"/>
      <c r="E1946" s="135"/>
      <c r="F1946" s="135"/>
      <c r="G1946" s="136"/>
      <c r="H1946" s="137"/>
      <c r="I1946" s="137"/>
      <c r="J1946" s="144"/>
      <c r="K1946" s="144"/>
      <c r="L1946" s="139"/>
      <c r="M1946" s="139"/>
      <c r="N1946" s="213" t="s">
        <v>6158</v>
      </c>
      <c r="Q1946" s="140"/>
      <c r="R1946" s="273"/>
      <c r="S1946" s="273"/>
      <c r="T1946" s="274"/>
      <c r="U1946" s="275"/>
      <c r="V1946" s="273"/>
      <c r="W1946" s="273"/>
      <c r="X1946" s="275"/>
      <c r="Z1946" s="184"/>
      <c r="AA1946" s="141"/>
      <c r="AB1946" s="142"/>
      <c r="AC1946" s="137"/>
    </row>
    <row r="1947" spans="1:29" ht="28" customHeight="1" x14ac:dyDescent="0.2">
      <c r="A1947" s="133" t="s">
        <v>6200</v>
      </c>
      <c r="B1947" s="118" t="e">
        <f t="shared" ref="B1947:B1952" si="221">IF(COUNTIF(GIS,A1947),"YES","NO")</f>
        <v>#VALUE!</v>
      </c>
      <c r="C1947" t="s">
        <v>6152</v>
      </c>
      <c r="D1947" s="134">
        <v>39800</v>
      </c>
      <c r="E1947" s="135">
        <v>39845</v>
      </c>
      <c r="F1947" s="84">
        <f t="shared" ref="F1947:F1952" si="222">DATE(YEAR(E1947)+10,MONTH(E1947),DAY(E1947))</f>
        <v>43497</v>
      </c>
      <c r="G1947" s="136">
        <v>40.01</v>
      </c>
      <c r="H1947" s="137" t="s">
        <v>6201</v>
      </c>
      <c r="I1947" s="137" t="s">
        <v>931</v>
      </c>
      <c r="J1947" s="138" t="s">
        <v>6153</v>
      </c>
      <c r="K1947" s="55">
        <f t="shared" ref="K1947:K1952" si="223">YEAR(F1947)</f>
        <v>2019</v>
      </c>
      <c r="L1947" s="139" t="s">
        <v>6202</v>
      </c>
      <c r="M1947" s="139" t="s">
        <v>6203</v>
      </c>
      <c r="N1947" s="213" t="s">
        <v>6204</v>
      </c>
      <c r="Q1947" s="140"/>
      <c r="R1947" s="273">
        <v>283.5</v>
      </c>
      <c r="S1947" s="273">
        <v>82</v>
      </c>
      <c r="T1947" s="274">
        <v>365.5</v>
      </c>
      <c r="U1947" s="275">
        <v>82</v>
      </c>
      <c r="V1947" s="273"/>
      <c r="W1947" s="273"/>
      <c r="X1947" s="275"/>
      <c r="Z1947" s="184">
        <v>0.1</v>
      </c>
      <c r="AA1947" s="141">
        <v>0.09</v>
      </c>
      <c r="AB1947" s="142"/>
      <c r="AC1947" s="137"/>
    </row>
    <row r="1948" spans="1:29" ht="28" customHeight="1" x14ac:dyDescent="0.2">
      <c r="A1948" s="133" t="s">
        <v>6205</v>
      </c>
      <c r="B1948" s="118" t="e">
        <f t="shared" si="221"/>
        <v>#VALUE!</v>
      </c>
      <c r="C1948" t="s">
        <v>6152</v>
      </c>
      <c r="D1948" s="134">
        <v>39800</v>
      </c>
      <c r="E1948" s="135">
        <v>39845</v>
      </c>
      <c r="F1948" s="84">
        <f t="shared" si="222"/>
        <v>43497</v>
      </c>
      <c r="G1948" s="136">
        <v>160</v>
      </c>
      <c r="H1948" s="137" t="s">
        <v>6201</v>
      </c>
      <c r="I1948" s="137" t="s">
        <v>931</v>
      </c>
      <c r="J1948" s="138" t="s">
        <v>6153</v>
      </c>
      <c r="K1948" s="55">
        <f t="shared" si="223"/>
        <v>2019</v>
      </c>
      <c r="L1948" s="139" t="s">
        <v>6202</v>
      </c>
      <c r="M1948" s="139" t="s">
        <v>6203</v>
      </c>
      <c r="N1948" s="213" t="s">
        <v>6206</v>
      </c>
      <c r="Q1948" s="140"/>
      <c r="R1948" s="273">
        <v>700</v>
      </c>
      <c r="S1948" s="273">
        <v>320</v>
      </c>
      <c r="T1948" s="274">
        <v>1020</v>
      </c>
      <c r="U1948" s="275">
        <v>320</v>
      </c>
      <c r="V1948" s="273"/>
      <c r="W1948" s="273"/>
      <c r="X1948" s="275"/>
      <c r="Z1948" s="184">
        <v>0.1</v>
      </c>
      <c r="AA1948" s="141">
        <v>0.09</v>
      </c>
      <c r="AB1948" s="142"/>
      <c r="AC1948" s="137"/>
    </row>
    <row r="1949" spans="1:29" ht="28" customHeight="1" x14ac:dyDescent="0.2">
      <c r="A1949" s="133" t="s">
        <v>6207</v>
      </c>
      <c r="B1949" s="118" t="e">
        <f t="shared" si="221"/>
        <v>#VALUE!</v>
      </c>
      <c r="C1949" t="s">
        <v>6152</v>
      </c>
      <c r="D1949" s="134">
        <v>39800</v>
      </c>
      <c r="E1949" s="135">
        <v>39845</v>
      </c>
      <c r="F1949" s="84">
        <f t="shared" si="222"/>
        <v>43497</v>
      </c>
      <c r="G1949" s="136">
        <v>428.23</v>
      </c>
      <c r="H1949" s="137" t="s">
        <v>4776</v>
      </c>
      <c r="I1949" s="137" t="s">
        <v>931</v>
      </c>
      <c r="J1949" s="138" t="s">
        <v>6153</v>
      </c>
      <c r="K1949" s="55">
        <f t="shared" si="223"/>
        <v>2019</v>
      </c>
      <c r="L1949" s="139" t="s">
        <v>6208</v>
      </c>
      <c r="M1949" s="139" t="s">
        <v>6209</v>
      </c>
      <c r="N1949" s="213" t="s">
        <v>6210</v>
      </c>
      <c r="Q1949" s="140"/>
      <c r="R1949" s="273">
        <v>1641.5</v>
      </c>
      <c r="S1949" s="273">
        <v>858</v>
      </c>
      <c r="T1949" s="274">
        <v>2499.5</v>
      </c>
      <c r="U1949" s="275">
        <v>858</v>
      </c>
      <c r="V1949" s="273"/>
      <c r="W1949" s="273"/>
      <c r="X1949" s="275"/>
      <c r="Z1949" s="184">
        <v>0.1</v>
      </c>
      <c r="AA1949" s="141">
        <v>0.09</v>
      </c>
      <c r="AB1949" s="142"/>
      <c r="AC1949" s="137"/>
    </row>
    <row r="1950" spans="1:29" ht="112" customHeight="1" x14ac:dyDescent="0.2">
      <c r="A1950" s="133" t="s">
        <v>6211</v>
      </c>
      <c r="B1950" s="118" t="e">
        <f t="shared" si="221"/>
        <v>#VALUE!</v>
      </c>
      <c r="C1950" t="s">
        <v>6152</v>
      </c>
      <c r="D1950" s="134">
        <v>39800</v>
      </c>
      <c r="E1950" s="135">
        <v>39845</v>
      </c>
      <c r="F1950" s="84">
        <f t="shared" si="222"/>
        <v>43497</v>
      </c>
      <c r="G1950" s="136">
        <v>477.28</v>
      </c>
      <c r="H1950" s="137" t="s">
        <v>4776</v>
      </c>
      <c r="I1950" s="137" t="s">
        <v>931</v>
      </c>
      <c r="J1950" s="138" t="s">
        <v>6153</v>
      </c>
      <c r="K1950" s="55">
        <f t="shared" si="223"/>
        <v>2019</v>
      </c>
      <c r="L1950" s="139" t="s">
        <v>6208</v>
      </c>
      <c r="M1950" s="139" t="s">
        <v>6209</v>
      </c>
      <c r="N1950" s="213" t="s">
        <v>6212</v>
      </c>
      <c r="Q1950" s="140"/>
      <c r="R1950" s="273">
        <v>1813</v>
      </c>
      <c r="S1950" s="273">
        <v>956</v>
      </c>
      <c r="T1950" s="274">
        <v>2769</v>
      </c>
      <c r="U1950" s="275">
        <v>956</v>
      </c>
      <c r="V1950" s="273"/>
      <c r="W1950" s="273"/>
      <c r="X1950" s="275"/>
      <c r="Z1950" s="184">
        <v>0.1</v>
      </c>
      <c r="AA1950" s="141">
        <v>0.09</v>
      </c>
      <c r="AB1950" s="142"/>
      <c r="AC1950" s="137"/>
    </row>
    <row r="1951" spans="1:29" ht="28" customHeight="1" x14ac:dyDescent="0.2">
      <c r="A1951" s="133" t="s">
        <v>6213</v>
      </c>
      <c r="B1951" s="118" t="e">
        <f t="shared" si="221"/>
        <v>#VALUE!</v>
      </c>
      <c r="C1951" t="s">
        <v>6152</v>
      </c>
      <c r="D1951" s="134">
        <v>39800</v>
      </c>
      <c r="E1951" s="135">
        <v>39845</v>
      </c>
      <c r="F1951" s="84">
        <f t="shared" si="222"/>
        <v>43497</v>
      </c>
      <c r="G1951" s="136">
        <v>40</v>
      </c>
      <c r="H1951" s="137" t="s">
        <v>4776</v>
      </c>
      <c r="I1951" s="137" t="s">
        <v>931</v>
      </c>
      <c r="J1951" s="138" t="s">
        <v>6153</v>
      </c>
      <c r="K1951" s="55">
        <f t="shared" si="223"/>
        <v>2019</v>
      </c>
      <c r="L1951" s="139" t="s">
        <v>6208</v>
      </c>
      <c r="M1951" s="139" t="s">
        <v>6209</v>
      </c>
      <c r="N1951" s="213" t="s">
        <v>6214</v>
      </c>
      <c r="Q1951" s="140"/>
      <c r="R1951" s="273">
        <v>980</v>
      </c>
      <c r="S1951" s="273">
        <v>480</v>
      </c>
      <c r="T1951" s="274">
        <v>1460</v>
      </c>
      <c r="U1951" s="275">
        <v>80</v>
      </c>
      <c r="V1951" s="273"/>
      <c r="W1951" s="273"/>
      <c r="X1951" s="275"/>
      <c r="Z1951" s="184">
        <v>0.1</v>
      </c>
      <c r="AA1951" s="141">
        <v>0.09</v>
      </c>
      <c r="AB1951" s="142"/>
      <c r="AC1951" s="137"/>
    </row>
    <row r="1952" spans="1:29" ht="28" customHeight="1" x14ac:dyDescent="0.2">
      <c r="A1952" s="133" t="s">
        <v>6215</v>
      </c>
      <c r="B1952" s="118" t="e">
        <f t="shared" si="221"/>
        <v>#VALUE!</v>
      </c>
      <c r="C1952" t="s">
        <v>6152</v>
      </c>
      <c r="D1952" s="134">
        <v>39800</v>
      </c>
      <c r="E1952" s="135">
        <v>39845</v>
      </c>
      <c r="F1952" s="84">
        <f t="shared" si="222"/>
        <v>43497</v>
      </c>
      <c r="G1952" s="136">
        <v>40.36</v>
      </c>
      <c r="H1952" s="137" t="s">
        <v>4776</v>
      </c>
      <c r="I1952" s="137" t="s">
        <v>931</v>
      </c>
      <c r="J1952" s="138" t="s">
        <v>6153</v>
      </c>
      <c r="K1952" s="55">
        <f t="shared" si="223"/>
        <v>2019</v>
      </c>
      <c r="L1952" s="139" t="s">
        <v>6208</v>
      </c>
      <c r="M1952" s="139" t="s">
        <v>6209</v>
      </c>
      <c r="N1952" s="213" t="s">
        <v>6216</v>
      </c>
      <c r="Q1952" s="140"/>
      <c r="R1952" s="273">
        <v>283.5</v>
      </c>
      <c r="S1952" s="273">
        <v>82</v>
      </c>
      <c r="T1952" s="274">
        <v>365.5</v>
      </c>
      <c r="U1952" s="275">
        <v>82</v>
      </c>
      <c r="V1952" s="273"/>
      <c r="W1952" s="273"/>
      <c r="X1952" s="275"/>
      <c r="Z1952" s="184">
        <v>0.1</v>
      </c>
      <c r="AA1952" s="141">
        <v>0.09</v>
      </c>
      <c r="AB1952" s="142"/>
      <c r="AC1952" s="137"/>
    </row>
    <row r="1953" spans="1:29" ht="16" hidden="1" x14ac:dyDescent="0.2">
      <c r="A1953" s="143"/>
      <c r="D1953" s="134"/>
      <c r="E1953" s="135"/>
      <c r="F1953" s="135"/>
      <c r="G1953" s="136"/>
      <c r="H1953" s="137"/>
      <c r="I1953" s="137"/>
      <c r="J1953" s="144"/>
      <c r="K1953" s="144"/>
      <c r="L1953" s="139"/>
      <c r="M1953" s="139"/>
      <c r="N1953" s="213" t="s">
        <v>6158</v>
      </c>
      <c r="Q1953" s="140"/>
      <c r="R1953" s="273"/>
      <c r="S1953" s="273"/>
      <c r="T1953" s="274"/>
      <c r="U1953" s="275"/>
      <c r="V1953" s="273"/>
      <c r="W1953" s="273"/>
      <c r="X1953" s="275"/>
      <c r="Z1953" s="184"/>
      <c r="AA1953" s="141"/>
      <c r="AB1953" s="142"/>
      <c r="AC1953" s="137"/>
    </row>
    <row r="1954" spans="1:29" ht="16" hidden="1" x14ac:dyDescent="0.2">
      <c r="A1954" s="146"/>
      <c r="D1954" s="134"/>
      <c r="E1954" s="135"/>
      <c r="F1954" s="135"/>
      <c r="G1954" s="136"/>
      <c r="H1954" s="137"/>
      <c r="I1954" s="137"/>
      <c r="J1954" s="144"/>
      <c r="K1954" s="144"/>
      <c r="L1954" s="139"/>
      <c r="M1954" s="139"/>
      <c r="N1954" s="213" t="s">
        <v>6158</v>
      </c>
      <c r="Q1954" s="140"/>
      <c r="R1954" s="276">
        <v>5701.5</v>
      </c>
      <c r="S1954" s="276">
        <v>2778</v>
      </c>
      <c r="T1954" s="276">
        <v>8479.5</v>
      </c>
      <c r="U1954" s="275"/>
      <c r="V1954" s="273"/>
      <c r="W1954" s="273"/>
      <c r="X1954" s="275"/>
      <c r="Z1954" s="184"/>
      <c r="AA1954" s="141"/>
      <c r="AB1954" s="142"/>
      <c r="AC1954" s="137"/>
    </row>
    <row r="1955" spans="1:29" ht="15" hidden="1" customHeight="1" thickTop="1" x14ac:dyDescent="0.2">
      <c r="A1955" s="143"/>
      <c r="D1955" s="134"/>
      <c r="E1955" s="135"/>
      <c r="F1955" s="135"/>
      <c r="G1955" s="136"/>
      <c r="H1955" s="137"/>
      <c r="I1955" s="137"/>
      <c r="J1955" s="144"/>
      <c r="K1955" s="144"/>
      <c r="L1955" s="139"/>
      <c r="M1955" s="139"/>
      <c r="N1955" s="213" t="s">
        <v>6158</v>
      </c>
      <c r="Q1955" s="140"/>
      <c r="R1955" s="277"/>
      <c r="S1955" s="277"/>
      <c r="T1955" s="278"/>
      <c r="U1955" s="275"/>
      <c r="V1955" s="273"/>
      <c r="W1955" s="273"/>
      <c r="X1955" s="275"/>
      <c r="Z1955" s="184"/>
      <c r="AA1955" s="141"/>
      <c r="AB1955" s="142"/>
      <c r="AC1955" s="137"/>
    </row>
    <row r="1956" spans="1:29" ht="28" customHeight="1" x14ac:dyDescent="0.2">
      <c r="A1956" s="133" t="s">
        <v>6217</v>
      </c>
      <c r="B1956" s="118" t="e">
        <f>IF(COUNTIF(GIS,A1956),"YES","NO")</f>
        <v>#VALUE!</v>
      </c>
      <c r="C1956" t="s">
        <v>6152</v>
      </c>
      <c r="D1956" s="134">
        <v>40521</v>
      </c>
      <c r="E1956" s="135">
        <v>40575</v>
      </c>
      <c r="F1956" s="84">
        <f>DATE(YEAR(E1956)+10,MONTH(E1956),DAY(E1956))</f>
        <v>44228</v>
      </c>
      <c r="G1956" s="136">
        <v>1.24</v>
      </c>
      <c r="H1956" s="137" t="s">
        <v>6218</v>
      </c>
      <c r="I1956" s="137" t="s">
        <v>684</v>
      </c>
      <c r="J1956" s="138" t="s">
        <v>6153</v>
      </c>
      <c r="K1956" s="55">
        <f>YEAR(F1956)</f>
        <v>2021</v>
      </c>
      <c r="L1956" s="139" t="s">
        <v>6219</v>
      </c>
      <c r="M1956" s="139" t="s">
        <v>6220</v>
      </c>
      <c r="N1956" s="213" t="s">
        <v>6221</v>
      </c>
      <c r="Q1956" s="140"/>
      <c r="R1956" s="273">
        <v>152</v>
      </c>
      <c r="S1956" s="273">
        <v>0</v>
      </c>
      <c r="T1956" s="274">
        <v>152</v>
      </c>
      <c r="U1956" s="275">
        <v>4</v>
      </c>
      <c r="V1956" s="273"/>
      <c r="W1956" s="273"/>
      <c r="X1956" s="275"/>
      <c r="Z1956" s="184">
        <v>0.1</v>
      </c>
      <c r="AA1956" s="141">
        <v>0.09</v>
      </c>
      <c r="AB1956" s="142"/>
      <c r="AC1956" s="137"/>
    </row>
    <row r="1957" spans="1:29" ht="42" customHeight="1" x14ac:dyDescent="0.2">
      <c r="A1957" s="133" t="s">
        <v>6222</v>
      </c>
      <c r="B1957" s="118" t="e">
        <f>IF(COUNTIF(GIS,A1957),"YES","NO")</f>
        <v>#VALUE!</v>
      </c>
      <c r="C1957" t="s">
        <v>6152</v>
      </c>
      <c r="D1957" s="134">
        <v>40521</v>
      </c>
      <c r="E1957" s="135">
        <v>40575</v>
      </c>
      <c r="F1957" s="84">
        <f>DATE(YEAR(E1957)+10,MONTH(E1957),DAY(E1957))</f>
        <v>44228</v>
      </c>
      <c r="G1957" s="136">
        <v>160</v>
      </c>
      <c r="H1957" s="137" t="s">
        <v>3151</v>
      </c>
      <c r="I1957" s="137" t="s">
        <v>1703</v>
      </c>
      <c r="J1957" s="138" t="s">
        <v>6153</v>
      </c>
      <c r="K1957" s="55">
        <f>YEAR(F1957)</f>
        <v>2021</v>
      </c>
      <c r="L1957" s="139" t="s">
        <v>6223</v>
      </c>
      <c r="M1957" s="139" t="s">
        <v>6224</v>
      </c>
      <c r="N1957" s="213" t="s">
        <v>6225</v>
      </c>
      <c r="Q1957" s="140"/>
      <c r="R1957" s="273">
        <v>705</v>
      </c>
      <c r="S1957" s="273">
        <v>0</v>
      </c>
      <c r="T1957" s="274">
        <v>705</v>
      </c>
      <c r="U1957" s="275">
        <v>320</v>
      </c>
      <c r="V1957" s="273"/>
      <c r="W1957" s="273"/>
      <c r="X1957" s="275"/>
      <c r="Z1957" s="184">
        <v>0.1</v>
      </c>
      <c r="AA1957" s="141">
        <v>0.09</v>
      </c>
      <c r="AB1957" s="142"/>
      <c r="AC1957" s="137"/>
    </row>
    <row r="1958" spans="1:29" ht="16" hidden="1" x14ac:dyDescent="0.2">
      <c r="A1958" s="143"/>
      <c r="D1958" s="134"/>
      <c r="E1958" s="135"/>
      <c r="F1958" s="135"/>
      <c r="G1958" s="136"/>
      <c r="H1958" s="137"/>
      <c r="I1958" s="137"/>
      <c r="J1958" s="144"/>
      <c r="K1958" s="144"/>
      <c r="L1958" s="139"/>
      <c r="M1958" s="139"/>
      <c r="N1958" s="213" t="s">
        <v>6158</v>
      </c>
      <c r="Q1958" s="140"/>
      <c r="R1958" s="273"/>
      <c r="S1958" s="273"/>
      <c r="T1958" s="274"/>
      <c r="U1958" s="275"/>
      <c r="V1958" s="273"/>
      <c r="W1958" s="273"/>
      <c r="X1958" s="275"/>
      <c r="Z1958" s="184"/>
      <c r="AA1958" s="141"/>
      <c r="AB1958" s="142"/>
      <c r="AC1958" s="137"/>
    </row>
    <row r="1959" spans="1:29" ht="16" hidden="1" x14ac:dyDescent="0.2">
      <c r="A1959" s="143"/>
      <c r="D1959" s="134"/>
      <c r="E1959" s="135"/>
      <c r="F1959" s="135"/>
      <c r="G1959" s="136"/>
      <c r="H1959" s="137"/>
      <c r="I1959" s="137"/>
      <c r="J1959" s="144"/>
      <c r="K1959" s="144"/>
      <c r="L1959" s="139"/>
      <c r="M1959" s="139"/>
      <c r="N1959" s="213" t="s">
        <v>6158</v>
      </c>
      <c r="Q1959" s="140"/>
      <c r="R1959" s="276">
        <v>857</v>
      </c>
      <c r="S1959" s="276">
        <v>0</v>
      </c>
      <c r="T1959" s="276">
        <v>857</v>
      </c>
      <c r="U1959" s="275"/>
      <c r="V1959" s="273"/>
      <c r="W1959" s="273"/>
      <c r="X1959" s="275"/>
      <c r="Z1959" s="184"/>
      <c r="AA1959" s="141"/>
      <c r="AB1959" s="142"/>
      <c r="AC1959" s="137"/>
    </row>
    <row r="1960" spans="1:29" ht="15" hidden="1" customHeight="1" thickTop="1" x14ac:dyDescent="0.2">
      <c r="A1960" s="147"/>
      <c r="D1960" s="148"/>
      <c r="E1960" s="149"/>
      <c r="F1960" s="149"/>
      <c r="G1960" s="150"/>
      <c r="H1960" s="149"/>
      <c r="I1960" s="149"/>
      <c r="J1960" s="151"/>
      <c r="K1960" s="151"/>
      <c r="L1960" s="149"/>
      <c r="M1960" s="149"/>
      <c r="N1960" s="213" t="s">
        <v>6158</v>
      </c>
      <c r="Q1960" s="152"/>
      <c r="R1960" s="279"/>
      <c r="S1960" s="279"/>
      <c r="T1960" s="280"/>
      <c r="U1960" s="281"/>
      <c r="V1960" s="282"/>
      <c r="W1960" s="282"/>
      <c r="X1960" s="281"/>
      <c r="Z1960" s="153"/>
      <c r="AA1960" s="154"/>
      <c r="AB1960" s="155"/>
      <c r="AC1960" s="149"/>
    </row>
    <row r="1961" spans="1:29" ht="28" customHeight="1" x14ac:dyDescent="0.2">
      <c r="A1961" s="156" t="s">
        <v>6226</v>
      </c>
      <c r="B1961" s="118" t="e">
        <f t="shared" ref="B1961:B1974" si="224">IF(COUNTIF(GIS,A1961),"YES","NO")</f>
        <v>#VALUE!</v>
      </c>
      <c r="C1961" t="s">
        <v>6152</v>
      </c>
      <c r="D1961" s="157">
        <v>40589</v>
      </c>
      <c r="E1961" s="157">
        <v>40634</v>
      </c>
      <c r="F1961" s="84">
        <f t="shared" ref="F1961:F1974" si="225">DATE(YEAR(E1961)+10,MONTH(E1961),DAY(E1961))</f>
        <v>44287</v>
      </c>
      <c r="G1961" s="183">
        <v>80.239999999999995</v>
      </c>
      <c r="H1961" s="118" t="s">
        <v>6227</v>
      </c>
      <c r="I1961" s="118" t="s">
        <v>5993</v>
      </c>
      <c r="J1961" s="131"/>
      <c r="K1961" s="55">
        <f t="shared" ref="K1961:K1974" si="226">YEAR(F1961)</f>
        <v>2021</v>
      </c>
      <c r="L1961" s="158" t="s">
        <v>6228</v>
      </c>
      <c r="M1961" s="158" t="s">
        <v>6229</v>
      </c>
      <c r="N1961" s="213" t="s">
        <v>6230</v>
      </c>
      <c r="Q1961" s="159"/>
      <c r="R1961" s="222">
        <v>428.5</v>
      </c>
      <c r="S1961" s="222">
        <v>129438</v>
      </c>
      <c r="T1961" s="222">
        <v>129866.5</v>
      </c>
      <c r="U1961" s="223">
        <v>162</v>
      </c>
      <c r="Z1961" s="184">
        <v>0.1</v>
      </c>
      <c r="AA1961" s="141">
        <v>0.09</v>
      </c>
    </row>
    <row r="1962" spans="1:29" ht="28" customHeight="1" x14ac:dyDescent="0.2">
      <c r="A1962" s="156" t="s">
        <v>6231</v>
      </c>
      <c r="B1962" s="118" t="e">
        <f t="shared" si="224"/>
        <v>#VALUE!</v>
      </c>
      <c r="C1962" t="s">
        <v>6152</v>
      </c>
      <c r="D1962" s="157">
        <v>40589</v>
      </c>
      <c r="E1962" s="157">
        <v>40634</v>
      </c>
      <c r="F1962" s="84">
        <f t="shared" si="225"/>
        <v>44287</v>
      </c>
      <c r="G1962" s="183">
        <v>757.44</v>
      </c>
      <c r="H1962" s="118" t="s">
        <v>6232</v>
      </c>
      <c r="I1962" s="118" t="s">
        <v>5993</v>
      </c>
      <c r="J1962" s="131"/>
      <c r="K1962" s="55">
        <f t="shared" si="226"/>
        <v>2021</v>
      </c>
      <c r="L1962" s="158" t="s">
        <v>6233</v>
      </c>
      <c r="M1962" s="158" t="s">
        <v>6234</v>
      </c>
      <c r="N1962" s="213" t="s">
        <v>6235</v>
      </c>
      <c r="Q1962" s="159"/>
      <c r="R1962" s="222">
        <v>2798</v>
      </c>
      <c r="S1962" s="222">
        <v>74284</v>
      </c>
      <c r="T1962" s="222">
        <v>77082</v>
      </c>
      <c r="U1962" s="223">
        <v>1516</v>
      </c>
      <c r="Z1962" s="184">
        <v>0.1</v>
      </c>
      <c r="AA1962" s="141">
        <v>0.09</v>
      </c>
    </row>
    <row r="1963" spans="1:29" ht="28" customHeight="1" x14ac:dyDescent="0.2">
      <c r="A1963" s="156" t="s">
        <v>6236</v>
      </c>
      <c r="B1963" s="118" t="e">
        <f t="shared" si="224"/>
        <v>#VALUE!</v>
      </c>
      <c r="C1963" t="s">
        <v>6152</v>
      </c>
      <c r="D1963" s="157">
        <v>40589</v>
      </c>
      <c r="E1963" s="157">
        <v>40634</v>
      </c>
      <c r="F1963" s="84">
        <f t="shared" si="225"/>
        <v>44287</v>
      </c>
      <c r="G1963" s="183">
        <v>58.6</v>
      </c>
      <c r="H1963" s="118" t="s">
        <v>6232</v>
      </c>
      <c r="I1963" s="118" t="s">
        <v>5993</v>
      </c>
      <c r="J1963" s="131"/>
      <c r="K1963" s="55">
        <f t="shared" si="226"/>
        <v>2021</v>
      </c>
      <c r="L1963" s="158" t="s">
        <v>6233</v>
      </c>
      <c r="M1963" s="158" t="s">
        <v>6234</v>
      </c>
      <c r="N1963" s="213" t="s">
        <v>6237</v>
      </c>
      <c r="Q1963" s="159"/>
      <c r="R1963" s="222">
        <v>351.5</v>
      </c>
      <c r="S1963" s="222">
        <v>21712</v>
      </c>
      <c r="T1963" s="222">
        <v>22063.5</v>
      </c>
      <c r="U1963" s="223">
        <v>118</v>
      </c>
      <c r="Z1963" s="184">
        <v>0.1</v>
      </c>
      <c r="AA1963" s="141">
        <v>0.09</v>
      </c>
    </row>
    <row r="1964" spans="1:29" ht="42" customHeight="1" x14ac:dyDescent="0.2">
      <c r="A1964" s="156" t="s">
        <v>6238</v>
      </c>
      <c r="B1964" s="118" t="e">
        <f t="shared" si="224"/>
        <v>#VALUE!</v>
      </c>
      <c r="C1964" t="s">
        <v>6152</v>
      </c>
      <c r="D1964" s="157">
        <v>40589</v>
      </c>
      <c r="E1964" s="157">
        <v>40634</v>
      </c>
      <c r="F1964" s="84">
        <f t="shared" si="225"/>
        <v>44287</v>
      </c>
      <c r="G1964" s="183">
        <v>26.26</v>
      </c>
      <c r="H1964" s="118" t="s">
        <v>6232</v>
      </c>
      <c r="I1964" s="118" t="s">
        <v>5993</v>
      </c>
      <c r="J1964" s="131"/>
      <c r="K1964" s="55">
        <f t="shared" si="226"/>
        <v>2021</v>
      </c>
      <c r="L1964" s="158" t="s">
        <v>6233</v>
      </c>
      <c r="M1964" s="158" t="s">
        <v>6234</v>
      </c>
      <c r="N1964" s="213" t="s">
        <v>6239</v>
      </c>
      <c r="Q1964" s="159"/>
      <c r="R1964" s="222">
        <v>239.5</v>
      </c>
      <c r="S1964" s="222">
        <v>13986</v>
      </c>
      <c r="T1964" s="222">
        <v>14225.5</v>
      </c>
      <c r="U1964" s="223">
        <v>54</v>
      </c>
      <c r="Z1964" s="184">
        <v>0.1</v>
      </c>
      <c r="AA1964" s="141">
        <v>0.09</v>
      </c>
    </row>
    <row r="1965" spans="1:29" ht="84" customHeight="1" x14ac:dyDescent="0.2">
      <c r="A1965" s="156" t="s">
        <v>6240</v>
      </c>
      <c r="B1965" s="118" t="e">
        <f t="shared" si="224"/>
        <v>#VALUE!</v>
      </c>
      <c r="C1965" t="s">
        <v>6152</v>
      </c>
      <c r="D1965" s="157">
        <v>40589</v>
      </c>
      <c r="E1965" s="157">
        <v>40634</v>
      </c>
      <c r="F1965" s="84">
        <f t="shared" si="225"/>
        <v>44287</v>
      </c>
      <c r="G1965" s="183">
        <v>776.4</v>
      </c>
      <c r="H1965" s="118" t="s">
        <v>6232</v>
      </c>
      <c r="I1965" s="118" t="s">
        <v>5993</v>
      </c>
      <c r="J1965" s="131"/>
      <c r="K1965" s="55">
        <f t="shared" si="226"/>
        <v>2021</v>
      </c>
      <c r="L1965" s="158" t="s">
        <v>6233</v>
      </c>
      <c r="M1965" s="158" t="s">
        <v>6234</v>
      </c>
      <c r="N1965" s="213" t="s">
        <v>6241</v>
      </c>
      <c r="Q1965" s="159"/>
      <c r="R1965" s="222">
        <v>2864.5</v>
      </c>
      <c r="S1965" s="222">
        <v>76146</v>
      </c>
      <c r="T1965" s="222">
        <v>79010.5</v>
      </c>
      <c r="U1965" s="223">
        <v>1554</v>
      </c>
      <c r="Z1965" s="184">
        <v>0.1</v>
      </c>
      <c r="AA1965" s="141">
        <v>0.09</v>
      </c>
    </row>
    <row r="1966" spans="1:29" ht="28" customHeight="1" x14ac:dyDescent="0.2">
      <c r="A1966" s="156" t="s">
        <v>6242</v>
      </c>
      <c r="B1966" s="118" t="e">
        <f t="shared" si="224"/>
        <v>#VALUE!</v>
      </c>
      <c r="C1966" t="s">
        <v>6152</v>
      </c>
      <c r="D1966" s="157">
        <v>40589</v>
      </c>
      <c r="E1966" s="157">
        <v>40634</v>
      </c>
      <c r="F1966" s="84">
        <f t="shared" si="225"/>
        <v>44287</v>
      </c>
      <c r="G1966" s="183">
        <v>640</v>
      </c>
      <c r="H1966" s="118" t="s">
        <v>6232</v>
      </c>
      <c r="I1966" s="118" t="s">
        <v>5993</v>
      </c>
      <c r="J1966" s="131"/>
      <c r="K1966" s="55">
        <f t="shared" si="226"/>
        <v>2021</v>
      </c>
      <c r="L1966" s="158" t="s">
        <v>6233</v>
      </c>
      <c r="M1966" s="158" t="s">
        <v>6234</v>
      </c>
      <c r="N1966" s="213" t="s">
        <v>6243</v>
      </c>
      <c r="Q1966" s="159"/>
      <c r="R1966" s="222">
        <v>2385</v>
      </c>
      <c r="S1966" s="222">
        <v>120320</v>
      </c>
      <c r="T1966" s="222">
        <v>122705</v>
      </c>
      <c r="U1966" s="223">
        <v>1280</v>
      </c>
      <c r="Z1966" s="184">
        <v>0.1</v>
      </c>
      <c r="AA1966" s="141">
        <v>0.09</v>
      </c>
    </row>
    <row r="1967" spans="1:29" ht="56" customHeight="1" x14ac:dyDescent="0.2">
      <c r="A1967" s="156" t="s">
        <v>6244</v>
      </c>
      <c r="B1967" s="118" t="e">
        <f t="shared" si="224"/>
        <v>#VALUE!</v>
      </c>
      <c r="C1967" t="s">
        <v>6152</v>
      </c>
      <c r="D1967" s="157">
        <v>40589</v>
      </c>
      <c r="E1967" s="161">
        <v>40664</v>
      </c>
      <c r="F1967" s="84">
        <f t="shared" si="225"/>
        <v>44317</v>
      </c>
      <c r="G1967" s="183">
        <v>1090</v>
      </c>
      <c r="H1967" s="118" t="s">
        <v>6232</v>
      </c>
      <c r="I1967" s="118" t="s">
        <v>5993</v>
      </c>
      <c r="J1967" s="131"/>
      <c r="K1967" s="55">
        <f t="shared" si="226"/>
        <v>2021</v>
      </c>
      <c r="L1967" s="158" t="s">
        <v>6233</v>
      </c>
      <c r="M1967" s="158" t="s">
        <v>6234</v>
      </c>
      <c r="N1967" s="213" t="s">
        <v>6245</v>
      </c>
      <c r="Q1967" s="162"/>
      <c r="R1967" s="222">
        <v>3960</v>
      </c>
      <c r="S1967" s="222">
        <v>95920</v>
      </c>
      <c r="T1967" s="222">
        <v>99880</v>
      </c>
      <c r="U1967" s="223">
        <v>1635</v>
      </c>
      <c r="Z1967" s="184">
        <v>0.1</v>
      </c>
      <c r="AA1967" s="141">
        <v>0.09</v>
      </c>
    </row>
    <row r="1968" spans="1:29" ht="28" customHeight="1" x14ac:dyDescent="0.2">
      <c r="A1968" s="156" t="s">
        <v>6246</v>
      </c>
      <c r="B1968" s="118" t="e">
        <f t="shared" si="224"/>
        <v>#VALUE!</v>
      </c>
      <c r="C1968" t="s">
        <v>6152</v>
      </c>
      <c r="D1968" s="157">
        <v>40589</v>
      </c>
      <c r="E1968" s="157">
        <v>40634</v>
      </c>
      <c r="F1968" s="84">
        <f t="shared" si="225"/>
        <v>44287</v>
      </c>
      <c r="G1968" s="183">
        <v>1760</v>
      </c>
      <c r="H1968" s="118" t="s">
        <v>6232</v>
      </c>
      <c r="I1968" s="118" t="s">
        <v>5993</v>
      </c>
      <c r="J1968" s="131"/>
      <c r="K1968" s="55">
        <f t="shared" si="226"/>
        <v>2021</v>
      </c>
      <c r="L1968" s="158" t="s">
        <v>6233</v>
      </c>
      <c r="M1968" s="158" t="s">
        <v>6234</v>
      </c>
      <c r="N1968" s="213" t="s">
        <v>6247</v>
      </c>
      <c r="Q1968" s="159"/>
      <c r="R1968" s="222">
        <v>6305</v>
      </c>
      <c r="S1968" s="222">
        <v>146080</v>
      </c>
      <c r="T1968" s="222">
        <v>152385</v>
      </c>
      <c r="U1968" s="223">
        <v>3520</v>
      </c>
      <c r="Z1968" s="184">
        <v>0.1</v>
      </c>
      <c r="AA1968" s="141">
        <v>0.09</v>
      </c>
    </row>
    <row r="1969" spans="1:27" ht="42" customHeight="1" x14ac:dyDescent="0.2">
      <c r="A1969" s="156" t="s">
        <v>6248</v>
      </c>
      <c r="B1969" s="118" t="e">
        <f t="shared" si="224"/>
        <v>#VALUE!</v>
      </c>
      <c r="C1969" t="s">
        <v>6152</v>
      </c>
      <c r="D1969" s="157">
        <v>40589</v>
      </c>
      <c r="E1969" s="157">
        <v>40634</v>
      </c>
      <c r="F1969" s="84">
        <f t="shared" si="225"/>
        <v>44287</v>
      </c>
      <c r="G1969" s="183">
        <v>10.01</v>
      </c>
      <c r="H1969" s="118" t="s">
        <v>6227</v>
      </c>
      <c r="I1969" s="118" t="s">
        <v>5993</v>
      </c>
      <c r="J1969" s="131"/>
      <c r="K1969" s="55">
        <f t="shared" si="226"/>
        <v>2021</v>
      </c>
      <c r="L1969" s="158" t="s">
        <v>6249</v>
      </c>
      <c r="M1969" s="158" t="s">
        <v>6234</v>
      </c>
      <c r="N1969" s="213" t="s">
        <v>6250</v>
      </c>
      <c r="Q1969" s="159"/>
      <c r="R1969" s="222">
        <v>183.5</v>
      </c>
      <c r="S1969" s="222">
        <v>17578</v>
      </c>
      <c r="T1969" s="222">
        <v>17761.5</v>
      </c>
      <c r="U1969" s="223">
        <v>22</v>
      </c>
      <c r="Z1969" s="184">
        <v>0.1</v>
      </c>
      <c r="AA1969" s="141">
        <v>0.09</v>
      </c>
    </row>
    <row r="1970" spans="1:27" ht="28" customHeight="1" x14ac:dyDescent="0.2">
      <c r="A1970" s="156" t="s">
        <v>6251</v>
      </c>
      <c r="B1970" s="118" t="e">
        <f t="shared" si="224"/>
        <v>#VALUE!</v>
      </c>
      <c r="C1970" t="s">
        <v>6152</v>
      </c>
      <c r="D1970" s="157">
        <v>40589</v>
      </c>
      <c r="E1970" s="157">
        <v>40634</v>
      </c>
      <c r="F1970" s="84">
        <f t="shared" si="225"/>
        <v>44287</v>
      </c>
      <c r="G1970" s="183">
        <v>1440</v>
      </c>
      <c r="H1970" s="118" t="s">
        <v>6232</v>
      </c>
      <c r="I1970" s="118" t="s">
        <v>5993</v>
      </c>
      <c r="J1970" s="131"/>
      <c r="K1970" s="55">
        <f t="shared" si="226"/>
        <v>2021</v>
      </c>
      <c r="L1970" s="158" t="s">
        <v>6252</v>
      </c>
      <c r="M1970" s="158" t="s">
        <v>6253</v>
      </c>
      <c r="N1970" s="213" t="s">
        <v>6254</v>
      </c>
      <c r="Q1970" s="159"/>
      <c r="R1970" s="222">
        <v>5185</v>
      </c>
      <c r="S1970" s="222">
        <v>76320</v>
      </c>
      <c r="T1970" s="222">
        <v>81505</v>
      </c>
      <c r="U1970" s="223">
        <v>2880</v>
      </c>
      <c r="Z1970" s="184">
        <v>0.1</v>
      </c>
      <c r="AA1970" s="141">
        <v>0.09</v>
      </c>
    </row>
    <row r="1971" spans="1:27" ht="70" customHeight="1" x14ac:dyDescent="0.2">
      <c r="A1971" s="156" t="s">
        <v>6255</v>
      </c>
      <c r="B1971" s="118" t="e">
        <f t="shared" si="224"/>
        <v>#VALUE!</v>
      </c>
      <c r="C1971" t="s">
        <v>6152</v>
      </c>
      <c r="D1971" s="157">
        <v>40589</v>
      </c>
      <c r="E1971" s="161">
        <v>40664</v>
      </c>
      <c r="F1971" s="84">
        <f t="shared" si="225"/>
        <v>44317</v>
      </c>
      <c r="G1971" s="183">
        <v>1739.72</v>
      </c>
      <c r="H1971" s="118" t="s">
        <v>6232</v>
      </c>
      <c r="I1971" s="118" t="s">
        <v>5993</v>
      </c>
      <c r="J1971" s="131"/>
      <c r="K1971" s="55">
        <f t="shared" si="226"/>
        <v>2021</v>
      </c>
      <c r="L1971" s="158" t="s">
        <v>6233</v>
      </c>
      <c r="M1971" s="158" t="s">
        <v>6256</v>
      </c>
      <c r="N1971" s="213" t="s">
        <v>6257</v>
      </c>
      <c r="Q1971" s="162"/>
      <c r="R1971" s="222">
        <v>6235</v>
      </c>
      <c r="S1971" s="222">
        <v>109620</v>
      </c>
      <c r="T1971" s="222">
        <v>115855</v>
      </c>
      <c r="U1971" s="223">
        <v>2610</v>
      </c>
      <c r="Z1971" s="184">
        <v>0.1</v>
      </c>
      <c r="AA1971" s="141">
        <v>0.09</v>
      </c>
    </row>
    <row r="1972" spans="1:27" ht="56" customHeight="1" x14ac:dyDescent="0.2">
      <c r="A1972" s="156" t="s">
        <v>6258</v>
      </c>
      <c r="B1972" s="118" t="e">
        <f t="shared" si="224"/>
        <v>#VALUE!</v>
      </c>
      <c r="C1972" t="s">
        <v>6152</v>
      </c>
      <c r="D1972" s="157">
        <v>40589</v>
      </c>
      <c r="E1972" s="157">
        <v>40634</v>
      </c>
      <c r="F1972" s="84">
        <f t="shared" si="225"/>
        <v>44287</v>
      </c>
      <c r="G1972" s="183">
        <v>888.84</v>
      </c>
      <c r="H1972" s="118" t="s">
        <v>6232</v>
      </c>
      <c r="I1972" s="118" t="s">
        <v>5993</v>
      </c>
      <c r="J1972" s="131"/>
      <c r="K1972" s="55">
        <f t="shared" si="226"/>
        <v>2021</v>
      </c>
      <c r="L1972" s="158" t="s">
        <v>6233</v>
      </c>
      <c r="M1972" s="158" t="s">
        <v>6256</v>
      </c>
      <c r="N1972" s="213" t="s">
        <v>6259</v>
      </c>
      <c r="Q1972" s="159"/>
      <c r="R1972" s="222">
        <v>3256.5</v>
      </c>
      <c r="S1972" s="222">
        <v>64897</v>
      </c>
      <c r="T1972" s="222">
        <v>68153.5</v>
      </c>
      <c r="U1972" s="223">
        <v>1778</v>
      </c>
      <c r="Z1972" s="184">
        <v>0.1</v>
      </c>
      <c r="AA1972" s="141">
        <v>0.09</v>
      </c>
    </row>
    <row r="1973" spans="1:27" ht="28" customHeight="1" x14ac:dyDescent="0.2">
      <c r="A1973" s="156" t="s">
        <v>6260</v>
      </c>
      <c r="B1973" s="118" t="e">
        <f t="shared" si="224"/>
        <v>#VALUE!</v>
      </c>
      <c r="C1973" t="s">
        <v>6152</v>
      </c>
      <c r="D1973" s="157">
        <v>40589</v>
      </c>
      <c r="E1973" s="157">
        <v>40634</v>
      </c>
      <c r="F1973" s="84">
        <f t="shared" si="225"/>
        <v>44287</v>
      </c>
      <c r="G1973" s="183">
        <v>129.85</v>
      </c>
      <c r="H1973" s="118" t="s">
        <v>6232</v>
      </c>
      <c r="I1973" s="118" t="s">
        <v>5993</v>
      </c>
      <c r="J1973" s="131"/>
      <c r="K1973" s="55">
        <f t="shared" si="226"/>
        <v>2021</v>
      </c>
      <c r="L1973" s="158" t="s">
        <v>6233</v>
      </c>
      <c r="M1973" s="158" t="s">
        <v>6256</v>
      </c>
      <c r="N1973" s="213" t="s">
        <v>6261</v>
      </c>
      <c r="Q1973" s="159"/>
      <c r="R1973" s="222">
        <v>600</v>
      </c>
      <c r="S1973" s="222">
        <v>12090</v>
      </c>
      <c r="T1973" s="222">
        <v>12690</v>
      </c>
      <c r="U1973" s="223">
        <v>260</v>
      </c>
      <c r="Z1973" s="184">
        <v>0.1</v>
      </c>
      <c r="AA1973" s="141">
        <v>0.09</v>
      </c>
    </row>
    <row r="1974" spans="1:27" ht="28" customHeight="1" x14ac:dyDescent="0.2">
      <c r="A1974" s="156" t="s">
        <v>6262</v>
      </c>
      <c r="B1974" s="118" t="e">
        <f t="shared" si="224"/>
        <v>#VALUE!</v>
      </c>
      <c r="C1974" t="s">
        <v>6152</v>
      </c>
      <c r="D1974" s="157">
        <v>40589</v>
      </c>
      <c r="E1974" s="157">
        <v>40634</v>
      </c>
      <c r="F1974" s="84">
        <f t="shared" si="225"/>
        <v>44287</v>
      </c>
      <c r="G1974" s="183">
        <v>408.01</v>
      </c>
      <c r="H1974" s="118" t="s">
        <v>6232</v>
      </c>
      <c r="I1974" s="118" t="s">
        <v>5993</v>
      </c>
      <c r="J1974" s="131"/>
      <c r="K1974" s="55">
        <f t="shared" si="226"/>
        <v>2021</v>
      </c>
      <c r="L1974" s="158" t="s">
        <v>6263</v>
      </c>
      <c r="M1974" s="158" t="s">
        <v>6264</v>
      </c>
      <c r="N1974" s="213" t="s">
        <v>6265</v>
      </c>
      <c r="Q1974" s="159"/>
      <c r="R1974" s="222">
        <v>1576.5</v>
      </c>
      <c r="S1974" s="222">
        <v>48262</v>
      </c>
      <c r="T1974" s="222">
        <v>49838.5</v>
      </c>
      <c r="U1974" s="223">
        <v>818</v>
      </c>
      <c r="Z1974" s="184">
        <v>0.1</v>
      </c>
      <c r="AA1974" s="141">
        <v>0.09</v>
      </c>
    </row>
    <row r="1975" spans="1:27" ht="16" hidden="1" x14ac:dyDescent="0.2">
      <c r="A1975" s="163"/>
      <c r="E1975" s="118"/>
      <c r="F1975" s="118"/>
      <c r="G1975" s="183"/>
      <c r="J1975" s="131"/>
      <c r="K1975" s="131"/>
      <c r="L1975" s="158"/>
      <c r="M1975" s="158"/>
      <c r="N1975" s="213" t="s">
        <v>6158</v>
      </c>
      <c r="Q1975" s="164"/>
      <c r="Z1975" s="165"/>
      <c r="AA1975" s="166"/>
    </row>
    <row r="1976" spans="1:27" ht="16" hidden="1" x14ac:dyDescent="0.2">
      <c r="A1976" s="163"/>
      <c r="D1976" s="163" t="s">
        <v>6266</v>
      </c>
      <c r="E1976" s="118"/>
      <c r="F1976" s="118"/>
      <c r="G1976" s="183"/>
      <c r="J1976" s="131"/>
      <c r="K1976" s="131"/>
      <c r="L1976" s="158"/>
      <c r="M1976" s="158"/>
      <c r="N1976" s="213" t="s">
        <v>6158</v>
      </c>
      <c r="Q1976" s="164"/>
      <c r="R1976" s="283">
        <v>36368.5</v>
      </c>
      <c r="S1976" s="283">
        <v>1006653</v>
      </c>
      <c r="T1976" s="283">
        <v>1043021.5</v>
      </c>
      <c r="U1976" s="284"/>
      <c r="V1976" s="285"/>
      <c r="W1976" s="285"/>
      <c r="X1976" s="284"/>
      <c r="Z1976" s="165"/>
      <c r="AA1976" s="166"/>
    </row>
    <row r="1977" spans="1:27" ht="15" hidden="1" customHeight="1" thickTop="1" x14ac:dyDescent="0.2">
      <c r="A1977" s="163"/>
      <c r="D1977" s="163"/>
      <c r="E1977" s="118"/>
      <c r="F1977" s="118"/>
      <c r="G1977" s="183"/>
      <c r="J1977" s="131"/>
      <c r="K1977" s="131"/>
      <c r="L1977" s="158"/>
      <c r="M1977" s="158"/>
      <c r="N1977" s="213" t="s">
        <v>6158</v>
      </c>
      <c r="Q1977" s="164"/>
      <c r="R1977" s="286"/>
      <c r="S1977" s="286"/>
      <c r="T1977" s="286"/>
      <c r="U1977" s="284"/>
      <c r="V1977" s="285"/>
      <c r="W1977" s="285"/>
      <c r="X1977" s="284"/>
      <c r="Z1977" s="165"/>
      <c r="AA1977" s="166"/>
    </row>
    <row r="1978" spans="1:27" ht="84" customHeight="1" x14ac:dyDescent="0.2">
      <c r="A1978" s="156" t="s">
        <v>6267</v>
      </c>
      <c r="B1978" s="118" t="e">
        <f t="shared" ref="B1978:B1992" si="227">IF(COUNTIF(GIS,A1978),"YES","NO")</f>
        <v>#VALUE!</v>
      </c>
      <c r="C1978" t="s">
        <v>6152</v>
      </c>
      <c r="D1978" s="157">
        <v>40673</v>
      </c>
      <c r="E1978" s="157">
        <v>40725</v>
      </c>
      <c r="F1978" s="84">
        <f t="shared" ref="F1978:F1992" si="228">DATE(YEAR(E1978)+10,MONTH(E1978),DAY(E1978))</f>
        <v>44378</v>
      </c>
      <c r="G1978" s="167">
        <v>10.32</v>
      </c>
      <c r="H1978" s="118" t="s">
        <v>6268</v>
      </c>
      <c r="I1978" s="118" t="s">
        <v>6269</v>
      </c>
      <c r="J1978" s="131"/>
      <c r="K1978" s="55">
        <f t="shared" ref="K1978:K1992" si="229">YEAR(F1978)</f>
        <v>2021</v>
      </c>
      <c r="L1978" s="158" t="s">
        <v>6270</v>
      </c>
      <c r="M1978" s="158" t="s">
        <v>6271</v>
      </c>
      <c r="N1978" s="213" t="s">
        <v>6272</v>
      </c>
      <c r="Q1978" s="159"/>
      <c r="R1978" s="222">
        <v>183.5</v>
      </c>
      <c r="S1978" s="222">
        <v>2838</v>
      </c>
      <c r="T1978" s="222">
        <v>3021.5</v>
      </c>
      <c r="U1978" s="223">
        <v>22</v>
      </c>
      <c r="Z1978" s="184">
        <v>0.1</v>
      </c>
      <c r="AA1978" s="141">
        <v>0.09</v>
      </c>
    </row>
    <row r="1979" spans="1:27" ht="42" customHeight="1" x14ac:dyDescent="0.2">
      <c r="A1979" s="156" t="s">
        <v>6273</v>
      </c>
      <c r="B1979" s="118" t="e">
        <f t="shared" si="227"/>
        <v>#VALUE!</v>
      </c>
      <c r="C1979" t="s">
        <v>6152</v>
      </c>
      <c r="D1979" s="157">
        <v>40673</v>
      </c>
      <c r="E1979" s="157">
        <v>40725</v>
      </c>
      <c r="F1979" s="84">
        <f t="shared" si="228"/>
        <v>44378</v>
      </c>
      <c r="G1979" s="167">
        <v>5.88</v>
      </c>
      <c r="H1979" s="118" t="s">
        <v>6268</v>
      </c>
      <c r="I1979" s="118" t="s">
        <v>6269</v>
      </c>
      <c r="J1979" s="131"/>
      <c r="K1979" s="55">
        <f t="shared" si="229"/>
        <v>2021</v>
      </c>
      <c r="L1979" s="158" t="s">
        <v>6270</v>
      </c>
      <c r="M1979" s="158" t="s">
        <v>6274</v>
      </c>
      <c r="N1979" s="213" t="s">
        <v>6275</v>
      </c>
      <c r="Q1979" s="159"/>
      <c r="R1979" s="222">
        <v>166</v>
      </c>
      <c r="S1979" s="222">
        <v>1848</v>
      </c>
      <c r="T1979" s="222">
        <v>2014</v>
      </c>
      <c r="U1979" s="223">
        <v>12</v>
      </c>
      <c r="Z1979" s="184">
        <v>0.1</v>
      </c>
      <c r="AA1979" s="141">
        <v>0.09</v>
      </c>
    </row>
    <row r="1980" spans="1:27" ht="70" customHeight="1" x14ac:dyDescent="0.2">
      <c r="A1980" s="156" t="s">
        <v>6276</v>
      </c>
      <c r="B1980" s="118" t="e">
        <f t="shared" si="227"/>
        <v>#VALUE!</v>
      </c>
      <c r="C1980" t="s">
        <v>6152</v>
      </c>
      <c r="D1980" s="157">
        <v>40673</v>
      </c>
      <c r="E1980" s="157">
        <v>40725</v>
      </c>
      <c r="F1980" s="84">
        <f t="shared" si="228"/>
        <v>44378</v>
      </c>
      <c r="G1980" s="167">
        <v>161.43</v>
      </c>
      <c r="H1980" s="118" t="s">
        <v>6268</v>
      </c>
      <c r="I1980" s="118" t="s">
        <v>6269</v>
      </c>
      <c r="J1980" s="131" t="s">
        <v>6277</v>
      </c>
      <c r="K1980" s="55">
        <f t="shared" si="229"/>
        <v>2021</v>
      </c>
      <c r="L1980" s="168" t="s">
        <v>6278</v>
      </c>
      <c r="M1980" s="168" t="s">
        <v>6279</v>
      </c>
      <c r="N1980" s="213" t="s">
        <v>6280</v>
      </c>
      <c r="Q1980" s="159"/>
      <c r="R1980" s="222">
        <v>712</v>
      </c>
      <c r="S1980" s="222">
        <v>109026</v>
      </c>
      <c r="T1980" s="222">
        <v>109738</v>
      </c>
      <c r="U1980" s="223">
        <v>243</v>
      </c>
      <c r="Z1980" s="184">
        <v>0.1</v>
      </c>
      <c r="AA1980" s="141">
        <v>0.09</v>
      </c>
    </row>
    <row r="1981" spans="1:27" ht="28" customHeight="1" x14ac:dyDescent="0.2">
      <c r="A1981" s="156" t="s">
        <v>6281</v>
      </c>
      <c r="B1981" s="118" t="e">
        <f t="shared" si="227"/>
        <v>#VALUE!</v>
      </c>
      <c r="C1981" t="s">
        <v>6152</v>
      </c>
      <c r="D1981" s="157">
        <v>40673</v>
      </c>
      <c r="E1981" s="157">
        <v>40725</v>
      </c>
      <c r="F1981" s="84">
        <f t="shared" si="228"/>
        <v>44378</v>
      </c>
      <c r="G1981" s="167">
        <v>40</v>
      </c>
      <c r="H1981" s="118" t="s">
        <v>6268</v>
      </c>
      <c r="I1981" s="118" t="s">
        <v>6269</v>
      </c>
      <c r="J1981" s="131"/>
      <c r="K1981" s="55">
        <f t="shared" si="229"/>
        <v>2021</v>
      </c>
      <c r="L1981" s="158" t="s">
        <v>6270</v>
      </c>
      <c r="M1981" s="158" t="s">
        <v>6279</v>
      </c>
      <c r="N1981" s="213" t="s">
        <v>6282</v>
      </c>
      <c r="Q1981" s="159"/>
      <c r="R1981" s="222">
        <v>285</v>
      </c>
      <c r="S1981" s="222">
        <v>30920</v>
      </c>
      <c r="T1981" s="222">
        <v>31205</v>
      </c>
      <c r="U1981" s="223">
        <v>80</v>
      </c>
      <c r="Z1981" s="184">
        <v>0.1</v>
      </c>
      <c r="AA1981" s="141">
        <v>0.09</v>
      </c>
    </row>
    <row r="1982" spans="1:27" ht="70" customHeight="1" x14ac:dyDescent="0.2">
      <c r="A1982" s="156" t="s">
        <v>6283</v>
      </c>
      <c r="B1982" s="118" t="e">
        <f t="shared" si="227"/>
        <v>#VALUE!</v>
      </c>
      <c r="C1982" t="s">
        <v>6152</v>
      </c>
      <c r="D1982" s="157">
        <v>40673</v>
      </c>
      <c r="E1982" s="157">
        <v>40725</v>
      </c>
      <c r="F1982" s="84">
        <f t="shared" si="228"/>
        <v>44378</v>
      </c>
      <c r="G1982" s="167">
        <v>1193.8</v>
      </c>
      <c r="H1982" s="118" t="s">
        <v>6284</v>
      </c>
      <c r="I1982" s="118" t="s">
        <v>6269</v>
      </c>
      <c r="J1982" s="131"/>
      <c r="K1982" s="55">
        <f t="shared" si="229"/>
        <v>2021</v>
      </c>
      <c r="L1982" s="158" t="s">
        <v>6285</v>
      </c>
      <c r="M1982" s="158" t="s">
        <v>6286</v>
      </c>
      <c r="N1982" s="213" t="s">
        <v>6287</v>
      </c>
      <c r="Q1982" s="159"/>
      <c r="R1982" s="222">
        <v>4324</v>
      </c>
      <c r="S1982" s="222">
        <v>63282</v>
      </c>
      <c r="T1982" s="222">
        <v>67606</v>
      </c>
      <c r="U1982" s="223">
        <v>2388</v>
      </c>
      <c r="Z1982" s="184">
        <v>0.1</v>
      </c>
      <c r="AA1982" s="141">
        <v>0.09</v>
      </c>
    </row>
    <row r="1983" spans="1:27" ht="28" customHeight="1" x14ac:dyDescent="0.2">
      <c r="A1983" s="156" t="s">
        <v>6288</v>
      </c>
      <c r="B1983" s="118" t="e">
        <f t="shared" si="227"/>
        <v>#VALUE!</v>
      </c>
      <c r="C1983" t="s">
        <v>6152</v>
      </c>
      <c r="D1983" s="157">
        <v>40673</v>
      </c>
      <c r="E1983" s="157">
        <v>40725</v>
      </c>
      <c r="F1983" s="84">
        <f t="shared" si="228"/>
        <v>44378</v>
      </c>
      <c r="G1983" s="167">
        <v>920</v>
      </c>
      <c r="H1983" s="118" t="s">
        <v>6284</v>
      </c>
      <c r="I1983" s="118" t="s">
        <v>6269</v>
      </c>
      <c r="J1983" s="131"/>
      <c r="K1983" s="55">
        <f t="shared" si="229"/>
        <v>2021</v>
      </c>
      <c r="L1983" s="158" t="s">
        <v>6285</v>
      </c>
      <c r="M1983" s="158" t="s">
        <v>6286</v>
      </c>
      <c r="N1983" s="213" t="s">
        <v>6289</v>
      </c>
      <c r="Q1983" s="159"/>
      <c r="R1983" s="222">
        <v>3365</v>
      </c>
      <c r="S1983" s="222">
        <v>53360</v>
      </c>
      <c r="T1983" s="222">
        <v>56725</v>
      </c>
      <c r="U1983" s="223">
        <v>1840</v>
      </c>
      <c r="Z1983" s="184">
        <v>0.1</v>
      </c>
      <c r="AA1983" s="141">
        <v>0.09</v>
      </c>
    </row>
    <row r="1984" spans="1:27" ht="56" customHeight="1" x14ac:dyDescent="0.2">
      <c r="A1984" s="156" t="s">
        <v>6290</v>
      </c>
      <c r="B1984" s="118" t="e">
        <f t="shared" si="227"/>
        <v>#VALUE!</v>
      </c>
      <c r="C1984" t="s">
        <v>6152</v>
      </c>
      <c r="D1984" s="157">
        <v>40673</v>
      </c>
      <c r="E1984" s="157">
        <v>40725</v>
      </c>
      <c r="F1984" s="84">
        <f t="shared" si="228"/>
        <v>44378</v>
      </c>
      <c r="G1984" s="167">
        <v>864.95</v>
      </c>
      <c r="H1984" s="118" t="s">
        <v>6284</v>
      </c>
      <c r="I1984" s="118" t="s">
        <v>6269</v>
      </c>
      <c r="J1984" s="131"/>
      <c r="K1984" s="55">
        <f t="shared" si="229"/>
        <v>2021</v>
      </c>
      <c r="L1984" s="158" t="s">
        <v>6285</v>
      </c>
      <c r="M1984" s="158" t="s">
        <v>6286</v>
      </c>
      <c r="N1984" s="213" t="s">
        <v>6291</v>
      </c>
      <c r="Q1984" s="159"/>
      <c r="R1984" s="222">
        <v>3172.5</v>
      </c>
      <c r="S1984" s="222">
        <v>48007.5</v>
      </c>
      <c r="T1984" s="222">
        <v>51180</v>
      </c>
      <c r="U1984" s="223">
        <v>1730</v>
      </c>
      <c r="Z1984" s="184">
        <v>0.1</v>
      </c>
      <c r="AA1984" s="141">
        <v>0.09</v>
      </c>
    </row>
    <row r="1985" spans="1:27" ht="42" customHeight="1" x14ac:dyDescent="0.2">
      <c r="A1985" s="156" t="s">
        <v>6292</v>
      </c>
      <c r="B1985" s="118" t="e">
        <f t="shared" si="227"/>
        <v>#VALUE!</v>
      </c>
      <c r="C1985" t="s">
        <v>6152</v>
      </c>
      <c r="D1985" s="157">
        <v>40673</v>
      </c>
      <c r="E1985" s="157">
        <v>40725</v>
      </c>
      <c r="F1985" s="84">
        <f t="shared" si="228"/>
        <v>44378</v>
      </c>
      <c r="G1985" s="167">
        <v>803.9</v>
      </c>
      <c r="H1985" s="118" t="s">
        <v>6284</v>
      </c>
      <c r="I1985" s="118" t="s">
        <v>6269</v>
      </c>
      <c r="J1985" s="131"/>
      <c r="K1985" s="55">
        <f t="shared" si="229"/>
        <v>2021</v>
      </c>
      <c r="L1985" s="158" t="s">
        <v>6285</v>
      </c>
      <c r="M1985" s="158" t="s">
        <v>6286</v>
      </c>
      <c r="N1985" s="213" t="s">
        <v>6293</v>
      </c>
      <c r="Q1985" s="159"/>
      <c r="R1985" s="222">
        <v>2959</v>
      </c>
      <c r="S1985" s="222">
        <v>52662</v>
      </c>
      <c r="T1985" s="222">
        <v>55621</v>
      </c>
      <c r="U1985" s="223">
        <v>1608</v>
      </c>
      <c r="Z1985" s="184">
        <v>0.1</v>
      </c>
      <c r="AA1985" s="141">
        <v>0.09</v>
      </c>
    </row>
    <row r="1986" spans="1:27" ht="16" x14ac:dyDescent="0.2">
      <c r="A1986" s="156" t="s">
        <v>6294</v>
      </c>
      <c r="B1986" s="118" t="e">
        <f t="shared" si="227"/>
        <v>#VALUE!</v>
      </c>
      <c r="C1986" t="s">
        <v>6152</v>
      </c>
      <c r="D1986" s="157">
        <v>40673</v>
      </c>
      <c r="E1986" s="157">
        <v>40725</v>
      </c>
      <c r="F1986" s="84">
        <f t="shared" si="228"/>
        <v>44378</v>
      </c>
      <c r="G1986" s="167">
        <v>320</v>
      </c>
      <c r="H1986" s="118" t="s">
        <v>6284</v>
      </c>
      <c r="I1986" s="118" t="s">
        <v>6269</v>
      </c>
      <c r="J1986" s="131"/>
      <c r="K1986" s="55">
        <f t="shared" si="229"/>
        <v>2021</v>
      </c>
      <c r="L1986" s="158" t="s">
        <v>6295</v>
      </c>
      <c r="M1986" s="158" t="s">
        <v>6286</v>
      </c>
      <c r="N1986" s="213" t="s">
        <v>6296</v>
      </c>
      <c r="Q1986" s="159"/>
      <c r="R1986" s="222">
        <v>1265</v>
      </c>
      <c r="S1986" s="222">
        <v>66560</v>
      </c>
      <c r="T1986" s="222">
        <v>67825</v>
      </c>
      <c r="U1986" s="223">
        <v>640</v>
      </c>
      <c r="Z1986" s="184">
        <v>0.1</v>
      </c>
      <c r="AA1986" s="141">
        <v>0.09</v>
      </c>
    </row>
    <row r="1987" spans="1:27" ht="28" customHeight="1" x14ac:dyDescent="0.2">
      <c r="A1987" s="156" t="s">
        <v>6297</v>
      </c>
      <c r="B1987" s="118" t="e">
        <f t="shared" si="227"/>
        <v>#VALUE!</v>
      </c>
      <c r="C1987" t="s">
        <v>6152</v>
      </c>
      <c r="D1987" s="157">
        <v>40673</v>
      </c>
      <c r="E1987" s="157">
        <v>40725</v>
      </c>
      <c r="F1987" s="84">
        <f t="shared" si="228"/>
        <v>44378</v>
      </c>
      <c r="G1987" s="167">
        <v>318.07</v>
      </c>
      <c r="H1987" s="118" t="s">
        <v>6284</v>
      </c>
      <c r="I1987" s="118" t="s">
        <v>6269</v>
      </c>
      <c r="J1987" s="131"/>
      <c r="K1987" s="55">
        <f t="shared" si="229"/>
        <v>2021</v>
      </c>
      <c r="L1987" s="158" t="s">
        <v>6295</v>
      </c>
      <c r="M1987" s="158" t="s">
        <v>6286</v>
      </c>
      <c r="N1987" s="213" t="s">
        <v>6298</v>
      </c>
      <c r="Q1987" s="159"/>
      <c r="R1987" s="222">
        <v>1261.5</v>
      </c>
      <c r="S1987" s="222">
        <v>47212</v>
      </c>
      <c r="T1987" s="222">
        <v>48473.5</v>
      </c>
      <c r="U1987" s="223">
        <v>638</v>
      </c>
      <c r="Z1987" s="184">
        <v>0.1</v>
      </c>
      <c r="AA1987" s="141">
        <v>0.09</v>
      </c>
    </row>
    <row r="1988" spans="1:27" ht="28" customHeight="1" x14ac:dyDescent="0.2">
      <c r="A1988" s="156" t="s">
        <v>6299</v>
      </c>
      <c r="B1988" s="118" t="e">
        <f t="shared" si="227"/>
        <v>#VALUE!</v>
      </c>
      <c r="C1988" t="s">
        <v>6152</v>
      </c>
      <c r="D1988" s="157">
        <v>40673</v>
      </c>
      <c r="E1988" s="157">
        <v>40725</v>
      </c>
      <c r="F1988" s="84">
        <f t="shared" si="228"/>
        <v>44378</v>
      </c>
      <c r="G1988" s="167">
        <v>245.38</v>
      </c>
      <c r="H1988" s="118" t="s">
        <v>6268</v>
      </c>
      <c r="I1988" s="118" t="s">
        <v>6269</v>
      </c>
      <c r="J1988" s="131"/>
      <c r="K1988" s="55">
        <f t="shared" si="229"/>
        <v>2021</v>
      </c>
      <c r="L1988" s="158" t="s">
        <v>6278</v>
      </c>
      <c r="M1988" s="158" t="s">
        <v>6286</v>
      </c>
      <c r="N1988" s="213" t="s">
        <v>6300</v>
      </c>
      <c r="Q1988" s="159"/>
      <c r="R1988" s="222">
        <v>1006</v>
      </c>
      <c r="S1988" s="222">
        <v>220908</v>
      </c>
      <c r="T1988" s="222">
        <v>221914</v>
      </c>
      <c r="U1988" s="223">
        <v>492</v>
      </c>
      <c r="Z1988" s="184">
        <v>0.1</v>
      </c>
      <c r="AA1988" s="141">
        <v>0.09</v>
      </c>
    </row>
    <row r="1989" spans="1:27" ht="42" customHeight="1" x14ac:dyDescent="0.2">
      <c r="A1989" s="156" t="s">
        <v>6301</v>
      </c>
      <c r="B1989" s="118" t="e">
        <f t="shared" si="227"/>
        <v>#VALUE!</v>
      </c>
      <c r="C1989" t="s">
        <v>6152</v>
      </c>
      <c r="D1989" s="157">
        <v>40673</v>
      </c>
      <c r="E1989" s="157">
        <v>40725</v>
      </c>
      <c r="F1989" s="84">
        <f t="shared" si="228"/>
        <v>44378</v>
      </c>
      <c r="G1989" s="167">
        <v>1600</v>
      </c>
      <c r="H1989" s="118" t="s">
        <v>6284</v>
      </c>
      <c r="I1989" s="118" t="s">
        <v>6269</v>
      </c>
      <c r="J1989" s="131"/>
      <c r="K1989" s="55">
        <f t="shared" si="229"/>
        <v>2021</v>
      </c>
      <c r="L1989" s="158" t="s">
        <v>6285</v>
      </c>
      <c r="M1989" s="158" t="s">
        <v>6302</v>
      </c>
      <c r="N1989" s="213" t="s">
        <v>6303</v>
      </c>
      <c r="Q1989" s="159"/>
      <c r="R1989" s="222">
        <v>5745</v>
      </c>
      <c r="S1989" s="222">
        <v>124800</v>
      </c>
      <c r="T1989" s="222">
        <v>130545</v>
      </c>
      <c r="U1989" s="223">
        <v>3200</v>
      </c>
      <c r="Z1989" s="184">
        <v>0.1</v>
      </c>
      <c r="AA1989" s="141">
        <v>0.09</v>
      </c>
    </row>
    <row r="1990" spans="1:27" ht="28" customHeight="1" x14ac:dyDescent="0.2">
      <c r="A1990" s="156" t="s">
        <v>6304</v>
      </c>
      <c r="B1990" s="118" t="e">
        <f t="shared" si="227"/>
        <v>#VALUE!</v>
      </c>
      <c r="C1990" t="s">
        <v>6152</v>
      </c>
      <c r="D1990" s="157">
        <v>40673</v>
      </c>
      <c r="E1990" s="157">
        <v>40725</v>
      </c>
      <c r="F1990" s="84">
        <f t="shared" si="228"/>
        <v>44378</v>
      </c>
      <c r="G1990" s="167">
        <v>960</v>
      </c>
      <c r="H1990" s="118" t="s">
        <v>6305</v>
      </c>
      <c r="I1990" s="118" t="s">
        <v>6269</v>
      </c>
      <c r="J1990" s="131"/>
      <c r="K1990" s="55">
        <f t="shared" si="229"/>
        <v>2021</v>
      </c>
      <c r="L1990" s="158" t="s">
        <v>6306</v>
      </c>
      <c r="M1990" s="158" t="s">
        <v>6274</v>
      </c>
      <c r="N1990" s="213" t="s">
        <v>6307</v>
      </c>
      <c r="Q1990" s="159"/>
      <c r="R1990" s="222">
        <v>3505</v>
      </c>
      <c r="S1990" s="222">
        <v>70080</v>
      </c>
      <c r="T1990" s="222">
        <v>73585</v>
      </c>
      <c r="U1990" s="223">
        <v>1920</v>
      </c>
      <c r="Z1990" s="184">
        <v>0.1</v>
      </c>
      <c r="AA1990" s="141">
        <v>0.09</v>
      </c>
    </row>
    <row r="1991" spans="1:27" ht="42" customHeight="1" x14ac:dyDescent="0.2">
      <c r="A1991" s="156" t="s">
        <v>6308</v>
      </c>
      <c r="B1991" s="118" t="e">
        <f t="shared" si="227"/>
        <v>#VALUE!</v>
      </c>
      <c r="C1991" t="s">
        <v>6152</v>
      </c>
      <c r="D1991" s="157">
        <v>40673</v>
      </c>
      <c r="E1991" s="157">
        <v>40725</v>
      </c>
      <c r="F1991" s="84">
        <f t="shared" si="228"/>
        <v>44378</v>
      </c>
      <c r="G1991" s="167">
        <v>1049.5999999999999</v>
      </c>
      <c r="H1991" s="118" t="s">
        <v>6305</v>
      </c>
      <c r="I1991" s="118" t="s">
        <v>6269</v>
      </c>
      <c r="J1991" s="131"/>
      <c r="K1991" s="55">
        <f t="shared" si="229"/>
        <v>2021</v>
      </c>
      <c r="L1991" s="158" t="s">
        <v>6306</v>
      </c>
      <c r="M1991" s="158" t="s">
        <v>6309</v>
      </c>
      <c r="N1991" s="213" t="s">
        <v>6310</v>
      </c>
      <c r="Q1991" s="159"/>
      <c r="R1991" s="222">
        <v>3820</v>
      </c>
      <c r="S1991" s="222">
        <v>123900</v>
      </c>
      <c r="T1991" s="222">
        <v>127720</v>
      </c>
      <c r="U1991" s="223">
        <v>2100</v>
      </c>
      <c r="Z1991" s="184">
        <v>0.1</v>
      </c>
      <c r="AA1991" s="141">
        <v>0.09</v>
      </c>
    </row>
    <row r="1992" spans="1:27" ht="28" customHeight="1" x14ac:dyDescent="0.2">
      <c r="A1992" s="156" t="s">
        <v>6311</v>
      </c>
      <c r="B1992" s="118" t="e">
        <f t="shared" si="227"/>
        <v>#VALUE!</v>
      </c>
      <c r="C1992" t="s">
        <v>6152</v>
      </c>
      <c r="D1992" s="157">
        <v>40673</v>
      </c>
      <c r="E1992" s="161">
        <v>40756</v>
      </c>
      <c r="F1992" s="84">
        <f t="shared" si="228"/>
        <v>44409</v>
      </c>
      <c r="G1992" s="167">
        <v>120.69</v>
      </c>
      <c r="H1992" s="118" t="s">
        <v>6312</v>
      </c>
      <c r="I1992" s="118" t="s">
        <v>5993</v>
      </c>
      <c r="J1992" s="131"/>
      <c r="K1992" s="55">
        <f t="shared" si="229"/>
        <v>2021</v>
      </c>
      <c r="L1992" s="158" t="s">
        <v>6313</v>
      </c>
      <c r="M1992" s="158" t="s">
        <v>6234</v>
      </c>
      <c r="N1992" s="213" t="s">
        <v>6314</v>
      </c>
      <c r="Q1992" s="162"/>
      <c r="R1992" s="222">
        <v>568.5</v>
      </c>
      <c r="S1992" s="222">
        <v>205458</v>
      </c>
      <c r="T1992" s="222">
        <v>206026.5</v>
      </c>
      <c r="U1992" s="223">
        <v>181.5</v>
      </c>
      <c r="Z1992" s="184">
        <v>0.1</v>
      </c>
      <c r="AA1992" s="141">
        <v>0.09</v>
      </c>
    </row>
    <row r="1993" spans="1:27" ht="16" hidden="1" x14ac:dyDescent="0.2">
      <c r="A1993" s="163"/>
      <c r="D1993" s="163"/>
      <c r="E1993" s="118"/>
      <c r="F1993" s="118"/>
      <c r="G1993" s="183"/>
      <c r="J1993" s="131"/>
      <c r="K1993" s="131"/>
      <c r="L1993" s="158"/>
      <c r="M1993" s="158"/>
      <c r="N1993" s="213" t="s">
        <v>6158</v>
      </c>
      <c r="Q1993" s="164"/>
      <c r="R1993" s="285"/>
      <c r="S1993" s="285"/>
      <c r="T1993" s="285"/>
      <c r="U1993" s="284"/>
      <c r="V1993" s="285"/>
      <c r="W1993" s="285"/>
      <c r="X1993" s="284"/>
      <c r="Z1993" s="165"/>
      <c r="AA1993" s="166"/>
    </row>
    <row r="1994" spans="1:27" ht="16" hidden="1" x14ac:dyDescent="0.2">
      <c r="A1994" s="163"/>
      <c r="D1994" s="163" t="s">
        <v>6266</v>
      </c>
      <c r="E1994" s="118"/>
      <c r="F1994" s="118"/>
      <c r="G1994" s="183"/>
      <c r="J1994" s="131"/>
      <c r="K1994" s="131"/>
      <c r="L1994" s="158"/>
      <c r="M1994" s="158"/>
      <c r="N1994" s="213" t="s">
        <v>6158</v>
      </c>
      <c r="Q1994" s="164"/>
      <c r="R1994" s="283">
        <v>32338</v>
      </c>
      <c r="S1994" s="283">
        <v>1220861.5</v>
      </c>
      <c r="T1994" s="283">
        <v>1253199.5</v>
      </c>
      <c r="U1994" s="284"/>
      <c r="V1994" s="285"/>
      <c r="W1994" s="285"/>
      <c r="X1994" s="284"/>
      <c r="Z1994" s="165"/>
      <c r="AA1994" s="166"/>
    </row>
    <row r="1995" spans="1:27" ht="15" hidden="1" customHeight="1" thickTop="1" x14ac:dyDescent="0.2">
      <c r="A1995" s="163"/>
      <c r="D1995" s="163"/>
      <c r="E1995" s="118"/>
      <c r="F1995" s="118"/>
      <c r="G1995" s="183"/>
      <c r="J1995" s="131"/>
      <c r="K1995" s="131"/>
      <c r="L1995" s="158"/>
      <c r="M1995" s="158"/>
      <c r="N1995" s="213" t="s">
        <v>6158</v>
      </c>
      <c r="Q1995" s="164"/>
      <c r="R1995" s="286"/>
      <c r="S1995" s="286"/>
      <c r="T1995" s="286"/>
      <c r="U1995" s="284"/>
      <c r="V1995" s="285"/>
      <c r="W1995" s="285"/>
      <c r="X1995" s="284"/>
      <c r="Z1995" s="165"/>
      <c r="AA1995" s="166"/>
    </row>
    <row r="1996" spans="1:27" ht="16" hidden="1" x14ac:dyDescent="0.2">
      <c r="A1996" s="163"/>
      <c r="E1996" s="118"/>
      <c r="F1996" s="118"/>
      <c r="G1996" s="183"/>
      <c r="J1996" s="131"/>
      <c r="K1996" s="131"/>
      <c r="L1996" s="158"/>
      <c r="M1996" s="158"/>
      <c r="N1996" s="213" t="s">
        <v>6158</v>
      </c>
      <c r="Q1996" s="164"/>
      <c r="R1996" s="287"/>
      <c r="S1996" s="287"/>
      <c r="T1996" s="287"/>
      <c r="Z1996" s="165"/>
      <c r="AA1996" s="166"/>
    </row>
    <row r="1997" spans="1:27" ht="28" customHeight="1" x14ac:dyDescent="0.2">
      <c r="A1997" s="156" t="s">
        <v>6315</v>
      </c>
      <c r="B1997" s="118" t="e">
        <f t="shared" ref="B1997:B2008" si="230">IF(COUNTIF(GIS,A1997),"YES","NO")</f>
        <v>#VALUE!</v>
      </c>
      <c r="C1997" t="s">
        <v>6152</v>
      </c>
      <c r="D1997" s="157">
        <v>40736</v>
      </c>
      <c r="E1997" s="288">
        <v>40787</v>
      </c>
      <c r="F1997" s="84">
        <f t="shared" ref="F1997:F2008" si="231">DATE(YEAR(E1997)+10,MONTH(E1997),DAY(E1997))</f>
        <v>44440</v>
      </c>
      <c r="G1997" s="183">
        <v>560</v>
      </c>
      <c r="H1997" s="118" t="s">
        <v>6316</v>
      </c>
      <c r="I1997" s="118" t="s">
        <v>5993</v>
      </c>
      <c r="J1997" s="131"/>
      <c r="K1997" s="55">
        <f t="shared" ref="K1997:K2008" si="232">YEAR(F1997)</f>
        <v>2021</v>
      </c>
      <c r="L1997" s="158" t="s">
        <v>6317</v>
      </c>
      <c r="M1997" s="158" t="s">
        <v>6318</v>
      </c>
      <c r="N1997" s="213" t="s">
        <v>6319</v>
      </c>
      <c r="Q1997" s="289"/>
      <c r="R1997" s="290">
        <v>2105</v>
      </c>
      <c r="S1997" s="290">
        <v>82880</v>
      </c>
      <c r="T1997" s="290">
        <v>84985</v>
      </c>
      <c r="U1997" s="223">
        <v>840</v>
      </c>
      <c r="Z1997" s="184">
        <v>0.1</v>
      </c>
      <c r="AA1997" s="141">
        <v>0.09</v>
      </c>
    </row>
    <row r="1998" spans="1:27" ht="28" customHeight="1" x14ac:dyDescent="0.2">
      <c r="A1998" s="156" t="s">
        <v>6320</v>
      </c>
      <c r="B1998" s="118" t="e">
        <f t="shared" si="230"/>
        <v>#VALUE!</v>
      </c>
      <c r="C1998" t="s">
        <v>6152</v>
      </c>
      <c r="D1998" s="157">
        <v>40736</v>
      </c>
      <c r="E1998" s="288">
        <v>40787</v>
      </c>
      <c r="F1998" s="84">
        <f t="shared" si="231"/>
        <v>44440</v>
      </c>
      <c r="G1998" s="183">
        <v>320</v>
      </c>
      <c r="H1998" s="118" t="s">
        <v>6316</v>
      </c>
      <c r="I1998" s="118" t="s">
        <v>5993</v>
      </c>
      <c r="J1998" s="131"/>
      <c r="K1998" s="55">
        <f t="shared" si="232"/>
        <v>2021</v>
      </c>
      <c r="L1998" s="158" t="s">
        <v>6321</v>
      </c>
      <c r="M1998" s="158" t="s">
        <v>6318</v>
      </c>
      <c r="N1998" s="213" t="s">
        <v>6322</v>
      </c>
      <c r="Q1998" s="289"/>
      <c r="R1998" s="290">
        <v>1265</v>
      </c>
      <c r="S1998" s="290">
        <v>47360</v>
      </c>
      <c r="T1998" s="290">
        <v>48625</v>
      </c>
      <c r="U1998" s="223">
        <v>480</v>
      </c>
      <c r="Z1998" s="184">
        <v>0.1</v>
      </c>
      <c r="AA1998" s="141">
        <v>0.09</v>
      </c>
    </row>
    <row r="1999" spans="1:27" ht="28" customHeight="1" x14ac:dyDescent="0.2">
      <c r="A1999" s="156" t="s">
        <v>6323</v>
      </c>
      <c r="B1999" s="118" t="e">
        <f t="shared" si="230"/>
        <v>#VALUE!</v>
      </c>
      <c r="C1999" t="s">
        <v>6152</v>
      </c>
      <c r="D1999" s="157">
        <v>40736</v>
      </c>
      <c r="E1999" s="288">
        <v>40787</v>
      </c>
      <c r="F1999" s="84">
        <f t="shared" si="231"/>
        <v>44440</v>
      </c>
      <c r="G1999" s="183">
        <v>320</v>
      </c>
      <c r="H1999" s="118" t="s">
        <v>6324</v>
      </c>
      <c r="I1999" s="118" t="s">
        <v>5993</v>
      </c>
      <c r="J1999" s="131"/>
      <c r="K1999" s="55">
        <f t="shared" si="232"/>
        <v>2021</v>
      </c>
      <c r="L1999" s="158" t="s">
        <v>6325</v>
      </c>
      <c r="M1999" s="158" t="s">
        <v>6318</v>
      </c>
      <c r="N1999" s="213" t="s">
        <v>6326</v>
      </c>
      <c r="Q1999" s="289"/>
      <c r="R1999" s="290">
        <v>1265</v>
      </c>
      <c r="S1999" s="290">
        <v>28160</v>
      </c>
      <c r="T1999" s="290">
        <v>29425</v>
      </c>
      <c r="U1999" s="223">
        <v>480</v>
      </c>
      <c r="Z1999" s="184">
        <v>0.1</v>
      </c>
      <c r="AA1999" s="141">
        <v>0.09</v>
      </c>
    </row>
    <row r="2000" spans="1:27" ht="28" customHeight="1" x14ac:dyDescent="0.2">
      <c r="A2000" s="156" t="s">
        <v>6327</v>
      </c>
      <c r="B2000" s="118" t="e">
        <f t="shared" si="230"/>
        <v>#VALUE!</v>
      </c>
      <c r="C2000" t="s">
        <v>6152</v>
      </c>
      <c r="D2000" s="157">
        <v>40736</v>
      </c>
      <c r="E2000" s="288">
        <v>40787</v>
      </c>
      <c r="F2000" s="84">
        <f t="shared" si="231"/>
        <v>44440</v>
      </c>
      <c r="G2000" s="183">
        <v>480</v>
      </c>
      <c r="H2000" s="118" t="s">
        <v>6324</v>
      </c>
      <c r="I2000" s="118" t="s">
        <v>5993</v>
      </c>
      <c r="J2000" s="131"/>
      <c r="K2000" s="55">
        <f t="shared" si="232"/>
        <v>2021</v>
      </c>
      <c r="L2000" s="158" t="s">
        <v>6313</v>
      </c>
      <c r="M2000" s="158" t="s">
        <v>6318</v>
      </c>
      <c r="N2000" s="213" t="s">
        <v>6328</v>
      </c>
      <c r="Q2000" s="289"/>
      <c r="R2000" s="290">
        <v>1825</v>
      </c>
      <c r="S2000" s="290">
        <v>27840</v>
      </c>
      <c r="T2000" s="290">
        <v>29665</v>
      </c>
      <c r="U2000" s="223">
        <v>720</v>
      </c>
      <c r="Z2000" s="184">
        <v>0.1</v>
      </c>
      <c r="AA2000" s="141">
        <v>0.09</v>
      </c>
    </row>
    <row r="2001" spans="1:27" ht="42" customHeight="1" x14ac:dyDescent="0.2">
      <c r="A2001" s="156" t="s">
        <v>6329</v>
      </c>
      <c r="B2001" s="118" t="e">
        <f t="shared" si="230"/>
        <v>#VALUE!</v>
      </c>
      <c r="C2001" t="s">
        <v>6152</v>
      </c>
      <c r="D2001" s="157">
        <v>40736</v>
      </c>
      <c r="E2001" s="288">
        <v>40787</v>
      </c>
      <c r="F2001" s="84">
        <f t="shared" si="231"/>
        <v>44440</v>
      </c>
      <c r="G2001" s="183">
        <v>1309</v>
      </c>
      <c r="H2001" s="118" t="s">
        <v>1983</v>
      </c>
      <c r="I2001" s="118" t="s">
        <v>6050</v>
      </c>
      <c r="J2001" s="131"/>
      <c r="K2001" s="55">
        <f t="shared" si="232"/>
        <v>2021</v>
      </c>
      <c r="L2001" s="158" t="s">
        <v>6202</v>
      </c>
      <c r="M2001" s="158" t="s">
        <v>6330</v>
      </c>
      <c r="N2001" s="213" t="s">
        <v>6331</v>
      </c>
      <c r="Q2001" s="289"/>
      <c r="R2001" s="290">
        <v>4726.5</v>
      </c>
      <c r="S2001" s="290">
        <v>27489</v>
      </c>
      <c r="T2001" s="290">
        <v>32215.5</v>
      </c>
      <c r="U2001" s="223">
        <v>1963.5</v>
      </c>
      <c r="Z2001" s="184">
        <v>0.1</v>
      </c>
      <c r="AA2001" s="141">
        <v>0.09</v>
      </c>
    </row>
    <row r="2002" spans="1:27" ht="28" customHeight="1" x14ac:dyDescent="0.2">
      <c r="A2002" s="156" t="s">
        <v>6332</v>
      </c>
      <c r="B2002" s="118" t="e">
        <f t="shared" si="230"/>
        <v>#VALUE!</v>
      </c>
      <c r="C2002" t="s">
        <v>6152</v>
      </c>
      <c r="D2002" s="157">
        <v>40736</v>
      </c>
      <c r="E2002" s="288">
        <v>40787</v>
      </c>
      <c r="F2002" s="84">
        <f t="shared" si="231"/>
        <v>44440</v>
      </c>
      <c r="G2002" s="183">
        <v>959</v>
      </c>
      <c r="H2002" s="118" t="s">
        <v>1983</v>
      </c>
      <c r="I2002" s="118" t="s">
        <v>6050</v>
      </c>
      <c r="J2002" s="131"/>
      <c r="K2002" s="55">
        <f t="shared" si="232"/>
        <v>2021</v>
      </c>
      <c r="L2002" s="158" t="s">
        <v>6202</v>
      </c>
      <c r="M2002" s="158" t="s">
        <v>6330</v>
      </c>
      <c r="N2002" s="213" t="s">
        <v>6333</v>
      </c>
      <c r="Q2002" s="289"/>
      <c r="R2002" s="290">
        <v>3501.5</v>
      </c>
      <c r="S2002" s="290">
        <v>22057</v>
      </c>
      <c r="T2002" s="290">
        <v>25558.5</v>
      </c>
      <c r="U2002" s="223">
        <v>1438.5</v>
      </c>
      <c r="Z2002" s="184">
        <v>0.1</v>
      </c>
      <c r="AA2002" s="141">
        <v>0.09</v>
      </c>
    </row>
    <row r="2003" spans="1:27" ht="28" customHeight="1" x14ac:dyDescent="0.2">
      <c r="A2003" s="156" t="s">
        <v>6334</v>
      </c>
      <c r="B2003" s="118" t="e">
        <f t="shared" si="230"/>
        <v>#VALUE!</v>
      </c>
      <c r="C2003" t="s">
        <v>6152</v>
      </c>
      <c r="D2003" s="157">
        <v>40736</v>
      </c>
      <c r="E2003" s="288">
        <v>40787</v>
      </c>
      <c r="F2003" s="84">
        <f t="shared" si="231"/>
        <v>44440</v>
      </c>
      <c r="G2003" s="183">
        <v>720</v>
      </c>
      <c r="H2003" s="118" t="s">
        <v>1983</v>
      </c>
      <c r="I2003" s="118" t="s">
        <v>6050</v>
      </c>
      <c r="J2003" s="131"/>
      <c r="K2003" s="55">
        <f t="shared" si="232"/>
        <v>2021</v>
      </c>
      <c r="L2003" s="158" t="s">
        <v>6202</v>
      </c>
      <c r="M2003" s="158" t="s">
        <v>6330</v>
      </c>
      <c r="N2003" s="213" t="s">
        <v>6335</v>
      </c>
      <c r="Q2003" s="289"/>
      <c r="R2003" s="290">
        <v>2665</v>
      </c>
      <c r="S2003" s="290">
        <v>15120</v>
      </c>
      <c r="T2003" s="290">
        <v>17785</v>
      </c>
      <c r="U2003" s="223">
        <v>1080</v>
      </c>
      <c r="Z2003" s="184">
        <v>0.1</v>
      </c>
      <c r="AA2003" s="141">
        <v>0.09</v>
      </c>
    </row>
    <row r="2004" spans="1:27" ht="28" customHeight="1" x14ac:dyDescent="0.2">
      <c r="A2004" s="156" t="s">
        <v>6336</v>
      </c>
      <c r="B2004" s="118" t="e">
        <f t="shared" si="230"/>
        <v>#VALUE!</v>
      </c>
      <c r="C2004" t="s">
        <v>6152</v>
      </c>
      <c r="D2004" s="157">
        <v>40736</v>
      </c>
      <c r="E2004" s="288">
        <v>40787</v>
      </c>
      <c r="F2004" s="84">
        <f t="shared" si="231"/>
        <v>44440</v>
      </c>
      <c r="G2004" s="183">
        <v>160</v>
      </c>
      <c r="H2004" s="118" t="s">
        <v>6324</v>
      </c>
      <c r="I2004" s="118" t="s">
        <v>5993</v>
      </c>
      <c r="J2004" s="131"/>
      <c r="K2004" s="55">
        <f t="shared" si="232"/>
        <v>2021</v>
      </c>
      <c r="L2004" s="158" t="s">
        <v>6325</v>
      </c>
      <c r="M2004" s="158" t="s">
        <v>6337</v>
      </c>
      <c r="N2004" s="213" t="s">
        <v>6338</v>
      </c>
      <c r="Q2004" s="289"/>
      <c r="R2004" s="290">
        <v>705</v>
      </c>
      <c r="S2004" s="290">
        <v>14080</v>
      </c>
      <c r="T2004" s="290">
        <v>14785</v>
      </c>
      <c r="U2004" s="223">
        <v>240</v>
      </c>
      <c r="Z2004" s="184">
        <v>0.1</v>
      </c>
      <c r="AA2004" s="141">
        <v>0.09</v>
      </c>
    </row>
    <row r="2005" spans="1:27" ht="28" customHeight="1" x14ac:dyDescent="0.2">
      <c r="A2005" s="156" t="s">
        <v>6339</v>
      </c>
      <c r="B2005" s="118" t="e">
        <f t="shared" si="230"/>
        <v>#VALUE!</v>
      </c>
      <c r="C2005" t="s">
        <v>6152</v>
      </c>
      <c r="D2005" s="157">
        <v>40736</v>
      </c>
      <c r="E2005" s="288">
        <v>40787</v>
      </c>
      <c r="F2005" s="84">
        <f t="shared" si="231"/>
        <v>44440</v>
      </c>
      <c r="G2005" s="183">
        <v>40</v>
      </c>
      <c r="H2005" s="118" t="s">
        <v>6316</v>
      </c>
      <c r="I2005" s="118" t="s">
        <v>5993</v>
      </c>
      <c r="J2005" s="131" t="s">
        <v>6340</v>
      </c>
      <c r="K2005" s="55">
        <f t="shared" si="232"/>
        <v>2021</v>
      </c>
      <c r="L2005" s="158" t="s">
        <v>6321</v>
      </c>
      <c r="M2005" s="158" t="s">
        <v>6337</v>
      </c>
      <c r="N2005" s="213" t="s">
        <v>6341</v>
      </c>
      <c r="Q2005" s="289"/>
      <c r="R2005" s="290">
        <v>285</v>
      </c>
      <c r="S2005" s="290">
        <v>12920</v>
      </c>
      <c r="T2005" s="290">
        <v>13205</v>
      </c>
      <c r="U2005" s="223">
        <v>60</v>
      </c>
      <c r="Z2005" s="184">
        <v>0.1</v>
      </c>
      <c r="AA2005" s="141">
        <v>0.09</v>
      </c>
    </row>
    <row r="2006" spans="1:27" ht="28" customHeight="1" x14ac:dyDescent="0.2">
      <c r="A2006" s="156" t="s">
        <v>6342</v>
      </c>
      <c r="B2006" s="118" t="e">
        <f t="shared" si="230"/>
        <v>#VALUE!</v>
      </c>
      <c r="C2006" t="s">
        <v>6152</v>
      </c>
      <c r="D2006" s="157">
        <v>40736</v>
      </c>
      <c r="E2006" s="288">
        <v>40787</v>
      </c>
      <c r="F2006" s="84">
        <f t="shared" si="231"/>
        <v>44440</v>
      </c>
      <c r="G2006" s="183">
        <v>501.2</v>
      </c>
      <c r="H2006" s="118" t="s">
        <v>1983</v>
      </c>
      <c r="I2006" s="118" t="s">
        <v>6050</v>
      </c>
      <c r="J2006" s="131"/>
      <c r="K2006" s="55">
        <f t="shared" si="232"/>
        <v>2021</v>
      </c>
      <c r="L2006" s="158" t="s">
        <v>6202</v>
      </c>
      <c r="M2006" s="158" t="s">
        <v>6330</v>
      </c>
      <c r="N2006" s="213" t="s">
        <v>6343</v>
      </c>
      <c r="Q2006" s="289"/>
      <c r="R2006" s="290">
        <v>1902</v>
      </c>
      <c r="S2006" s="290">
        <v>9036</v>
      </c>
      <c r="T2006" s="290">
        <v>10938</v>
      </c>
      <c r="U2006" s="223">
        <v>753</v>
      </c>
      <c r="Z2006" s="184">
        <v>0.1</v>
      </c>
      <c r="AA2006" s="141">
        <v>0.09</v>
      </c>
    </row>
    <row r="2007" spans="1:27" ht="16" x14ac:dyDescent="0.2">
      <c r="A2007" s="156" t="s">
        <v>6344</v>
      </c>
      <c r="B2007" s="118" t="e">
        <f t="shared" si="230"/>
        <v>#VALUE!</v>
      </c>
      <c r="C2007" t="s">
        <v>6152</v>
      </c>
      <c r="D2007" s="157">
        <v>40736</v>
      </c>
      <c r="E2007" s="288">
        <v>40787</v>
      </c>
      <c r="F2007" s="84">
        <f t="shared" si="231"/>
        <v>44440</v>
      </c>
      <c r="G2007" s="183">
        <v>160</v>
      </c>
      <c r="H2007" s="118" t="s">
        <v>1983</v>
      </c>
      <c r="I2007" s="118" t="s">
        <v>6050</v>
      </c>
      <c r="J2007" s="131"/>
      <c r="K2007" s="55">
        <f t="shared" si="232"/>
        <v>2021</v>
      </c>
      <c r="L2007" s="158" t="s">
        <v>6345</v>
      </c>
      <c r="M2007" s="158" t="s">
        <v>6203</v>
      </c>
      <c r="N2007" s="213" t="s">
        <v>6346</v>
      </c>
      <c r="Q2007" s="289"/>
      <c r="R2007" s="290">
        <v>705</v>
      </c>
      <c r="S2007" s="290">
        <v>3040</v>
      </c>
      <c r="T2007" s="290">
        <v>3745</v>
      </c>
      <c r="U2007" s="223">
        <v>240</v>
      </c>
      <c r="Z2007" s="184">
        <v>0.1</v>
      </c>
      <c r="AA2007" s="141">
        <v>0.09</v>
      </c>
    </row>
    <row r="2008" spans="1:27" ht="28" customHeight="1" x14ac:dyDescent="0.2">
      <c r="A2008" s="156" t="s">
        <v>6347</v>
      </c>
      <c r="B2008" s="118" t="e">
        <f t="shared" si="230"/>
        <v>#VALUE!</v>
      </c>
      <c r="C2008" t="s">
        <v>6152</v>
      </c>
      <c r="D2008" s="157">
        <v>40736</v>
      </c>
      <c r="E2008" s="288">
        <v>40787</v>
      </c>
      <c r="F2008" s="84">
        <f t="shared" si="231"/>
        <v>44440</v>
      </c>
      <c r="G2008" s="183">
        <v>160</v>
      </c>
      <c r="H2008" s="118" t="s">
        <v>6348</v>
      </c>
      <c r="I2008" s="118" t="s">
        <v>5993</v>
      </c>
      <c r="J2008" s="131"/>
      <c r="K2008" s="55">
        <f t="shared" si="232"/>
        <v>2021</v>
      </c>
      <c r="L2008" s="158" t="s">
        <v>6349</v>
      </c>
      <c r="M2008" s="158" t="s">
        <v>6350</v>
      </c>
      <c r="N2008" s="213" t="s">
        <v>6351</v>
      </c>
      <c r="Q2008" s="289"/>
      <c r="R2008" s="290">
        <v>705</v>
      </c>
      <c r="S2008" s="290">
        <v>640</v>
      </c>
      <c r="T2008" s="290">
        <v>1345</v>
      </c>
      <c r="U2008" s="223">
        <v>240</v>
      </c>
      <c r="Z2008" s="184">
        <v>0.1</v>
      </c>
      <c r="AA2008" s="141">
        <v>0.09</v>
      </c>
    </row>
    <row r="2009" spans="1:27" ht="16" hidden="1" x14ac:dyDescent="0.2">
      <c r="A2009" s="163"/>
      <c r="E2009" s="118"/>
      <c r="F2009" s="118"/>
      <c r="G2009" s="183"/>
      <c r="J2009" s="131"/>
      <c r="K2009" s="131"/>
      <c r="L2009" s="158"/>
      <c r="M2009" s="158"/>
      <c r="N2009" s="213" t="s">
        <v>6158</v>
      </c>
      <c r="Q2009" s="164"/>
      <c r="Z2009" s="165"/>
      <c r="AA2009" s="166"/>
    </row>
    <row r="2010" spans="1:27" ht="16" hidden="1" x14ac:dyDescent="0.2">
      <c r="A2010" s="163"/>
      <c r="D2010" s="163" t="s">
        <v>6266</v>
      </c>
      <c r="E2010" s="118"/>
      <c r="F2010" s="118"/>
      <c r="G2010" s="183"/>
      <c r="J2010" s="131"/>
      <c r="K2010" s="131"/>
      <c r="L2010" s="158"/>
      <c r="M2010" s="158"/>
      <c r="N2010" s="213" t="s">
        <v>6158</v>
      </c>
      <c r="Q2010" s="164"/>
      <c r="R2010" s="283">
        <v>21655</v>
      </c>
      <c r="S2010" s="283">
        <v>290622</v>
      </c>
      <c r="T2010" s="283">
        <v>312277</v>
      </c>
      <c r="U2010" s="284"/>
      <c r="V2010" s="285"/>
      <c r="W2010" s="285"/>
      <c r="X2010" s="284"/>
      <c r="Z2010" s="165"/>
      <c r="AA2010" s="166"/>
    </row>
    <row r="2011" spans="1:27" ht="15" hidden="1" customHeight="1" thickTop="1" x14ac:dyDescent="0.2">
      <c r="A2011" s="163"/>
      <c r="E2011" s="118"/>
      <c r="F2011" s="118"/>
      <c r="G2011" s="183"/>
      <c r="J2011" s="131"/>
      <c r="K2011" s="131"/>
      <c r="L2011" s="158"/>
      <c r="M2011" s="158"/>
      <c r="N2011" s="213" t="s">
        <v>6158</v>
      </c>
      <c r="Q2011" s="164"/>
      <c r="R2011" s="291"/>
      <c r="S2011" s="291"/>
      <c r="T2011" s="291"/>
      <c r="Z2011" s="165"/>
      <c r="AA2011" s="166"/>
    </row>
    <row r="2012" spans="1:27" ht="28" customHeight="1" x14ac:dyDescent="0.2">
      <c r="A2012" s="156" t="s">
        <v>6352</v>
      </c>
      <c r="B2012" s="118" t="e">
        <f t="shared" ref="B2012:B2025" si="233">IF(COUNTIF(GIS,A2012),"YES","NO")</f>
        <v>#VALUE!</v>
      </c>
      <c r="C2012" t="s">
        <v>6152</v>
      </c>
      <c r="D2012" s="157">
        <v>40834</v>
      </c>
      <c r="E2012" s="157">
        <v>40878</v>
      </c>
      <c r="F2012" s="84">
        <f t="shared" ref="F2012:F2025" si="234">DATE(YEAR(E2012)+10,MONTH(E2012),DAY(E2012))</f>
        <v>44531</v>
      </c>
      <c r="G2012" s="183">
        <v>200</v>
      </c>
      <c r="H2012" s="118" t="s">
        <v>6353</v>
      </c>
      <c r="I2012" s="118" t="s">
        <v>6269</v>
      </c>
      <c r="J2012" s="131"/>
      <c r="K2012" s="55">
        <f t="shared" ref="K2012:K2025" si="235">YEAR(F2012)</f>
        <v>2021</v>
      </c>
      <c r="L2012" s="158" t="s">
        <v>6354</v>
      </c>
      <c r="M2012" s="158" t="s">
        <v>6355</v>
      </c>
      <c r="N2012" s="213" t="s">
        <v>6356</v>
      </c>
      <c r="Q2012" s="159"/>
      <c r="R2012" s="290">
        <v>845</v>
      </c>
      <c r="S2012" s="290">
        <v>17600</v>
      </c>
      <c r="T2012" s="290">
        <v>18445</v>
      </c>
      <c r="U2012" s="223">
        <v>300</v>
      </c>
      <c r="Z2012" s="184">
        <v>0.1</v>
      </c>
      <c r="AA2012" s="141">
        <v>0.09</v>
      </c>
    </row>
    <row r="2013" spans="1:27" ht="42" customHeight="1" x14ac:dyDescent="0.2">
      <c r="A2013" s="156" t="s">
        <v>6357</v>
      </c>
      <c r="B2013" s="118" t="e">
        <f t="shared" si="233"/>
        <v>#VALUE!</v>
      </c>
      <c r="C2013" t="s">
        <v>6152</v>
      </c>
      <c r="D2013" s="157">
        <v>40834</v>
      </c>
      <c r="E2013" s="157">
        <v>40878</v>
      </c>
      <c r="F2013" s="84">
        <f t="shared" si="234"/>
        <v>44531</v>
      </c>
      <c r="G2013" s="183">
        <v>254</v>
      </c>
      <c r="H2013" s="118" t="s">
        <v>6353</v>
      </c>
      <c r="I2013" s="118" t="s">
        <v>6269</v>
      </c>
      <c r="J2013" s="131"/>
      <c r="K2013" s="55">
        <f t="shared" si="235"/>
        <v>2021</v>
      </c>
      <c r="L2013" s="158" t="s">
        <v>6358</v>
      </c>
      <c r="M2013" s="158" t="s">
        <v>6359</v>
      </c>
      <c r="N2013" s="213" t="s">
        <v>6360</v>
      </c>
      <c r="Q2013" s="159"/>
      <c r="R2013" s="290">
        <v>1034</v>
      </c>
      <c r="S2013" s="290">
        <v>14732</v>
      </c>
      <c r="T2013" s="290">
        <v>15766</v>
      </c>
      <c r="U2013" s="223">
        <v>381</v>
      </c>
      <c r="Z2013" s="184">
        <v>0.1</v>
      </c>
      <c r="AA2013" s="141">
        <v>0.09</v>
      </c>
    </row>
    <row r="2014" spans="1:27" ht="42" customHeight="1" x14ac:dyDescent="0.2">
      <c r="A2014" s="156" t="s">
        <v>6361</v>
      </c>
      <c r="B2014" s="118" t="e">
        <f t="shared" si="233"/>
        <v>#VALUE!</v>
      </c>
      <c r="C2014" t="s">
        <v>6152</v>
      </c>
      <c r="D2014" s="157">
        <v>40834</v>
      </c>
      <c r="E2014" s="157">
        <v>40878</v>
      </c>
      <c r="F2014" s="84">
        <f t="shared" si="234"/>
        <v>44531</v>
      </c>
      <c r="G2014" s="183">
        <v>231</v>
      </c>
      <c r="H2014" s="118" t="s">
        <v>6353</v>
      </c>
      <c r="I2014" s="118" t="s">
        <v>6269</v>
      </c>
      <c r="J2014" s="131"/>
      <c r="K2014" s="55">
        <f t="shared" si="235"/>
        <v>2021</v>
      </c>
      <c r="L2014" s="158" t="s">
        <v>6358</v>
      </c>
      <c r="M2014" s="158" t="s">
        <v>6362</v>
      </c>
      <c r="N2014" s="213" t="s">
        <v>6363</v>
      </c>
      <c r="Q2014" s="159"/>
      <c r="R2014" s="290">
        <v>953.5</v>
      </c>
      <c r="S2014" s="290">
        <v>13398</v>
      </c>
      <c r="T2014" s="290">
        <v>14351.5</v>
      </c>
      <c r="U2014" s="223">
        <v>346.5</v>
      </c>
      <c r="Z2014" s="184">
        <v>0.1</v>
      </c>
      <c r="AA2014" s="141">
        <v>0.09</v>
      </c>
    </row>
    <row r="2015" spans="1:27" ht="42" customHeight="1" x14ac:dyDescent="0.2">
      <c r="A2015" s="156" t="s">
        <v>6364</v>
      </c>
      <c r="B2015" s="118" t="e">
        <f t="shared" si="233"/>
        <v>#VALUE!</v>
      </c>
      <c r="C2015" t="s">
        <v>6152</v>
      </c>
      <c r="D2015" s="157">
        <v>40834</v>
      </c>
      <c r="E2015" s="157">
        <v>40878</v>
      </c>
      <c r="F2015" s="84">
        <f t="shared" si="234"/>
        <v>44531</v>
      </c>
      <c r="G2015" s="183">
        <v>548</v>
      </c>
      <c r="H2015" s="118" t="s">
        <v>6353</v>
      </c>
      <c r="I2015" s="118" t="s">
        <v>6269</v>
      </c>
      <c r="J2015" s="131"/>
      <c r="K2015" s="55">
        <f t="shared" si="235"/>
        <v>2021</v>
      </c>
      <c r="L2015" s="158" t="s">
        <v>6358</v>
      </c>
      <c r="M2015" s="158" t="s">
        <v>6362</v>
      </c>
      <c r="N2015" s="213" t="s">
        <v>6365</v>
      </c>
      <c r="Q2015" s="159"/>
      <c r="R2015" s="290">
        <v>2063</v>
      </c>
      <c r="S2015" s="290">
        <v>34524</v>
      </c>
      <c r="T2015" s="290">
        <v>36587</v>
      </c>
      <c r="U2015" s="223">
        <v>822</v>
      </c>
      <c r="Z2015" s="184">
        <v>0.1</v>
      </c>
      <c r="AA2015" s="141">
        <v>0.09</v>
      </c>
    </row>
    <row r="2016" spans="1:27" ht="16" x14ac:dyDescent="0.2">
      <c r="A2016" s="156" t="s">
        <v>6366</v>
      </c>
      <c r="B2016" s="118" t="e">
        <f t="shared" si="233"/>
        <v>#VALUE!</v>
      </c>
      <c r="C2016" t="s">
        <v>6152</v>
      </c>
      <c r="D2016" s="157">
        <v>40834</v>
      </c>
      <c r="E2016" s="157">
        <v>40878</v>
      </c>
      <c r="F2016" s="84">
        <f t="shared" si="234"/>
        <v>44531</v>
      </c>
      <c r="G2016" s="183">
        <v>40</v>
      </c>
      <c r="H2016" s="118" t="s">
        <v>6353</v>
      </c>
      <c r="I2016" s="118" t="s">
        <v>6269</v>
      </c>
      <c r="J2016" s="131"/>
      <c r="K2016" s="55">
        <f t="shared" si="235"/>
        <v>2021</v>
      </c>
      <c r="L2016" s="158" t="s">
        <v>6367</v>
      </c>
      <c r="M2016" s="158" t="s">
        <v>6362</v>
      </c>
      <c r="N2016" s="213" t="s">
        <v>6368</v>
      </c>
      <c r="Q2016" s="159"/>
      <c r="R2016" s="290">
        <v>285</v>
      </c>
      <c r="S2016" s="290">
        <v>2320</v>
      </c>
      <c r="T2016" s="290">
        <v>2605</v>
      </c>
      <c r="U2016" s="223">
        <v>60</v>
      </c>
      <c r="Z2016" s="184">
        <v>0.1</v>
      </c>
      <c r="AA2016" s="141">
        <v>0.09</v>
      </c>
    </row>
    <row r="2017" spans="1:27" ht="16" x14ac:dyDescent="0.2">
      <c r="A2017" s="156" t="s">
        <v>6369</v>
      </c>
      <c r="B2017" s="118" t="e">
        <f t="shared" si="233"/>
        <v>#VALUE!</v>
      </c>
      <c r="C2017" t="s">
        <v>6152</v>
      </c>
      <c r="D2017" s="157">
        <v>40834</v>
      </c>
      <c r="E2017" s="157">
        <v>40878</v>
      </c>
      <c r="F2017" s="84">
        <f t="shared" si="234"/>
        <v>44531</v>
      </c>
      <c r="G2017" s="183">
        <v>80</v>
      </c>
      <c r="H2017" s="118" t="s">
        <v>6353</v>
      </c>
      <c r="I2017" s="118" t="s">
        <v>6269</v>
      </c>
      <c r="J2017" s="131"/>
      <c r="K2017" s="55">
        <f t="shared" si="235"/>
        <v>2021</v>
      </c>
      <c r="L2017" s="158" t="s">
        <v>6367</v>
      </c>
      <c r="M2017" s="158" t="s">
        <v>6362</v>
      </c>
      <c r="N2017" s="213" t="s">
        <v>6370</v>
      </c>
      <c r="Q2017" s="159"/>
      <c r="R2017" s="290">
        <v>425</v>
      </c>
      <c r="S2017" s="290">
        <v>4640</v>
      </c>
      <c r="T2017" s="290">
        <v>5065</v>
      </c>
      <c r="U2017" s="223">
        <v>120</v>
      </c>
      <c r="Z2017" s="184">
        <v>0.1</v>
      </c>
      <c r="AA2017" s="141">
        <v>0.09</v>
      </c>
    </row>
    <row r="2018" spans="1:27" ht="16" x14ac:dyDescent="0.2">
      <c r="A2018" s="156" t="s">
        <v>6371</v>
      </c>
      <c r="B2018" s="118" t="e">
        <f t="shared" si="233"/>
        <v>#VALUE!</v>
      </c>
      <c r="C2018" t="s">
        <v>6152</v>
      </c>
      <c r="D2018" s="157">
        <v>40834</v>
      </c>
      <c r="E2018" s="157">
        <v>40878</v>
      </c>
      <c r="F2018" s="84">
        <f t="shared" si="234"/>
        <v>44531</v>
      </c>
      <c r="G2018" s="183">
        <v>42</v>
      </c>
      <c r="H2018" s="118" t="s">
        <v>6353</v>
      </c>
      <c r="I2018" s="118" t="s">
        <v>6269</v>
      </c>
      <c r="J2018" s="131"/>
      <c r="K2018" s="55">
        <f t="shared" si="235"/>
        <v>2021</v>
      </c>
      <c r="L2018" s="158" t="s">
        <v>6358</v>
      </c>
      <c r="M2018" s="158" t="s">
        <v>6372</v>
      </c>
      <c r="N2018" s="213" t="s">
        <v>6373</v>
      </c>
      <c r="Q2018" s="159"/>
      <c r="R2018" s="290">
        <v>292</v>
      </c>
      <c r="S2018" s="290">
        <v>3486</v>
      </c>
      <c r="T2018" s="290">
        <v>3778</v>
      </c>
      <c r="U2018" s="223">
        <v>63</v>
      </c>
      <c r="Z2018" s="184">
        <v>0.1</v>
      </c>
      <c r="AA2018" s="141">
        <v>0.09</v>
      </c>
    </row>
    <row r="2019" spans="1:27" ht="28" customHeight="1" x14ac:dyDescent="0.2">
      <c r="A2019" s="156" t="s">
        <v>6374</v>
      </c>
      <c r="B2019" s="118" t="e">
        <f t="shared" si="233"/>
        <v>#VALUE!</v>
      </c>
      <c r="C2019" t="s">
        <v>6152</v>
      </c>
      <c r="D2019" s="157">
        <v>40834</v>
      </c>
      <c r="E2019" s="157">
        <v>40878</v>
      </c>
      <c r="F2019" s="84">
        <f t="shared" si="234"/>
        <v>44531</v>
      </c>
      <c r="G2019" s="183">
        <v>80</v>
      </c>
      <c r="H2019" s="118" t="s">
        <v>6353</v>
      </c>
      <c r="I2019" s="118" t="s">
        <v>6269</v>
      </c>
      <c r="J2019" s="131"/>
      <c r="K2019" s="55">
        <f t="shared" si="235"/>
        <v>2021</v>
      </c>
      <c r="L2019" s="158" t="s">
        <v>6358</v>
      </c>
      <c r="M2019" s="158" t="s">
        <v>6372</v>
      </c>
      <c r="N2019" s="213" t="s">
        <v>6375</v>
      </c>
      <c r="Q2019" s="159"/>
      <c r="R2019" s="290">
        <v>425</v>
      </c>
      <c r="S2019" s="290">
        <v>5440</v>
      </c>
      <c r="T2019" s="290">
        <v>5865</v>
      </c>
      <c r="U2019" s="223">
        <v>120</v>
      </c>
      <c r="Z2019" s="184">
        <v>0.1</v>
      </c>
      <c r="AA2019" s="141">
        <v>0.09</v>
      </c>
    </row>
    <row r="2020" spans="1:27" ht="28" customHeight="1" x14ac:dyDescent="0.2">
      <c r="A2020" s="156" t="s">
        <v>6376</v>
      </c>
      <c r="B2020" s="118" t="e">
        <f t="shared" si="233"/>
        <v>#VALUE!</v>
      </c>
      <c r="C2020" t="s">
        <v>6152</v>
      </c>
      <c r="D2020" s="157">
        <v>40834</v>
      </c>
      <c r="E2020" s="157">
        <v>40878</v>
      </c>
      <c r="F2020" s="84">
        <f t="shared" si="234"/>
        <v>44531</v>
      </c>
      <c r="G2020" s="183">
        <v>85</v>
      </c>
      <c r="H2020" s="118" t="s">
        <v>6353</v>
      </c>
      <c r="I2020" s="118" t="s">
        <v>6269</v>
      </c>
      <c r="J2020" s="131"/>
      <c r="K2020" s="55">
        <f t="shared" si="235"/>
        <v>2021</v>
      </c>
      <c r="L2020" s="158" t="s">
        <v>6358</v>
      </c>
      <c r="M2020" s="158" t="s">
        <v>6377</v>
      </c>
      <c r="N2020" s="213" t="s">
        <v>6378</v>
      </c>
      <c r="Q2020" s="159"/>
      <c r="R2020" s="290">
        <v>442.5</v>
      </c>
      <c r="S2020" s="290">
        <v>8755</v>
      </c>
      <c r="T2020" s="290">
        <v>9197.5</v>
      </c>
      <c r="U2020" s="223">
        <v>127.5</v>
      </c>
      <c r="Z2020" s="184">
        <v>0.1</v>
      </c>
      <c r="AA2020" s="141">
        <v>0.09</v>
      </c>
    </row>
    <row r="2021" spans="1:27" ht="16" x14ac:dyDescent="0.2">
      <c r="A2021" s="156" t="s">
        <v>6379</v>
      </c>
      <c r="B2021" s="118" t="e">
        <f t="shared" si="233"/>
        <v>#VALUE!</v>
      </c>
      <c r="C2021" t="s">
        <v>6152</v>
      </c>
      <c r="D2021" s="157">
        <v>40834</v>
      </c>
      <c r="E2021" s="157">
        <v>40878</v>
      </c>
      <c r="F2021" s="84">
        <f t="shared" si="234"/>
        <v>44531</v>
      </c>
      <c r="G2021" s="183">
        <v>43</v>
      </c>
      <c r="H2021" s="118" t="s">
        <v>6353</v>
      </c>
      <c r="I2021" s="118" t="s">
        <v>6269</v>
      </c>
      <c r="J2021" s="131"/>
      <c r="K2021" s="55">
        <f t="shared" si="235"/>
        <v>2021</v>
      </c>
      <c r="L2021" s="158" t="s">
        <v>6358</v>
      </c>
      <c r="M2021" s="158" t="s">
        <v>6377</v>
      </c>
      <c r="N2021" s="213" t="s">
        <v>6380</v>
      </c>
      <c r="Q2021" s="159"/>
      <c r="R2021" s="290">
        <v>295.5</v>
      </c>
      <c r="S2021" s="290">
        <v>3784</v>
      </c>
      <c r="T2021" s="290">
        <v>4079.5</v>
      </c>
      <c r="U2021" s="223">
        <v>64.5</v>
      </c>
      <c r="Z2021" s="184">
        <v>0.1</v>
      </c>
      <c r="AA2021" s="141">
        <v>0.09</v>
      </c>
    </row>
    <row r="2022" spans="1:27" ht="16" x14ac:dyDescent="0.2">
      <c r="A2022" s="156" t="s">
        <v>6381</v>
      </c>
      <c r="B2022" s="118" t="e">
        <f t="shared" si="233"/>
        <v>#VALUE!</v>
      </c>
      <c r="C2022" t="s">
        <v>6152</v>
      </c>
      <c r="D2022" s="157">
        <v>40834</v>
      </c>
      <c r="E2022" s="157">
        <v>40878</v>
      </c>
      <c r="F2022" s="84">
        <f t="shared" si="234"/>
        <v>44531</v>
      </c>
      <c r="G2022" s="183">
        <v>40</v>
      </c>
      <c r="H2022" s="118" t="s">
        <v>6353</v>
      </c>
      <c r="I2022" s="118" t="s">
        <v>6269</v>
      </c>
      <c r="J2022" s="131"/>
      <c r="K2022" s="55">
        <f t="shared" si="235"/>
        <v>2021</v>
      </c>
      <c r="L2022" s="158" t="s">
        <v>6358</v>
      </c>
      <c r="M2022" s="158" t="s">
        <v>6377</v>
      </c>
      <c r="N2022" s="213" t="s">
        <v>6382</v>
      </c>
      <c r="Q2022" s="159"/>
      <c r="R2022" s="290">
        <v>285</v>
      </c>
      <c r="S2022" s="290">
        <v>2920</v>
      </c>
      <c r="T2022" s="290">
        <v>3205</v>
      </c>
      <c r="U2022" s="223">
        <v>60</v>
      </c>
      <c r="Z2022" s="184">
        <v>0.1</v>
      </c>
      <c r="AA2022" s="141">
        <v>0.09</v>
      </c>
    </row>
    <row r="2023" spans="1:27" ht="16" x14ac:dyDescent="0.2">
      <c r="A2023" s="156" t="s">
        <v>6383</v>
      </c>
      <c r="B2023" s="118" t="e">
        <f t="shared" si="233"/>
        <v>#VALUE!</v>
      </c>
      <c r="C2023" t="s">
        <v>6152</v>
      </c>
      <c r="D2023" s="157">
        <v>40834</v>
      </c>
      <c r="E2023" s="157">
        <v>40878</v>
      </c>
      <c r="F2023" s="84">
        <f t="shared" si="234"/>
        <v>44531</v>
      </c>
      <c r="G2023" s="183">
        <v>54</v>
      </c>
      <c r="H2023" s="118" t="s">
        <v>6353</v>
      </c>
      <c r="I2023" s="118" t="s">
        <v>6269</v>
      </c>
      <c r="J2023" s="131"/>
      <c r="K2023" s="55">
        <f t="shared" si="235"/>
        <v>2021</v>
      </c>
      <c r="L2023" s="158" t="s">
        <v>6358</v>
      </c>
      <c r="M2023" s="158" t="s">
        <v>6377</v>
      </c>
      <c r="N2023" s="213" t="s">
        <v>6384</v>
      </c>
      <c r="Q2023" s="159"/>
      <c r="R2023" s="290">
        <v>334</v>
      </c>
      <c r="S2023" s="290">
        <v>4752</v>
      </c>
      <c r="T2023" s="290">
        <v>5086</v>
      </c>
      <c r="U2023" s="223">
        <v>81</v>
      </c>
      <c r="Z2023" s="184">
        <v>0.1</v>
      </c>
      <c r="AA2023" s="141">
        <v>0.09</v>
      </c>
    </row>
    <row r="2024" spans="1:27" ht="16" x14ac:dyDescent="0.2">
      <c r="A2024" s="156" t="s">
        <v>6385</v>
      </c>
      <c r="B2024" s="118" t="e">
        <f t="shared" si="233"/>
        <v>#VALUE!</v>
      </c>
      <c r="C2024" t="s">
        <v>6152</v>
      </c>
      <c r="D2024" s="157">
        <v>40834</v>
      </c>
      <c r="E2024" s="157">
        <v>40878</v>
      </c>
      <c r="F2024" s="84">
        <f t="shared" si="234"/>
        <v>44531</v>
      </c>
      <c r="G2024" s="183">
        <v>40</v>
      </c>
      <c r="H2024" s="118" t="s">
        <v>6353</v>
      </c>
      <c r="I2024" s="118" t="s">
        <v>6269</v>
      </c>
      <c r="J2024" s="131"/>
      <c r="K2024" s="55">
        <f t="shared" si="235"/>
        <v>2021</v>
      </c>
      <c r="L2024" s="158" t="s">
        <v>6367</v>
      </c>
      <c r="M2024" s="158" t="s">
        <v>6377</v>
      </c>
      <c r="N2024" s="213" t="s">
        <v>6386</v>
      </c>
      <c r="Q2024" s="159"/>
      <c r="R2024" s="290">
        <v>285</v>
      </c>
      <c r="S2024" s="290">
        <v>2720</v>
      </c>
      <c r="T2024" s="290">
        <v>3005</v>
      </c>
      <c r="U2024" s="223">
        <v>60</v>
      </c>
      <c r="Z2024" s="184">
        <v>0.1</v>
      </c>
      <c r="AA2024" s="141">
        <v>0.09</v>
      </c>
    </row>
    <row r="2025" spans="1:27" ht="56" customHeight="1" x14ac:dyDescent="0.2">
      <c r="A2025" s="156" t="s">
        <v>6387</v>
      </c>
      <c r="B2025" s="118" t="e">
        <f t="shared" si="233"/>
        <v>#VALUE!</v>
      </c>
      <c r="C2025" t="s">
        <v>6152</v>
      </c>
      <c r="D2025" s="157">
        <v>40834</v>
      </c>
      <c r="E2025" s="157">
        <v>40878</v>
      </c>
      <c r="F2025" s="84">
        <f t="shared" si="234"/>
        <v>44531</v>
      </c>
      <c r="G2025" s="183">
        <v>1063</v>
      </c>
      <c r="H2025" s="118" t="s">
        <v>6049</v>
      </c>
      <c r="I2025" s="118" t="s">
        <v>6050</v>
      </c>
      <c r="J2025" s="131"/>
      <c r="K2025" s="55">
        <f t="shared" si="235"/>
        <v>2021</v>
      </c>
      <c r="L2025" s="158" t="s">
        <v>6388</v>
      </c>
      <c r="M2025" s="158" t="s">
        <v>6330</v>
      </c>
      <c r="N2025" s="213" t="s">
        <v>6389</v>
      </c>
      <c r="Q2025" s="159"/>
      <c r="R2025" s="290">
        <v>3865.5</v>
      </c>
      <c r="S2025" s="290">
        <v>29764</v>
      </c>
      <c r="T2025" s="290">
        <v>33629.5</v>
      </c>
      <c r="U2025" s="223">
        <v>1594.5</v>
      </c>
      <c r="Z2025" s="184">
        <v>0.1</v>
      </c>
      <c r="AA2025" s="141">
        <v>0.09</v>
      </c>
    </row>
    <row r="2026" spans="1:27" ht="16" hidden="1" x14ac:dyDescent="0.2">
      <c r="A2026" s="118"/>
      <c r="E2026" s="118"/>
      <c r="F2026" s="118"/>
      <c r="G2026" s="183"/>
      <c r="J2026" s="131"/>
      <c r="K2026" s="131"/>
      <c r="L2026" s="158"/>
      <c r="M2026" s="158"/>
      <c r="N2026" s="213" t="s">
        <v>6158</v>
      </c>
      <c r="Q2026" s="164"/>
      <c r="Z2026" s="165"/>
      <c r="AA2026" s="166"/>
    </row>
    <row r="2027" spans="1:27" ht="16" hidden="1" x14ac:dyDescent="0.2">
      <c r="A2027" s="118"/>
      <c r="D2027" s="163" t="s">
        <v>6266</v>
      </c>
      <c r="E2027" s="118"/>
      <c r="F2027" s="118"/>
      <c r="G2027" s="169"/>
      <c r="J2027" s="131"/>
      <c r="K2027" s="131"/>
      <c r="L2027" s="158"/>
      <c r="M2027" s="158"/>
      <c r="N2027" s="213" t="s">
        <v>6158</v>
      </c>
      <c r="Q2027" s="164"/>
      <c r="R2027" s="283">
        <v>11830</v>
      </c>
      <c r="S2027" s="283">
        <v>148835</v>
      </c>
      <c r="T2027" s="283">
        <v>160665</v>
      </c>
      <c r="U2027" s="284"/>
      <c r="V2027" s="285"/>
      <c r="W2027" s="285"/>
      <c r="X2027" s="284"/>
      <c r="Z2027" s="165"/>
      <c r="AA2027" s="166"/>
    </row>
    <row r="2028" spans="1:27" ht="15" hidden="1" customHeight="1" thickTop="1" x14ac:dyDescent="0.2">
      <c r="A2028" s="118"/>
      <c r="E2028" s="118"/>
      <c r="F2028" s="118"/>
      <c r="G2028" s="183"/>
      <c r="J2028" s="131"/>
      <c r="K2028" s="131"/>
      <c r="L2028" s="158"/>
      <c r="M2028" s="158"/>
      <c r="N2028" s="213" t="s">
        <v>6158</v>
      </c>
      <c r="Q2028" s="164"/>
      <c r="R2028" s="291"/>
      <c r="S2028" s="291"/>
      <c r="T2028" s="291"/>
      <c r="Z2028" s="165"/>
      <c r="AA2028" s="166"/>
    </row>
    <row r="2029" spans="1:27" ht="28" customHeight="1" x14ac:dyDescent="0.2">
      <c r="A2029" s="156" t="s">
        <v>6390</v>
      </c>
      <c r="B2029" s="118" t="e">
        <f>IF(COUNTIF(GIS,A2029),"YES","NO")</f>
        <v>#VALUE!</v>
      </c>
      <c r="C2029" t="s">
        <v>6152</v>
      </c>
      <c r="D2029" s="157">
        <v>40932</v>
      </c>
      <c r="E2029" s="157">
        <v>41000</v>
      </c>
      <c r="F2029" s="84">
        <f>DATE(YEAR(E2029)+10,MONTH(E2029),DAY(E2029))</f>
        <v>44652</v>
      </c>
      <c r="G2029" s="183">
        <v>480</v>
      </c>
      <c r="H2029" s="118" t="s">
        <v>6391</v>
      </c>
      <c r="I2029" s="118" t="s">
        <v>5993</v>
      </c>
      <c r="J2029" s="131"/>
      <c r="K2029" s="55">
        <f>YEAR(F2029)</f>
        <v>2022</v>
      </c>
      <c r="L2029" s="158" t="s">
        <v>6392</v>
      </c>
      <c r="M2029" s="158" t="s">
        <v>6393</v>
      </c>
      <c r="N2029" s="213" t="s">
        <v>6394</v>
      </c>
      <c r="Q2029" s="159"/>
      <c r="R2029" s="222">
        <v>960</v>
      </c>
      <c r="S2029" s="222">
        <v>25440</v>
      </c>
      <c r="T2029" s="222">
        <v>26400</v>
      </c>
      <c r="U2029" s="223">
        <v>720</v>
      </c>
      <c r="Z2029" s="184">
        <v>0.1</v>
      </c>
      <c r="AA2029" s="141">
        <v>0.09</v>
      </c>
    </row>
    <row r="2030" spans="1:27" ht="16" hidden="1" x14ac:dyDescent="0.2">
      <c r="A2030" s="118"/>
      <c r="E2030" s="118"/>
      <c r="F2030" s="118"/>
      <c r="G2030" s="183"/>
      <c r="J2030" s="131"/>
      <c r="K2030" s="131"/>
      <c r="L2030" s="158"/>
      <c r="M2030" s="158"/>
      <c r="N2030" s="213" t="s">
        <v>6158</v>
      </c>
      <c r="Q2030" s="164"/>
      <c r="Z2030" s="165"/>
      <c r="AA2030" s="166"/>
    </row>
    <row r="2031" spans="1:27" ht="16" hidden="1" x14ac:dyDescent="0.2">
      <c r="A2031" s="118"/>
      <c r="D2031" s="163" t="s">
        <v>6266</v>
      </c>
      <c r="E2031" s="118"/>
      <c r="F2031" s="118"/>
      <c r="G2031" s="183"/>
      <c r="J2031" s="131"/>
      <c r="K2031" s="131"/>
      <c r="L2031" s="158"/>
      <c r="M2031" s="158"/>
      <c r="N2031" s="213" t="s">
        <v>6158</v>
      </c>
      <c r="Q2031" s="164"/>
      <c r="R2031" s="283">
        <v>960</v>
      </c>
      <c r="S2031" s="283">
        <v>25440</v>
      </c>
      <c r="T2031" s="283">
        <v>26400</v>
      </c>
      <c r="U2031" s="284"/>
      <c r="V2031" s="285"/>
      <c r="W2031" s="285"/>
      <c r="X2031" s="284"/>
      <c r="Z2031" s="165"/>
      <c r="AA2031" s="166"/>
    </row>
    <row r="2032" spans="1:27" ht="15" hidden="1" customHeight="1" thickTop="1" x14ac:dyDescent="0.2">
      <c r="A2032" s="118"/>
      <c r="E2032" s="118"/>
      <c r="F2032" s="118"/>
      <c r="G2032" s="183"/>
      <c r="J2032" s="131"/>
      <c r="K2032" s="131"/>
      <c r="L2032" s="158"/>
      <c r="M2032" s="158"/>
      <c r="N2032" s="213" t="s">
        <v>6158</v>
      </c>
      <c r="Q2032" s="164"/>
      <c r="R2032" s="291"/>
      <c r="S2032" s="291"/>
      <c r="T2032" s="291"/>
      <c r="Z2032" s="165"/>
      <c r="AA2032" s="166"/>
    </row>
    <row r="2033" spans="1:27" ht="28" customHeight="1" x14ac:dyDescent="0.2">
      <c r="A2033" s="156" t="s">
        <v>6395</v>
      </c>
      <c r="B2033" s="118" t="e">
        <f t="shared" ref="B2033:B2039" si="236">IF(COUNTIF(GIS,A2033),"YES","NO")</f>
        <v>#VALUE!</v>
      </c>
      <c r="C2033" t="s">
        <v>6152</v>
      </c>
      <c r="D2033" s="157">
        <v>41037</v>
      </c>
      <c r="E2033" s="157">
        <v>41061</v>
      </c>
      <c r="F2033" s="84">
        <f t="shared" ref="F2033:F2039" si="237">DATE(YEAR(E2033)+10,MONTH(E2033),DAY(E2033))</f>
        <v>44713</v>
      </c>
      <c r="G2033" s="183">
        <v>315.86</v>
      </c>
      <c r="H2033" s="118" t="s">
        <v>6396</v>
      </c>
      <c r="I2033" s="118" t="s">
        <v>6269</v>
      </c>
      <c r="J2033" s="131"/>
      <c r="K2033" s="55">
        <f t="shared" ref="K2033:K2039" si="238">YEAR(F2033)</f>
        <v>2022</v>
      </c>
      <c r="L2033" s="158" t="s">
        <v>6154</v>
      </c>
      <c r="M2033" s="158" t="s">
        <v>6302</v>
      </c>
      <c r="N2033" s="213" t="s">
        <v>6397</v>
      </c>
      <c r="Q2033" s="159"/>
      <c r="R2033" s="222">
        <v>1256</v>
      </c>
      <c r="S2033" s="222">
        <v>316</v>
      </c>
      <c r="T2033" s="222">
        <v>1572</v>
      </c>
      <c r="U2033" s="223">
        <v>474</v>
      </c>
      <c r="Z2033" s="184">
        <v>0.1</v>
      </c>
      <c r="AA2033" s="141">
        <v>0.09</v>
      </c>
    </row>
    <row r="2034" spans="1:27" ht="16" x14ac:dyDescent="0.2">
      <c r="A2034" s="156" t="s">
        <v>6398</v>
      </c>
      <c r="B2034" s="118" t="e">
        <f t="shared" si="236"/>
        <v>#VALUE!</v>
      </c>
      <c r="C2034" t="s">
        <v>6152</v>
      </c>
      <c r="D2034" s="157">
        <v>41037</v>
      </c>
      <c r="E2034" s="157">
        <v>41061</v>
      </c>
      <c r="F2034" s="84">
        <f t="shared" si="237"/>
        <v>44713</v>
      </c>
      <c r="G2034" s="183">
        <v>640</v>
      </c>
      <c r="H2034" s="118" t="s">
        <v>6396</v>
      </c>
      <c r="I2034" s="118" t="s">
        <v>6269</v>
      </c>
      <c r="J2034" s="131"/>
      <c r="K2034" s="55">
        <f t="shared" si="238"/>
        <v>2022</v>
      </c>
      <c r="L2034" s="158" t="s">
        <v>6154</v>
      </c>
      <c r="M2034" s="158" t="s">
        <v>6302</v>
      </c>
      <c r="N2034" s="213" t="s">
        <v>6399</v>
      </c>
      <c r="Q2034" s="159"/>
      <c r="R2034" s="222">
        <v>2390</v>
      </c>
      <c r="S2034" s="222">
        <v>1920</v>
      </c>
      <c r="T2034" s="222">
        <v>4310</v>
      </c>
      <c r="U2034" s="223">
        <v>960</v>
      </c>
      <c r="Z2034" s="184">
        <v>0.1</v>
      </c>
      <c r="AA2034" s="141">
        <v>0.09</v>
      </c>
    </row>
    <row r="2035" spans="1:27" ht="28" customHeight="1" x14ac:dyDescent="0.2">
      <c r="A2035" s="156" t="s">
        <v>6400</v>
      </c>
      <c r="B2035" s="118" t="e">
        <f t="shared" si="236"/>
        <v>#VALUE!</v>
      </c>
      <c r="C2035" t="s">
        <v>6152</v>
      </c>
      <c r="D2035" s="157">
        <v>41037</v>
      </c>
      <c r="E2035" s="157">
        <v>41061</v>
      </c>
      <c r="F2035" s="84">
        <f t="shared" si="237"/>
        <v>44713</v>
      </c>
      <c r="G2035" s="183">
        <v>320</v>
      </c>
      <c r="H2035" s="118" t="s">
        <v>6396</v>
      </c>
      <c r="I2035" s="118" t="s">
        <v>6269</v>
      </c>
      <c r="J2035" s="131"/>
      <c r="K2035" s="55">
        <f t="shared" si="238"/>
        <v>2022</v>
      </c>
      <c r="L2035" s="158" t="s">
        <v>6154</v>
      </c>
      <c r="M2035" s="158" t="s">
        <v>6302</v>
      </c>
      <c r="N2035" s="213" t="s">
        <v>6401</v>
      </c>
      <c r="Q2035" s="159"/>
      <c r="R2035" s="222">
        <v>1270</v>
      </c>
      <c r="S2035" s="222">
        <v>1600</v>
      </c>
      <c r="T2035" s="222">
        <v>2870</v>
      </c>
      <c r="U2035" s="223">
        <v>480</v>
      </c>
      <c r="Z2035" s="184">
        <v>0.1</v>
      </c>
      <c r="AA2035" s="141">
        <v>0.09</v>
      </c>
    </row>
    <row r="2036" spans="1:27" ht="16" x14ac:dyDescent="0.2">
      <c r="A2036" s="156" t="s">
        <v>6402</v>
      </c>
      <c r="B2036" s="118" t="e">
        <f t="shared" si="236"/>
        <v>#VALUE!</v>
      </c>
      <c r="C2036" t="s">
        <v>6152</v>
      </c>
      <c r="D2036" s="157">
        <v>41037</v>
      </c>
      <c r="E2036" s="157">
        <v>41061</v>
      </c>
      <c r="F2036" s="84">
        <f t="shared" si="237"/>
        <v>44713</v>
      </c>
      <c r="G2036" s="183">
        <v>320</v>
      </c>
      <c r="H2036" s="118" t="s">
        <v>6396</v>
      </c>
      <c r="I2036" s="118" t="s">
        <v>6269</v>
      </c>
      <c r="J2036" s="131"/>
      <c r="K2036" s="55">
        <f t="shared" si="238"/>
        <v>2022</v>
      </c>
      <c r="L2036" s="158" t="s">
        <v>6154</v>
      </c>
      <c r="M2036" s="158" t="s">
        <v>6302</v>
      </c>
      <c r="N2036" s="213" t="s">
        <v>6403</v>
      </c>
      <c r="Q2036" s="159"/>
      <c r="R2036" s="222">
        <v>1270</v>
      </c>
      <c r="S2036" s="222">
        <v>1280</v>
      </c>
      <c r="T2036" s="222">
        <v>2550</v>
      </c>
      <c r="U2036" s="223">
        <v>480</v>
      </c>
      <c r="Z2036" s="184">
        <v>0.1</v>
      </c>
      <c r="AA2036" s="141">
        <v>0.09</v>
      </c>
    </row>
    <row r="2037" spans="1:27" ht="28" customHeight="1" x14ac:dyDescent="0.2">
      <c r="A2037" s="156" t="s">
        <v>6404</v>
      </c>
      <c r="B2037" s="118" t="e">
        <f t="shared" si="236"/>
        <v>#VALUE!</v>
      </c>
      <c r="C2037" t="s">
        <v>6152</v>
      </c>
      <c r="D2037" s="157">
        <v>41037</v>
      </c>
      <c r="E2037" s="157">
        <v>41061</v>
      </c>
      <c r="F2037" s="84">
        <f t="shared" si="237"/>
        <v>44713</v>
      </c>
      <c r="G2037" s="183">
        <v>960</v>
      </c>
      <c r="H2037" s="118" t="s">
        <v>6396</v>
      </c>
      <c r="I2037" s="118" t="s">
        <v>6269</v>
      </c>
      <c r="J2037" s="131"/>
      <c r="K2037" s="55">
        <f t="shared" si="238"/>
        <v>2022</v>
      </c>
      <c r="L2037" s="158" t="s">
        <v>6154</v>
      </c>
      <c r="M2037" s="158" t="s">
        <v>6302</v>
      </c>
      <c r="N2037" s="213" t="s">
        <v>6405</v>
      </c>
      <c r="Q2037" s="159"/>
      <c r="R2037" s="222">
        <v>3510</v>
      </c>
      <c r="S2037" s="222">
        <v>3840</v>
      </c>
      <c r="T2037" s="222">
        <v>7350</v>
      </c>
      <c r="U2037" s="223">
        <v>1440</v>
      </c>
      <c r="Z2037" s="184">
        <v>0.1</v>
      </c>
      <c r="AA2037" s="141">
        <v>0.09</v>
      </c>
    </row>
    <row r="2038" spans="1:27" ht="28" customHeight="1" x14ac:dyDescent="0.2">
      <c r="A2038" s="156" t="s">
        <v>6406</v>
      </c>
      <c r="B2038" s="118" t="e">
        <f t="shared" si="236"/>
        <v>#VALUE!</v>
      </c>
      <c r="C2038" t="s">
        <v>6152</v>
      </c>
      <c r="D2038" s="157">
        <v>41037</v>
      </c>
      <c r="E2038" s="157">
        <v>41061</v>
      </c>
      <c r="F2038" s="84">
        <f t="shared" si="237"/>
        <v>44713</v>
      </c>
      <c r="G2038" s="183">
        <v>1262.2</v>
      </c>
      <c r="H2038" s="118" t="s">
        <v>6396</v>
      </c>
      <c r="I2038" s="118" t="s">
        <v>6269</v>
      </c>
      <c r="J2038" s="131"/>
      <c r="K2038" s="55">
        <f t="shared" si="238"/>
        <v>2022</v>
      </c>
      <c r="L2038" s="158" t="s">
        <v>6154</v>
      </c>
      <c r="M2038" s="158" t="s">
        <v>6302</v>
      </c>
      <c r="N2038" s="213" t="s">
        <v>6407</v>
      </c>
      <c r="Q2038" s="159"/>
      <c r="R2038" s="222">
        <v>4570.5</v>
      </c>
      <c r="S2038" s="222">
        <v>6315</v>
      </c>
      <c r="T2038" s="222">
        <v>10885.5</v>
      </c>
      <c r="U2038" s="223">
        <v>1894.5</v>
      </c>
      <c r="Z2038" s="184">
        <v>0.1</v>
      </c>
      <c r="AA2038" s="141">
        <v>0.09</v>
      </c>
    </row>
    <row r="2039" spans="1:27" ht="28" customHeight="1" x14ac:dyDescent="0.2">
      <c r="A2039" s="156" t="s">
        <v>6408</v>
      </c>
      <c r="B2039" s="118" t="e">
        <f t="shared" si="236"/>
        <v>#VALUE!</v>
      </c>
      <c r="C2039" t="s">
        <v>6152</v>
      </c>
      <c r="D2039" s="157">
        <v>41037</v>
      </c>
      <c r="E2039" s="157">
        <v>41061</v>
      </c>
      <c r="F2039" s="84">
        <f t="shared" si="237"/>
        <v>44713</v>
      </c>
      <c r="G2039" s="183">
        <v>1280</v>
      </c>
      <c r="H2039" s="118" t="s">
        <v>6396</v>
      </c>
      <c r="I2039" s="118" t="s">
        <v>6269</v>
      </c>
      <c r="J2039" s="131"/>
      <c r="K2039" s="55">
        <f t="shared" si="238"/>
        <v>2022</v>
      </c>
      <c r="L2039" s="158" t="s">
        <v>6154</v>
      </c>
      <c r="M2039" s="158" t="s">
        <v>6302</v>
      </c>
      <c r="N2039" s="213" t="s">
        <v>6409</v>
      </c>
      <c r="Q2039" s="159"/>
      <c r="R2039" s="222">
        <v>4630</v>
      </c>
      <c r="S2039" s="222">
        <v>6400</v>
      </c>
      <c r="T2039" s="222">
        <v>11030</v>
      </c>
      <c r="U2039" s="223">
        <v>1920</v>
      </c>
      <c r="Z2039" s="184">
        <v>0.1</v>
      </c>
      <c r="AA2039" s="141">
        <v>0.09</v>
      </c>
    </row>
    <row r="2040" spans="1:27" ht="16" hidden="1" x14ac:dyDescent="0.2">
      <c r="A2040" s="118"/>
      <c r="E2040" s="118"/>
      <c r="F2040" s="118"/>
      <c r="G2040" s="183"/>
      <c r="J2040" s="131"/>
      <c r="K2040" s="131"/>
      <c r="L2040" s="158"/>
      <c r="M2040" s="158"/>
      <c r="N2040" s="213" t="s">
        <v>6158</v>
      </c>
      <c r="Q2040" s="164"/>
      <c r="Z2040" s="184"/>
      <c r="AA2040" s="141"/>
    </row>
    <row r="2041" spans="1:27" ht="16" hidden="1" x14ac:dyDescent="0.2">
      <c r="A2041" s="118"/>
      <c r="E2041" s="118"/>
      <c r="F2041" s="118"/>
      <c r="G2041" s="169"/>
      <c r="J2041" s="131"/>
      <c r="K2041" s="131"/>
      <c r="L2041" s="158"/>
      <c r="M2041" s="158"/>
      <c r="N2041" s="213" t="s">
        <v>6158</v>
      </c>
      <c r="Q2041" s="164"/>
      <c r="R2041" s="283">
        <v>18896.5</v>
      </c>
      <c r="S2041" s="283">
        <v>21671</v>
      </c>
      <c r="T2041" s="283">
        <v>40567.5</v>
      </c>
      <c r="U2041" s="284"/>
      <c r="V2041" s="285"/>
      <c r="W2041" s="285"/>
      <c r="X2041" s="284"/>
      <c r="Z2041" s="165"/>
      <c r="AA2041" s="166"/>
    </row>
    <row r="2042" spans="1:27" ht="15" hidden="1" customHeight="1" thickTop="1" x14ac:dyDescent="0.2">
      <c r="A2042" s="118"/>
      <c r="E2042" s="118"/>
      <c r="F2042" s="118"/>
      <c r="G2042" s="183"/>
      <c r="J2042" s="131"/>
      <c r="K2042" s="131"/>
      <c r="L2042" s="158"/>
      <c r="M2042" s="158"/>
      <c r="N2042" s="213" t="s">
        <v>6158</v>
      </c>
      <c r="Q2042" s="164"/>
      <c r="R2042" s="291"/>
      <c r="S2042" s="291"/>
      <c r="T2042" s="291"/>
      <c r="Z2042" s="165"/>
      <c r="AA2042" s="166"/>
    </row>
    <row r="2043" spans="1:27" ht="16" x14ac:dyDescent="0.2">
      <c r="A2043" s="156" t="s">
        <v>6410</v>
      </c>
      <c r="B2043" s="118" t="e">
        <f t="shared" ref="B2043:B2053" si="239">IF(COUNTIF(GIS,A2043),"YES","NO")</f>
        <v>#VALUE!</v>
      </c>
      <c r="C2043" t="s">
        <v>6152</v>
      </c>
      <c r="D2043" s="157">
        <v>41107</v>
      </c>
      <c r="E2043" s="157">
        <v>41153</v>
      </c>
      <c r="F2043" s="84">
        <f t="shared" ref="F2043:F2053" si="240">DATE(YEAR(E2043)+10,MONTH(E2043),DAY(E2043))</f>
        <v>44805</v>
      </c>
      <c r="G2043" s="183">
        <v>320</v>
      </c>
      <c r="H2043" s="118" t="s">
        <v>6227</v>
      </c>
      <c r="I2043" s="118" t="s">
        <v>5993</v>
      </c>
      <c r="J2043" s="131"/>
      <c r="K2043" s="55">
        <f t="shared" ref="K2043:K2053" si="241">YEAR(F2043)</f>
        <v>2022</v>
      </c>
      <c r="L2043" s="158" t="s">
        <v>6411</v>
      </c>
      <c r="M2043" s="158" t="s">
        <v>6234</v>
      </c>
      <c r="N2043" s="213" t="s">
        <v>6412</v>
      </c>
      <c r="Q2043" s="159"/>
      <c r="R2043" s="222">
        <v>1270</v>
      </c>
      <c r="S2043" s="222">
        <v>40960</v>
      </c>
      <c r="T2043" s="222">
        <v>42230</v>
      </c>
      <c r="U2043" s="223">
        <v>480</v>
      </c>
      <c r="Z2043" s="184">
        <v>0.1</v>
      </c>
      <c r="AA2043" s="141">
        <v>0.09</v>
      </c>
    </row>
    <row r="2044" spans="1:27" ht="16" x14ac:dyDescent="0.2">
      <c r="A2044" s="156" t="s">
        <v>6413</v>
      </c>
      <c r="B2044" s="118" t="e">
        <f t="shared" si="239"/>
        <v>#VALUE!</v>
      </c>
      <c r="C2044" t="s">
        <v>6152</v>
      </c>
      <c r="D2044" s="157">
        <v>41107</v>
      </c>
      <c r="E2044" s="157">
        <v>41153</v>
      </c>
      <c r="F2044" s="84">
        <f t="shared" si="240"/>
        <v>44805</v>
      </c>
      <c r="G2044" s="183">
        <v>320</v>
      </c>
      <c r="H2044" s="118" t="s">
        <v>6227</v>
      </c>
      <c r="I2044" s="118" t="s">
        <v>5993</v>
      </c>
      <c r="J2044" s="131"/>
      <c r="K2044" s="55">
        <f t="shared" si="241"/>
        <v>2022</v>
      </c>
      <c r="L2044" s="158" t="s">
        <v>6411</v>
      </c>
      <c r="M2044" s="158" t="s">
        <v>6234</v>
      </c>
      <c r="N2044" s="213" t="s">
        <v>6414</v>
      </c>
      <c r="Q2044" s="159"/>
      <c r="R2044" s="222">
        <v>1270</v>
      </c>
      <c r="S2044" s="222">
        <v>40960</v>
      </c>
      <c r="T2044" s="222">
        <v>42230</v>
      </c>
      <c r="U2044" s="223">
        <v>480</v>
      </c>
      <c r="Z2044" s="184">
        <v>0.1</v>
      </c>
      <c r="AA2044" s="141">
        <v>0.09</v>
      </c>
    </row>
    <row r="2045" spans="1:27" ht="28" customHeight="1" x14ac:dyDescent="0.2">
      <c r="A2045" s="156" t="s">
        <v>6415</v>
      </c>
      <c r="B2045" s="118" t="e">
        <f t="shared" si="239"/>
        <v>#VALUE!</v>
      </c>
      <c r="C2045" t="s">
        <v>6152</v>
      </c>
      <c r="D2045" s="157">
        <v>41107</v>
      </c>
      <c r="E2045" s="157">
        <v>41153</v>
      </c>
      <c r="F2045" s="84">
        <f t="shared" si="240"/>
        <v>44805</v>
      </c>
      <c r="G2045" s="183">
        <v>9.75</v>
      </c>
      <c r="H2045" s="118" t="s">
        <v>6232</v>
      </c>
      <c r="I2045" s="118" t="s">
        <v>5993</v>
      </c>
      <c r="J2045" s="131"/>
      <c r="K2045" s="55">
        <f t="shared" si="241"/>
        <v>2022</v>
      </c>
      <c r="L2045" s="158" t="s">
        <v>6263</v>
      </c>
      <c r="M2045" s="158" t="s">
        <v>6256</v>
      </c>
      <c r="N2045" s="213" t="s">
        <v>6416</v>
      </c>
      <c r="Q2045" s="159"/>
      <c r="R2045" s="222">
        <v>185</v>
      </c>
      <c r="S2045" s="222">
        <v>230</v>
      </c>
      <c r="T2045" s="222">
        <v>415</v>
      </c>
      <c r="U2045" s="223">
        <v>15</v>
      </c>
      <c r="Z2045" s="184">
        <v>0.1</v>
      </c>
      <c r="AA2045" s="141">
        <v>0.09</v>
      </c>
    </row>
    <row r="2046" spans="1:27" ht="42" customHeight="1" x14ac:dyDescent="0.2">
      <c r="A2046" s="156" t="s">
        <v>6417</v>
      </c>
      <c r="B2046" s="118" t="e">
        <f t="shared" si="239"/>
        <v>#VALUE!</v>
      </c>
      <c r="C2046" t="s">
        <v>6152</v>
      </c>
      <c r="D2046" s="157">
        <v>41107</v>
      </c>
      <c r="E2046" s="157">
        <v>41153</v>
      </c>
      <c r="F2046" s="84">
        <f t="shared" si="240"/>
        <v>44805</v>
      </c>
      <c r="G2046" s="183">
        <v>1039.92</v>
      </c>
      <c r="H2046" s="118" t="s">
        <v>6049</v>
      </c>
      <c r="I2046" s="118" t="s">
        <v>6050</v>
      </c>
      <c r="J2046" s="131"/>
      <c r="K2046" s="55">
        <f t="shared" si="241"/>
        <v>2022</v>
      </c>
      <c r="L2046" s="158" t="s">
        <v>6388</v>
      </c>
      <c r="M2046" s="158" t="s">
        <v>6330</v>
      </c>
      <c r="N2046" s="213" t="s">
        <v>6418</v>
      </c>
      <c r="Q2046" s="159"/>
      <c r="R2046" s="222">
        <v>3790</v>
      </c>
      <c r="S2046" s="222">
        <v>91520</v>
      </c>
      <c r="T2046" s="222">
        <v>95310</v>
      </c>
      <c r="U2046" s="223">
        <v>1560</v>
      </c>
      <c r="Z2046" s="184">
        <v>0.1</v>
      </c>
      <c r="AA2046" s="141">
        <v>0.09</v>
      </c>
    </row>
    <row r="2047" spans="1:27" ht="42" customHeight="1" x14ac:dyDescent="0.2">
      <c r="A2047" s="156" t="s">
        <v>6419</v>
      </c>
      <c r="B2047" s="118" t="e">
        <f t="shared" si="239"/>
        <v>#VALUE!</v>
      </c>
      <c r="C2047" t="s">
        <v>6152</v>
      </c>
      <c r="D2047" s="157">
        <v>41107</v>
      </c>
      <c r="E2047" s="157">
        <v>41153</v>
      </c>
      <c r="F2047" s="84">
        <f t="shared" si="240"/>
        <v>44805</v>
      </c>
      <c r="G2047" s="183">
        <v>1042.1199999999999</v>
      </c>
      <c r="H2047" s="118" t="s">
        <v>6049</v>
      </c>
      <c r="I2047" s="118" t="s">
        <v>6050</v>
      </c>
      <c r="J2047" s="131"/>
      <c r="K2047" s="55">
        <f t="shared" si="241"/>
        <v>2022</v>
      </c>
      <c r="L2047" s="158" t="s">
        <v>6388</v>
      </c>
      <c r="M2047" s="158" t="s">
        <v>6330</v>
      </c>
      <c r="N2047" s="213" t="s">
        <v>6420</v>
      </c>
      <c r="Q2047" s="159"/>
      <c r="R2047" s="222">
        <v>3800.5</v>
      </c>
      <c r="S2047" s="222">
        <v>15645</v>
      </c>
      <c r="T2047" s="222">
        <v>19445.5</v>
      </c>
      <c r="U2047" s="223">
        <v>1564.5</v>
      </c>
      <c r="Z2047" s="184">
        <v>0.1</v>
      </c>
      <c r="AA2047" s="141">
        <v>0.09</v>
      </c>
    </row>
    <row r="2048" spans="1:27" ht="28" customHeight="1" x14ac:dyDescent="0.2">
      <c r="A2048" s="156" t="s">
        <v>6421</v>
      </c>
      <c r="B2048" s="118" t="e">
        <f t="shared" si="239"/>
        <v>#VALUE!</v>
      </c>
      <c r="C2048" t="s">
        <v>6152</v>
      </c>
      <c r="D2048" s="157">
        <v>41107</v>
      </c>
      <c r="E2048" s="157">
        <v>41153</v>
      </c>
      <c r="F2048" s="84">
        <f t="shared" si="240"/>
        <v>44805</v>
      </c>
      <c r="G2048" s="183">
        <v>280</v>
      </c>
      <c r="H2048" s="118" t="s">
        <v>6049</v>
      </c>
      <c r="I2048" s="118" t="s">
        <v>6050</v>
      </c>
      <c r="J2048" s="131"/>
      <c r="K2048" s="55">
        <f t="shared" si="241"/>
        <v>2022</v>
      </c>
      <c r="L2048" s="158" t="s">
        <v>6388</v>
      </c>
      <c r="M2048" s="158" t="s">
        <v>6330</v>
      </c>
      <c r="N2048" s="213" t="s">
        <v>6422</v>
      </c>
      <c r="Q2048" s="159"/>
      <c r="R2048" s="222">
        <v>1130</v>
      </c>
      <c r="S2048" s="222">
        <v>3360</v>
      </c>
      <c r="T2048" s="222">
        <v>4490</v>
      </c>
      <c r="U2048" s="223">
        <v>420</v>
      </c>
      <c r="Z2048" s="184">
        <v>0.1</v>
      </c>
      <c r="AA2048" s="141">
        <v>0.09</v>
      </c>
    </row>
    <row r="2049" spans="1:27" ht="16" x14ac:dyDescent="0.2">
      <c r="A2049" s="156" t="s">
        <v>6423</v>
      </c>
      <c r="B2049" s="118" t="e">
        <f t="shared" si="239"/>
        <v>#VALUE!</v>
      </c>
      <c r="C2049" t="s">
        <v>6152</v>
      </c>
      <c r="D2049" s="157">
        <v>41107</v>
      </c>
      <c r="E2049" s="157">
        <v>41153</v>
      </c>
      <c r="F2049" s="84">
        <f t="shared" si="240"/>
        <v>44805</v>
      </c>
      <c r="G2049" s="183">
        <v>320</v>
      </c>
      <c r="H2049" s="118" t="s">
        <v>6049</v>
      </c>
      <c r="I2049" s="118" t="s">
        <v>6050</v>
      </c>
      <c r="J2049" s="131"/>
      <c r="K2049" s="55">
        <f t="shared" si="241"/>
        <v>2022</v>
      </c>
      <c r="L2049" s="158" t="s">
        <v>6388</v>
      </c>
      <c r="M2049" s="158" t="s">
        <v>6330</v>
      </c>
      <c r="N2049" s="213" t="s">
        <v>6424</v>
      </c>
      <c r="Q2049" s="159"/>
      <c r="R2049" s="222">
        <v>1270</v>
      </c>
      <c r="S2049" s="222">
        <v>3200</v>
      </c>
      <c r="T2049" s="222">
        <v>4470</v>
      </c>
      <c r="U2049" s="223">
        <v>480</v>
      </c>
      <c r="Z2049" s="184">
        <v>0.1</v>
      </c>
      <c r="AA2049" s="141">
        <v>0.09</v>
      </c>
    </row>
    <row r="2050" spans="1:27" ht="42" customHeight="1" x14ac:dyDescent="0.2">
      <c r="A2050" s="156" t="s">
        <v>6425</v>
      </c>
      <c r="B2050" s="118" t="e">
        <f t="shared" si="239"/>
        <v>#VALUE!</v>
      </c>
      <c r="C2050" t="s">
        <v>6152</v>
      </c>
      <c r="D2050" s="157">
        <v>41107</v>
      </c>
      <c r="E2050" s="157">
        <v>41153</v>
      </c>
      <c r="F2050" s="84">
        <f t="shared" si="240"/>
        <v>44805</v>
      </c>
      <c r="G2050" s="183">
        <v>1360</v>
      </c>
      <c r="H2050" s="118" t="s">
        <v>6049</v>
      </c>
      <c r="I2050" s="118" t="s">
        <v>6050</v>
      </c>
      <c r="J2050" s="131"/>
      <c r="K2050" s="55">
        <f t="shared" si="241"/>
        <v>2022</v>
      </c>
      <c r="L2050" s="158" t="s">
        <v>6388</v>
      </c>
      <c r="M2050" s="158" t="s">
        <v>6330</v>
      </c>
      <c r="N2050" s="213" t="s">
        <v>6426</v>
      </c>
      <c r="Q2050" s="159"/>
      <c r="R2050" s="222">
        <v>4910</v>
      </c>
      <c r="S2050" s="222">
        <v>19040</v>
      </c>
      <c r="T2050" s="222">
        <v>23950</v>
      </c>
      <c r="U2050" s="223">
        <v>2040</v>
      </c>
      <c r="Z2050" s="184">
        <v>0.1</v>
      </c>
      <c r="AA2050" s="141">
        <v>0.09</v>
      </c>
    </row>
    <row r="2051" spans="1:27" ht="16" x14ac:dyDescent="0.2">
      <c r="A2051" s="156" t="s">
        <v>6427</v>
      </c>
      <c r="B2051" s="118" t="e">
        <f t="shared" si="239"/>
        <v>#VALUE!</v>
      </c>
      <c r="C2051" t="s">
        <v>6152</v>
      </c>
      <c r="D2051" s="157">
        <v>41107</v>
      </c>
      <c r="E2051" s="157">
        <v>41153</v>
      </c>
      <c r="F2051" s="84">
        <f t="shared" si="240"/>
        <v>44805</v>
      </c>
      <c r="G2051" s="183">
        <v>320</v>
      </c>
      <c r="H2051" s="118" t="s">
        <v>6049</v>
      </c>
      <c r="I2051" s="118" t="s">
        <v>6050</v>
      </c>
      <c r="J2051" s="131"/>
      <c r="K2051" s="55">
        <f t="shared" si="241"/>
        <v>2022</v>
      </c>
      <c r="L2051" s="158" t="s">
        <v>6388</v>
      </c>
      <c r="M2051" s="158" t="s">
        <v>6330</v>
      </c>
      <c r="N2051" s="213" t="s">
        <v>6428</v>
      </c>
      <c r="Q2051" s="159"/>
      <c r="R2051" s="222">
        <v>1270</v>
      </c>
      <c r="S2051" s="222">
        <v>3520</v>
      </c>
      <c r="T2051" s="222">
        <v>4790</v>
      </c>
      <c r="U2051" s="223">
        <v>480</v>
      </c>
      <c r="Z2051" s="184">
        <v>0.1</v>
      </c>
      <c r="AA2051" s="141">
        <v>0.09</v>
      </c>
    </row>
    <row r="2052" spans="1:27" ht="28" customHeight="1" x14ac:dyDescent="0.2">
      <c r="A2052" s="156" t="s">
        <v>6429</v>
      </c>
      <c r="B2052" s="118" t="e">
        <f t="shared" si="239"/>
        <v>#VALUE!</v>
      </c>
      <c r="C2052" t="s">
        <v>6152</v>
      </c>
      <c r="D2052" s="157">
        <v>41107</v>
      </c>
      <c r="E2052" s="157">
        <v>41153</v>
      </c>
      <c r="F2052" s="84">
        <f t="shared" si="240"/>
        <v>44805</v>
      </c>
      <c r="G2052" s="183">
        <v>1360</v>
      </c>
      <c r="H2052" s="118" t="s">
        <v>6049</v>
      </c>
      <c r="I2052" s="118" t="s">
        <v>6050</v>
      </c>
      <c r="J2052" s="131"/>
      <c r="K2052" s="55">
        <f t="shared" si="241"/>
        <v>2022</v>
      </c>
      <c r="L2052" s="158" t="s">
        <v>6430</v>
      </c>
      <c r="M2052" s="158" t="s">
        <v>6330</v>
      </c>
      <c r="N2052" s="213" t="s">
        <v>6431</v>
      </c>
      <c r="Q2052" s="159"/>
      <c r="R2052" s="222">
        <v>4910</v>
      </c>
      <c r="S2052" s="222">
        <v>24480</v>
      </c>
      <c r="T2052" s="222">
        <v>29390</v>
      </c>
      <c r="U2052" s="223">
        <v>2040</v>
      </c>
      <c r="Z2052" s="184">
        <v>0.1</v>
      </c>
      <c r="AA2052" s="141">
        <v>0.09</v>
      </c>
    </row>
    <row r="2053" spans="1:27" ht="42" customHeight="1" x14ac:dyDescent="0.2">
      <c r="A2053" s="156" t="s">
        <v>6432</v>
      </c>
      <c r="B2053" s="118" t="e">
        <f t="shared" si="239"/>
        <v>#VALUE!</v>
      </c>
      <c r="C2053" t="s">
        <v>6152</v>
      </c>
      <c r="D2053" s="157">
        <v>41107</v>
      </c>
      <c r="E2053" s="157">
        <v>41153</v>
      </c>
      <c r="F2053" s="84">
        <f t="shared" si="240"/>
        <v>44805</v>
      </c>
      <c r="G2053" s="183">
        <v>1205.8699999999999</v>
      </c>
      <c r="H2053" s="118" t="s">
        <v>6049</v>
      </c>
      <c r="I2053" s="118" t="s">
        <v>6050</v>
      </c>
      <c r="J2053" s="131"/>
      <c r="K2053" s="55">
        <f t="shared" si="241"/>
        <v>2022</v>
      </c>
      <c r="L2053" s="158" t="s">
        <v>6430</v>
      </c>
      <c r="M2053" s="158" t="s">
        <v>6330</v>
      </c>
      <c r="N2053" s="213" t="s">
        <v>6433</v>
      </c>
      <c r="Q2053" s="159"/>
      <c r="R2053" s="222">
        <v>4371</v>
      </c>
      <c r="S2053" s="222">
        <v>19296</v>
      </c>
      <c r="T2053" s="222">
        <v>23667</v>
      </c>
      <c r="U2053" s="223">
        <v>1809</v>
      </c>
      <c r="Z2053" s="184">
        <v>0.1</v>
      </c>
      <c r="AA2053" s="141">
        <v>0.09</v>
      </c>
    </row>
    <row r="2054" spans="1:27" ht="16" hidden="1" x14ac:dyDescent="0.2">
      <c r="A2054" s="118"/>
      <c r="D2054" s="157"/>
      <c r="E2054" s="118"/>
      <c r="F2054" s="118"/>
      <c r="G2054" s="183"/>
      <c r="J2054" s="131"/>
      <c r="K2054" s="131"/>
      <c r="L2054" s="158"/>
      <c r="M2054" s="158"/>
      <c r="N2054" s="213" t="s">
        <v>6158</v>
      </c>
      <c r="Q2054" s="164"/>
      <c r="Z2054" s="184"/>
      <c r="AA2054" s="141"/>
    </row>
    <row r="2055" spans="1:27" ht="16" hidden="1" x14ac:dyDescent="0.2">
      <c r="A2055" s="118"/>
      <c r="E2055" s="118"/>
      <c r="F2055" s="118"/>
      <c r="G2055" s="183"/>
      <c r="J2055" s="131"/>
      <c r="K2055" s="131"/>
      <c r="L2055" s="158"/>
      <c r="M2055" s="158"/>
      <c r="N2055" s="213" t="s">
        <v>6158</v>
      </c>
      <c r="Q2055" s="164"/>
      <c r="R2055" s="283">
        <v>28176.5</v>
      </c>
      <c r="S2055" s="283">
        <v>262211</v>
      </c>
      <c r="T2055" s="283">
        <v>290387.5</v>
      </c>
      <c r="U2055" s="284"/>
      <c r="V2055" s="285"/>
      <c r="W2055" s="285"/>
      <c r="X2055" s="284"/>
      <c r="Z2055" s="165"/>
      <c r="AA2055" s="166"/>
    </row>
    <row r="2056" spans="1:27" ht="15" hidden="1" customHeight="1" thickTop="1" x14ac:dyDescent="0.2">
      <c r="A2056" s="118"/>
      <c r="E2056" s="118"/>
      <c r="F2056" s="118"/>
      <c r="G2056" s="183"/>
      <c r="J2056" s="131"/>
      <c r="K2056" s="131"/>
      <c r="L2056" s="158"/>
      <c r="M2056" s="158"/>
      <c r="N2056" s="213" t="s">
        <v>6158</v>
      </c>
      <c r="Q2056" s="164"/>
      <c r="R2056" s="286"/>
      <c r="S2056" s="286"/>
      <c r="T2056" s="286"/>
      <c r="U2056" s="284"/>
      <c r="V2056" s="285"/>
      <c r="W2056" s="285"/>
      <c r="X2056" s="284"/>
      <c r="Z2056" s="165"/>
      <c r="AA2056" s="166"/>
    </row>
    <row r="2057" spans="1:27" ht="28" customHeight="1" x14ac:dyDescent="0.2">
      <c r="A2057" s="156" t="s">
        <v>6434</v>
      </c>
      <c r="B2057" s="118" t="e">
        <f>IF(COUNTIF(GIS,A2057),"YES","NO")</f>
        <v>#VALUE!</v>
      </c>
      <c r="C2057" t="s">
        <v>6152</v>
      </c>
      <c r="D2057" s="157">
        <v>41354</v>
      </c>
      <c r="E2057" s="157">
        <v>41426</v>
      </c>
      <c r="F2057" s="84">
        <f>DATE(YEAR(E2057)+10,MONTH(E2057),DAY(E2057))</f>
        <v>45078</v>
      </c>
      <c r="G2057" s="183">
        <v>54.02</v>
      </c>
      <c r="H2057" s="118" t="s">
        <v>6435</v>
      </c>
      <c r="I2057" s="118" t="s">
        <v>684</v>
      </c>
      <c r="J2057" s="170" t="s">
        <v>6153</v>
      </c>
      <c r="K2057" s="55">
        <f>YEAR(F2057)</f>
        <v>2023</v>
      </c>
      <c r="L2057" s="158" t="s">
        <v>6436</v>
      </c>
      <c r="M2057" s="158" t="s">
        <v>6437</v>
      </c>
      <c r="N2057" s="213" t="s">
        <v>6438</v>
      </c>
      <c r="Q2057" s="159"/>
      <c r="R2057" s="222">
        <v>342.5</v>
      </c>
      <c r="S2057" s="222">
        <v>0</v>
      </c>
      <c r="T2057" s="222">
        <v>342.5</v>
      </c>
      <c r="U2057" s="223">
        <v>82.5</v>
      </c>
      <c r="Z2057" s="184">
        <v>0.1</v>
      </c>
      <c r="AA2057" s="141">
        <v>0.09</v>
      </c>
    </row>
    <row r="2058" spans="1:27" ht="16" hidden="1" x14ac:dyDescent="0.2">
      <c r="A2058" s="118"/>
      <c r="E2058" s="118"/>
      <c r="F2058" s="118"/>
      <c r="G2058" s="183"/>
      <c r="J2058" s="131"/>
      <c r="K2058" s="131"/>
      <c r="L2058" s="158"/>
      <c r="M2058" s="158"/>
      <c r="N2058" s="213" t="s">
        <v>6158</v>
      </c>
      <c r="Q2058" s="164"/>
      <c r="Z2058" s="165"/>
      <c r="AA2058" s="166"/>
    </row>
    <row r="2059" spans="1:27" ht="28" customHeight="1" x14ac:dyDescent="0.2">
      <c r="A2059" s="156" t="s">
        <v>6439</v>
      </c>
      <c r="B2059" s="118" t="e">
        <f>IF(COUNTIF(GIS,A2059),"YES","NO")</f>
        <v>#VALUE!</v>
      </c>
      <c r="C2059" t="s">
        <v>6152</v>
      </c>
      <c r="D2059" s="157">
        <v>41445</v>
      </c>
      <c r="E2059" s="157">
        <v>41487</v>
      </c>
      <c r="F2059" s="84">
        <f>DATE(YEAR(E2059)+10,MONTH(E2059),DAY(E2059))</f>
        <v>45139</v>
      </c>
      <c r="G2059" s="183">
        <v>22.16</v>
      </c>
      <c r="H2059" s="118" t="s">
        <v>951</v>
      </c>
      <c r="I2059" s="118" t="s">
        <v>684</v>
      </c>
      <c r="J2059" s="170" t="s">
        <v>6153</v>
      </c>
      <c r="K2059" s="55">
        <f>YEAR(F2059)</f>
        <v>2023</v>
      </c>
      <c r="L2059" s="158" t="s">
        <v>6440</v>
      </c>
      <c r="M2059" s="158" t="s">
        <v>6330</v>
      </c>
      <c r="N2059" s="213" t="s">
        <v>6441</v>
      </c>
      <c r="Q2059" s="159"/>
      <c r="R2059" s="222">
        <v>230.5</v>
      </c>
      <c r="S2059" s="222">
        <v>0</v>
      </c>
      <c r="T2059" s="222">
        <v>230.5</v>
      </c>
      <c r="U2059" s="223">
        <v>34.5</v>
      </c>
      <c r="Z2059" s="184">
        <v>0.1</v>
      </c>
      <c r="AA2059" s="141">
        <v>0.09</v>
      </c>
    </row>
    <row r="2060" spans="1:27" ht="16" hidden="1" x14ac:dyDescent="0.2">
      <c r="A2060" s="118"/>
      <c r="E2060" s="118"/>
      <c r="F2060" s="118"/>
      <c r="G2060" s="183"/>
      <c r="J2060" s="170"/>
      <c r="K2060" s="170"/>
      <c r="L2060" s="158"/>
      <c r="M2060" s="158"/>
      <c r="N2060" s="213" t="s">
        <v>6158</v>
      </c>
      <c r="Q2060" s="164"/>
      <c r="Z2060" s="165"/>
      <c r="AA2060" s="166"/>
    </row>
    <row r="2061" spans="1:27" ht="28" customHeight="1" x14ac:dyDescent="0.2">
      <c r="A2061" s="156" t="s">
        <v>6442</v>
      </c>
      <c r="B2061" s="118" t="e">
        <f t="shared" ref="B2061:B2066" si="242">IF(COUNTIF(GIS,A2061),"YES","NO")</f>
        <v>#VALUE!</v>
      </c>
      <c r="C2061" t="s">
        <v>6152</v>
      </c>
      <c r="D2061" s="157">
        <v>41809</v>
      </c>
      <c r="E2061" s="157">
        <v>41883</v>
      </c>
      <c r="F2061" s="84">
        <f t="shared" ref="F2061:F2066" si="243">DATE(YEAR(E2061)+10,MONTH(E2061),DAY(E2061))</f>
        <v>45536</v>
      </c>
      <c r="G2061" s="183">
        <v>161.55000000000001</v>
      </c>
      <c r="H2061" s="118" t="s">
        <v>1687</v>
      </c>
      <c r="I2061" s="118" t="s">
        <v>676</v>
      </c>
      <c r="J2061" s="170" t="s">
        <v>6153</v>
      </c>
      <c r="K2061" s="55">
        <f t="shared" ref="K2061:K2066" si="244">YEAR(F2061)</f>
        <v>2024</v>
      </c>
      <c r="L2061" s="158" t="s">
        <v>6436</v>
      </c>
      <c r="M2061" s="158" t="s">
        <v>6443</v>
      </c>
      <c r="N2061" s="213" t="s">
        <v>6444</v>
      </c>
      <c r="Q2061" s="159"/>
      <c r="R2061" s="222">
        <v>722</v>
      </c>
      <c r="S2061" s="222">
        <v>0</v>
      </c>
      <c r="T2061" s="222">
        <v>722</v>
      </c>
      <c r="U2061" s="223">
        <v>243</v>
      </c>
      <c r="Z2061" s="184">
        <v>0.1</v>
      </c>
      <c r="AA2061" s="141">
        <v>0.09</v>
      </c>
    </row>
    <row r="2062" spans="1:27" ht="28" customHeight="1" x14ac:dyDescent="0.2">
      <c r="A2062" s="156" t="s">
        <v>6445</v>
      </c>
      <c r="B2062" s="118" t="e">
        <f t="shared" si="242"/>
        <v>#VALUE!</v>
      </c>
      <c r="C2062" t="s">
        <v>6152</v>
      </c>
      <c r="D2062" s="157">
        <v>41809</v>
      </c>
      <c r="E2062" s="157">
        <v>41883</v>
      </c>
      <c r="F2062" s="84">
        <f t="shared" si="243"/>
        <v>45536</v>
      </c>
      <c r="G2062" s="183">
        <v>120</v>
      </c>
      <c r="H2062" s="118" t="s">
        <v>1687</v>
      </c>
      <c r="I2062" s="118" t="s">
        <v>676</v>
      </c>
      <c r="J2062" s="170" t="s">
        <v>6153</v>
      </c>
      <c r="K2062" s="55">
        <f t="shared" si="244"/>
        <v>2024</v>
      </c>
      <c r="L2062" s="158" t="s">
        <v>6436</v>
      </c>
      <c r="M2062" s="158" t="s">
        <v>6443</v>
      </c>
      <c r="N2062" s="213" t="s">
        <v>6446</v>
      </c>
      <c r="Q2062" s="159"/>
      <c r="R2062" s="222">
        <v>575</v>
      </c>
      <c r="S2062" s="222">
        <v>0</v>
      </c>
      <c r="T2062" s="222">
        <v>575</v>
      </c>
      <c r="U2062" s="223">
        <v>180</v>
      </c>
      <c r="Z2062" s="184">
        <v>0.1</v>
      </c>
      <c r="AA2062" s="141">
        <v>0.09</v>
      </c>
    </row>
    <row r="2063" spans="1:27" ht="28" customHeight="1" x14ac:dyDescent="0.2">
      <c r="A2063" s="156" t="s">
        <v>6447</v>
      </c>
      <c r="B2063" s="118" t="e">
        <f t="shared" si="242"/>
        <v>#VALUE!</v>
      </c>
      <c r="C2063" t="s">
        <v>6152</v>
      </c>
      <c r="D2063" s="157">
        <v>41809</v>
      </c>
      <c r="E2063" s="157">
        <v>41883</v>
      </c>
      <c r="F2063" s="84">
        <f t="shared" si="243"/>
        <v>45536</v>
      </c>
      <c r="G2063" s="183">
        <v>40</v>
      </c>
      <c r="H2063" s="118" t="s">
        <v>1687</v>
      </c>
      <c r="I2063" s="118" t="s">
        <v>676</v>
      </c>
      <c r="J2063" s="170" t="s">
        <v>6153</v>
      </c>
      <c r="K2063" s="55">
        <f t="shared" si="244"/>
        <v>2024</v>
      </c>
      <c r="L2063" s="158" t="s">
        <v>6154</v>
      </c>
      <c r="M2063" s="158" t="s">
        <v>6443</v>
      </c>
      <c r="N2063" s="213" t="s">
        <v>6448</v>
      </c>
      <c r="Q2063" s="159"/>
      <c r="R2063" s="222">
        <v>295</v>
      </c>
      <c r="S2063" s="222">
        <v>0</v>
      </c>
      <c r="T2063" s="222">
        <v>295</v>
      </c>
      <c r="U2063" s="223">
        <v>60</v>
      </c>
      <c r="Z2063" s="184">
        <v>0.1</v>
      </c>
      <c r="AA2063" s="141">
        <v>0.09</v>
      </c>
    </row>
    <row r="2064" spans="1:27" ht="28" customHeight="1" x14ac:dyDescent="0.2">
      <c r="A2064" s="156" t="s">
        <v>6449</v>
      </c>
      <c r="B2064" s="118" t="e">
        <f t="shared" si="242"/>
        <v>#VALUE!</v>
      </c>
      <c r="C2064" t="s">
        <v>6152</v>
      </c>
      <c r="D2064" s="157">
        <v>41809</v>
      </c>
      <c r="E2064" s="157">
        <v>41883</v>
      </c>
      <c r="F2064" s="84">
        <f t="shared" si="243"/>
        <v>45536</v>
      </c>
      <c r="G2064" s="183">
        <v>40</v>
      </c>
      <c r="H2064" s="118" t="s">
        <v>1687</v>
      </c>
      <c r="I2064" s="118" t="s">
        <v>676</v>
      </c>
      <c r="J2064" s="170" t="s">
        <v>6153</v>
      </c>
      <c r="K2064" s="55">
        <f t="shared" si="244"/>
        <v>2024</v>
      </c>
      <c r="L2064" s="158" t="s">
        <v>6154</v>
      </c>
      <c r="M2064" s="158" t="s">
        <v>6443</v>
      </c>
      <c r="N2064" s="213" t="s">
        <v>6450</v>
      </c>
      <c r="Q2064" s="159"/>
      <c r="R2064" s="222">
        <v>295</v>
      </c>
      <c r="S2064" s="222">
        <v>0</v>
      </c>
      <c r="T2064" s="222">
        <v>295</v>
      </c>
      <c r="U2064" s="223">
        <v>60</v>
      </c>
      <c r="Z2064" s="184">
        <v>0.1</v>
      </c>
      <c r="AA2064" s="141">
        <v>0.09</v>
      </c>
    </row>
    <row r="2065" spans="1:27" ht="28" customHeight="1" x14ac:dyDescent="0.2">
      <c r="A2065" s="156" t="s">
        <v>6451</v>
      </c>
      <c r="B2065" s="118" t="e">
        <f t="shared" si="242"/>
        <v>#VALUE!</v>
      </c>
      <c r="C2065" t="s">
        <v>6152</v>
      </c>
      <c r="D2065" s="157">
        <v>41809</v>
      </c>
      <c r="E2065" s="157">
        <v>41883</v>
      </c>
      <c r="F2065" s="84">
        <f t="shared" si="243"/>
        <v>45536</v>
      </c>
      <c r="G2065" s="183">
        <v>40</v>
      </c>
      <c r="H2065" s="118" t="s">
        <v>1687</v>
      </c>
      <c r="I2065" s="118" t="s">
        <v>676</v>
      </c>
      <c r="J2065" s="170" t="s">
        <v>6153</v>
      </c>
      <c r="K2065" s="55">
        <f t="shared" si="244"/>
        <v>2024</v>
      </c>
      <c r="L2065" s="158" t="s">
        <v>6436</v>
      </c>
      <c r="M2065" s="158" t="s">
        <v>6452</v>
      </c>
      <c r="N2065" s="213" t="s">
        <v>6453</v>
      </c>
      <c r="Q2065" s="159"/>
      <c r="R2065" s="222">
        <v>295</v>
      </c>
      <c r="S2065" s="222">
        <v>0</v>
      </c>
      <c r="T2065" s="222">
        <v>295</v>
      </c>
      <c r="U2065" s="223">
        <v>60</v>
      </c>
      <c r="Z2065" s="184">
        <v>0.1</v>
      </c>
      <c r="AA2065" s="141">
        <v>0.09</v>
      </c>
    </row>
    <row r="2066" spans="1:27" ht="28" customHeight="1" x14ac:dyDescent="0.2">
      <c r="A2066" s="156" t="s">
        <v>6454</v>
      </c>
      <c r="B2066" s="118" t="e">
        <f t="shared" si="242"/>
        <v>#VALUE!</v>
      </c>
      <c r="C2066" t="s">
        <v>6152</v>
      </c>
      <c r="D2066" s="157">
        <v>41809</v>
      </c>
      <c r="E2066" s="157">
        <v>41883</v>
      </c>
      <c r="F2066" s="84">
        <f t="shared" si="243"/>
        <v>45536</v>
      </c>
      <c r="G2066" s="183">
        <v>40.130000000000003</v>
      </c>
      <c r="H2066" s="118" t="s">
        <v>1311</v>
      </c>
      <c r="I2066" s="118" t="s">
        <v>684</v>
      </c>
      <c r="J2066" s="170" t="s">
        <v>6153</v>
      </c>
      <c r="K2066" s="55">
        <f t="shared" si="244"/>
        <v>2024</v>
      </c>
      <c r="L2066" s="158" t="s">
        <v>6202</v>
      </c>
      <c r="M2066" s="158" t="s">
        <v>6455</v>
      </c>
      <c r="N2066" s="213" t="s">
        <v>6456</v>
      </c>
      <c r="Q2066" s="159"/>
      <c r="R2066" s="222">
        <v>298.5</v>
      </c>
      <c r="S2066" s="222">
        <v>0</v>
      </c>
      <c r="T2066" s="222">
        <v>298.5</v>
      </c>
      <c r="U2066" s="223">
        <v>61.5</v>
      </c>
      <c r="Z2066" s="184">
        <v>0.1</v>
      </c>
      <c r="AA2066" s="141">
        <v>0.09</v>
      </c>
    </row>
    <row r="2067" spans="1:27" ht="16" hidden="1" x14ac:dyDescent="0.2">
      <c r="A2067" s="118"/>
      <c r="E2067" s="118"/>
      <c r="F2067" s="118"/>
      <c r="G2067" s="183"/>
      <c r="J2067" s="131"/>
      <c r="K2067" s="131"/>
      <c r="L2067" s="158"/>
      <c r="M2067" s="158"/>
      <c r="N2067" s="213" t="s">
        <v>6158</v>
      </c>
      <c r="Q2067" s="164"/>
      <c r="Z2067" s="165"/>
      <c r="AA2067" s="166"/>
    </row>
    <row r="2068" spans="1:27" ht="16" hidden="1" x14ac:dyDescent="0.2">
      <c r="A2068" s="118"/>
      <c r="E2068" s="118"/>
      <c r="F2068" s="118"/>
      <c r="G2068" s="183"/>
      <c r="J2068" s="131"/>
      <c r="K2068" s="131"/>
      <c r="L2068" s="158"/>
      <c r="M2068" s="158"/>
      <c r="N2068" s="213" t="s">
        <v>6158</v>
      </c>
      <c r="Q2068" s="164"/>
      <c r="R2068" s="283">
        <v>2480.5</v>
      </c>
      <c r="S2068" s="283">
        <v>0</v>
      </c>
      <c r="T2068" s="283">
        <v>2480.5</v>
      </c>
      <c r="Z2068" s="165"/>
      <c r="AA2068" s="166"/>
    </row>
    <row r="2069" spans="1:27" ht="15" hidden="1" customHeight="1" thickTop="1" x14ac:dyDescent="0.2">
      <c r="A2069" s="118"/>
      <c r="E2069" s="118"/>
      <c r="F2069" s="118"/>
      <c r="G2069" s="183"/>
      <c r="J2069" s="131"/>
      <c r="K2069" s="131"/>
      <c r="L2069" s="158"/>
      <c r="M2069" s="158"/>
      <c r="N2069" s="213" t="s">
        <v>6158</v>
      </c>
      <c r="Q2069" s="164"/>
      <c r="R2069" s="291"/>
      <c r="S2069" s="291"/>
      <c r="T2069" s="291"/>
      <c r="Z2069" s="165"/>
      <c r="AA2069" s="166"/>
    </row>
    <row r="2070" spans="1:27" ht="16" x14ac:dyDescent="0.2">
      <c r="A2070" s="156" t="s">
        <v>6457</v>
      </c>
      <c r="B2070" s="118" t="e">
        <f t="shared" ref="B2070:B2083" si="245">IF(COUNTIF(GIS,A2070),"YES","NO")</f>
        <v>#VALUE!</v>
      </c>
      <c r="C2070" t="s">
        <v>6152</v>
      </c>
      <c r="D2070" s="157">
        <v>42633</v>
      </c>
      <c r="E2070" s="157">
        <v>42675</v>
      </c>
      <c r="F2070" s="84">
        <f t="shared" ref="F2070:F2083" si="246">DATE(YEAR(E2070)+10,MONTH(E2070),DAY(E2070))</f>
        <v>46327</v>
      </c>
      <c r="G2070" s="183">
        <v>184</v>
      </c>
      <c r="H2070" s="118" t="s">
        <v>6458</v>
      </c>
      <c r="I2070" s="118" t="s">
        <v>2860</v>
      </c>
      <c r="J2070" s="131"/>
      <c r="K2070" s="55">
        <f t="shared" ref="K2070:K2083" si="247">YEAR(F2070)</f>
        <v>2026</v>
      </c>
      <c r="L2070" s="158"/>
      <c r="M2070" s="158"/>
      <c r="N2070" s="213" t="s">
        <v>6459</v>
      </c>
      <c r="Q2070" s="159"/>
      <c r="R2070" s="222">
        <v>804</v>
      </c>
      <c r="S2070" s="222">
        <v>2392</v>
      </c>
      <c r="T2070" s="222">
        <v>3196</v>
      </c>
      <c r="U2070" s="223">
        <v>276</v>
      </c>
      <c r="Z2070" s="171">
        <v>0.1</v>
      </c>
      <c r="AA2070" s="172">
        <v>0.1</v>
      </c>
    </row>
    <row r="2071" spans="1:27" ht="28" customHeight="1" x14ac:dyDescent="0.2">
      <c r="A2071" s="156" t="s">
        <v>6460</v>
      </c>
      <c r="B2071" s="118" t="e">
        <f t="shared" si="245"/>
        <v>#VALUE!</v>
      </c>
      <c r="C2071" t="s">
        <v>6152</v>
      </c>
      <c r="D2071" s="157">
        <v>42633</v>
      </c>
      <c r="E2071" s="157">
        <v>42675</v>
      </c>
      <c r="F2071" s="84">
        <f t="shared" si="246"/>
        <v>46327</v>
      </c>
      <c r="G2071" s="183">
        <v>477.64</v>
      </c>
      <c r="H2071" s="118" t="s">
        <v>906</v>
      </c>
      <c r="I2071" s="118" t="s">
        <v>691</v>
      </c>
      <c r="J2071" s="131"/>
      <c r="K2071" s="55">
        <f t="shared" si="247"/>
        <v>2026</v>
      </c>
      <c r="L2071" s="158" t="s">
        <v>6161</v>
      </c>
      <c r="M2071" s="158" t="s">
        <v>6220</v>
      </c>
      <c r="N2071" s="213" t="s">
        <v>6461</v>
      </c>
      <c r="Q2071" s="159"/>
      <c r="R2071" s="222">
        <v>1833</v>
      </c>
      <c r="S2071" s="222">
        <v>956</v>
      </c>
      <c r="T2071" s="222">
        <v>2789</v>
      </c>
      <c r="U2071" s="223">
        <v>717</v>
      </c>
      <c r="Z2071" s="171">
        <v>0.1</v>
      </c>
      <c r="AA2071" s="172">
        <v>0.1</v>
      </c>
    </row>
    <row r="2072" spans="1:27" ht="28" customHeight="1" x14ac:dyDescent="0.2">
      <c r="A2072" s="156" t="s">
        <v>6462</v>
      </c>
      <c r="B2072" s="118" t="e">
        <f t="shared" si="245"/>
        <v>#VALUE!</v>
      </c>
      <c r="C2072" t="s">
        <v>6152</v>
      </c>
      <c r="D2072" s="157">
        <v>42633</v>
      </c>
      <c r="E2072" s="157">
        <v>42675</v>
      </c>
      <c r="F2072" s="84">
        <f t="shared" si="246"/>
        <v>46327</v>
      </c>
      <c r="G2072" s="183">
        <v>461.76</v>
      </c>
      <c r="H2072" s="118" t="s">
        <v>906</v>
      </c>
      <c r="I2072" s="118" t="s">
        <v>691</v>
      </c>
      <c r="J2072" s="131"/>
      <c r="K2072" s="55">
        <f t="shared" si="247"/>
        <v>2026</v>
      </c>
      <c r="L2072" s="158" t="s">
        <v>6161</v>
      </c>
      <c r="M2072" s="158" t="s">
        <v>6220</v>
      </c>
      <c r="N2072" s="213" t="s">
        <v>6463</v>
      </c>
      <c r="Q2072" s="159"/>
      <c r="R2072" s="222">
        <v>1777</v>
      </c>
      <c r="S2072" s="222">
        <v>1848</v>
      </c>
      <c r="T2072" s="222">
        <v>3625</v>
      </c>
      <c r="U2072" s="223">
        <v>693</v>
      </c>
      <c r="Z2072" s="171">
        <v>0.1</v>
      </c>
      <c r="AA2072" s="172">
        <v>0.1</v>
      </c>
    </row>
    <row r="2073" spans="1:27" ht="70" customHeight="1" x14ac:dyDescent="0.2">
      <c r="A2073" s="156" t="s">
        <v>6464</v>
      </c>
      <c r="B2073" s="118" t="e">
        <f t="shared" si="245"/>
        <v>#VALUE!</v>
      </c>
      <c r="C2073" t="s">
        <v>6152</v>
      </c>
      <c r="D2073" s="157">
        <v>42633</v>
      </c>
      <c r="E2073" s="157">
        <v>42675</v>
      </c>
      <c r="F2073" s="84">
        <f t="shared" si="246"/>
        <v>46327</v>
      </c>
      <c r="G2073" s="183">
        <v>280.73</v>
      </c>
      <c r="H2073" s="118" t="s">
        <v>906</v>
      </c>
      <c r="I2073" s="118" t="s">
        <v>691</v>
      </c>
      <c r="J2073" s="131"/>
      <c r="K2073" s="55">
        <f t="shared" si="247"/>
        <v>2026</v>
      </c>
      <c r="L2073" s="158" t="s">
        <v>6161</v>
      </c>
      <c r="M2073" s="158" t="s">
        <v>6220</v>
      </c>
      <c r="N2073" s="213" t="s">
        <v>6465</v>
      </c>
      <c r="Q2073" s="159"/>
      <c r="R2073" s="222">
        <v>1143.5</v>
      </c>
      <c r="S2073" s="222">
        <v>1124</v>
      </c>
      <c r="T2073" s="222">
        <v>2267.5</v>
      </c>
      <c r="U2073" s="223">
        <v>421.5</v>
      </c>
      <c r="Z2073" s="171">
        <v>0.1</v>
      </c>
      <c r="AA2073" s="172">
        <v>0.1</v>
      </c>
    </row>
    <row r="2074" spans="1:27" ht="28" customHeight="1" x14ac:dyDescent="0.2">
      <c r="A2074" s="156" t="s">
        <v>6466</v>
      </c>
      <c r="B2074" s="118" t="e">
        <f t="shared" si="245"/>
        <v>#VALUE!</v>
      </c>
      <c r="C2074" t="s">
        <v>6152</v>
      </c>
      <c r="D2074" s="157">
        <v>42633</v>
      </c>
      <c r="E2074" s="157">
        <v>42675</v>
      </c>
      <c r="F2074" s="84">
        <f t="shared" si="246"/>
        <v>46327</v>
      </c>
      <c r="G2074" s="183">
        <v>602.85</v>
      </c>
      <c r="H2074" s="118" t="s">
        <v>906</v>
      </c>
      <c r="I2074" s="118" t="s">
        <v>691</v>
      </c>
      <c r="J2074" s="131"/>
      <c r="K2074" s="55">
        <f t="shared" si="247"/>
        <v>2026</v>
      </c>
      <c r="L2074" s="158" t="s">
        <v>6161</v>
      </c>
      <c r="M2074" s="158" t="s">
        <v>6220</v>
      </c>
      <c r="N2074" s="213" t="s">
        <v>6467</v>
      </c>
      <c r="Q2074" s="159"/>
      <c r="R2074" s="222">
        <v>2270.5</v>
      </c>
      <c r="S2074" s="222">
        <v>3015</v>
      </c>
      <c r="T2074" s="222">
        <v>5285.5</v>
      </c>
      <c r="U2074" s="223">
        <v>904.5</v>
      </c>
      <c r="Z2074" s="171">
        <v>0.1</v>
      </c>
      <c r="AA2074" s="172">
        <v>0.1</v>
      </c>
    </row>
    <row r="2075" spans="1:27" ht="28" customHeight="1" x14ac:dyDescent="0.2">
      <c r="A2075" s="156" t="s">
        <v>6468</v>
      </c>
      <c r="B2075" s="118" t="e">
        <f t="shared" si="245"/>
        <v>#VALUE!</v>
      </c>
      <c r="C2075" t="s">
        <v>6152</v>
      </c>
      <c r="D2075" s="157">
        <v>42633</v>
      </c>
      <c r="E2075" s="157">
        <v>42675</v>
      </c>
      <c r="F2075" s="84">
        <f t="shared" si="246"/>
        <v>46327</v>
      </c>
      <c r="G2075" s="183">
        <v>396.07</v>
      </c>
      <c r="H2075" s="118" t="s">
        <v>906</v>
      </c>
      <c r="I2075" s="118" t="s">
        <v>691</v>
      </c>
      <c r="J2075" s="131"/>
      <c r="K2075" s="55">
        <f t="shared" si="247"/>
        <v>2026</v>
      </c>
      <c r="L2075" s="158" t="s">
        <v>6161</v>
      </c>
      <c r="M2075" s="158" t="s">
        <v>6220</v>
      </c>
      <c r="N2075" s="213" t="s">
        <v>6469</v>
      </c>
      <c r="Q2075" s="159"/>
      <c r="R2075" s="222">
        <v>1549.5</v>
      </c>
      <c r="S2075" s="222">
        <v>1588</v>
      </c>
      <c r="T2075" s="222">
        <v>3137.5</v>
      </c>
      <c r="U2075" s="223">
        <v>595.5</v>
      </c>
      <c r="Z2075" s="171">
        <v>0.1</v>
      </c>
      <c r="AA2075" s="172">
        <v>0.1</v>
      </c>
    </row>
    <row r="2076" spans="1:27" ht="42" customHeight="1" x14ac:dyDescent="0.2">
      <c r="A2076" s="156" t="s">
        <v>6470</v>
      </c>
      <c r="B2076" s="118" t="e">
        <f t="shared" si="245"/>
        <v>#VALUE!</v>
      </c>
      <c r="C2076" t="s">
        <v>6152</v>
      </c>
      <c r="D2076" s="157">
        <v>42633</v>
      </c>
      <c r="E2076" s="157">
        <v>42675</v>
      </c>
      <c r="F2076" s="84">
        <f t="shared" si="246"/>
        <v>46327</v>
      </c>
      <c r="G2076" s="183">
        <v>154.19</v>
      </c>
      <c r="H2076" s="118" t="s">
        <v>906</v>
      </c>
      <c r="I2076" s="118" t="s">
        <v>691</v>
      </c>
      <c r="J2076" s="131"/>
      <c r="K2076" s="55">
        <f t="shared" si="247"/>
        <v>2026</v>
      </c>
      <c r="L2076" s="158" t="s">
        <v>6161</v>
      </c>
      <c r="M2076" s="158" t="s">
        <v>6220</v>
      </c>
      <c r="N2076" s="213" t="s">
        <v>6471</v>
      </c>
      <c r="Q2076" s="159"/>
      <c r="R2076" s="222">
        <v>702.5</v>
      </c>
      <c r="S2076" s="222">
        <v>1085</v>
      </c>
      <c r="T2076" s="222">
        <v>1787.5</v>
      </c>
      <c r="U2076" s="223">
        <v>232.5</v>
      </c>
      <c r="Z2076" s="171">
        <v>0.1</v>
      </c>
      <c r="AA2076" s="172">
        <v>0.1</v>
      </c>
    </row>
    <row r="2077" spans="1:27" ht="28" customHeight="1" x14ac:dyDescent="0.2">
      <c r="A2077" s="156" t="s">
        <v>6472</v>
      </c>
      <c r="B2077" s="118" t="e">
        <f t="shared" si="245"/>
        <v>#VALUE!</v>
      </c>
      <c r="C2077" t="s">
        <v>6152</v>
      </c>
      <c r="D2077" s="157">
        <v>42633</v>
      </c>
      <c r="E2077" s="157">
        <v>42675</v>
      </c>
      <c r="F2077" s="84">
        <f t="shared" si="246"/>
        <v>46327</v>
      </c>
      <c r="G2077" s="183">
        <v>566.72</v>
      </c>
      <c r="H2077" s="118" t="s">
        <v>906</v>
      </c>
      <c r="I2077" s="118" t="s">
        <v>691</v>
      </c>
      <c r="J2077" s="131"/>
      <c r="K2077" s="55">
        <f t="shared" si="247"/>
        <v>2026</v>
      </c>
      <c r="L2077" s="158" t="s">
        <v>6161</v>
      </c>
      <c r="M2077" s="158" t="s">
        <v>6220</v>
      </c>
      <c r="N2077" s="213" t="s">
        <v>6473</v>
      </c>
      <c r="Q2077" s="159"/>
      <c r="R2077" s="222">
        <v>2144.5</v>
      </c>
      <c r="S2077" s="222">
        <v>2835</v>
      </c>
      <c r="T2077" s="222">
        <v>4979.5</v>
      </c>
      <c r="U2077" s="223">
        <v>850.5</v>
      </c>
      <c r="Z2077" s="171">
        <v>0.1</v>
      </c>
      <c r="AA2077" s="172">
        <v>0.1</v>
      </c>
    </row>
    <row r="2078" spans="1:27" ht="112" customHeight="1" x14ac:dyDescent="0.2">
      <c r="A2078" s="156" t="s">
        <v>6474</v>
      </c>
      <c r="B2078" s="118" t="e">
        <f t="shared" si="245"/>
        <v>#VALUE!</v>
      </c>
      <c r="C2078" t="s">
        <v>6152</v>
      </c>
      <c r="D2078" s="157">
        <v>42633</v>
      </c>
      <c r="E2078" s="157">
        <v>42675</v>
      </c>
      <c r="F2078" s="84">
        <f t="shared" si="246"/>
        <v>46327</v>
      </c>
      <c r="G2078" s="183">
        <v>54.48</v>
      </c>
      <c r="H2078" s="118" t="s">
        <v>906</v>
      </c>
      <c r="I2078" s="118" t="s">
        <v>691</v>
      </c>
      <c r="J2078" s="131"/>
      <c r="K2078" s="55">
        <f t="shared" si="247"/>
        <v>2026</v>
      </c>
      <c r="L2078" s="158" t="s">
        <v>6161</v>
      </c>
      <c r="M2078" s="158" t="s">
        <v>6220</v>
      </c>
      <c r="N2078" s="213" t="s">
        <v>6475</v>
      </c>
      <c r="Q2078" s="159"/>
      <c r="R2078" s="222">
        <v>352.5</v>
      </c>
      <c r="S2078" s="222">
        <v>1155</v>
      </c>
      <c r="T2078" s="222">
        <v>1507.5</v>
      </c>
      <c r="U2078" s="223">
        <v>82.5</v>
      </c>
      <c r="Z2078" s="171">
        <v>0.1</v>
      </c>
      <c r="AA2078" s="172">
        <v>0.1</v>
      </c>
    </row>
    <row r="2079" spans="1:27" ht="28" customHeight="1" x14ac:dyDescent="0.2">
      <c r="A2079" s="156" t="s">
        <v>6476</v>
      </c>
      <c r="B2079" s="118" t="e">
        <f t="shared" si="245"/>
        <v>#VALUE!</v>
      </c>
      <c r="C2079" t="s">
        <v>6152</v>
      </c>
      <c r="D2079" s="157">
        <v>42633</v>
      </c>
      <c r="E2079" s="157">
        <v>42675</v>
      </c>
      <c r="F2079" s="84">
        <f t="shared" si="246"/>
        <v>46327</v>
      </c>
      <c r="G2079" s="183">
        <v>340.82</v>
      </c>
      <c r="H2079" s="118" t="s">
        <v>906</v>
      </c>
      <c r="I2079" s="118" t="s">
        <v>691</v>
      </c>
      <c r="J2079" s="131"/>
      <c r="K2079" s="55">
        <f t="shared" si="247"/>
        <v>2026</v>
      </c>
      <c r="L2079" s="158" t="s">
        <v>6161</v>
      </c>
      <c r="M2079" s="158" t="s">
        <v>6220</v>
      </c>
      <c r="N2079" s="213" t="s">
        <v>6477</v>
      </c>
      <c r="Q2079" s="159"/>
      <c r="R2079" s="222">
        <v>1353.5</v>
      </c>
      <c r="S2079" s="222">
        <v>1364</v>
      </c>
      <c r="T2079" s="222">
        <v>2717.5</v>
      </c>
      <c r="U2079" s="223">
        <v>511.5</v>
      </c>
      <c r="Z2079" s="171">
        <v>0.1</v>
      </c>
      <c r="AA2079" s="172">
        <v>0.1</v>
      </c>
    </row>
    <row r="2080" spans="1:27" ht="28" customHeight="1" x14ac:dyDescent="0.2">
      <c r="A2080" s="156" t="s">
        <v>6478</v>
      </c>
      <c r="B2080" s="118" t="e">
        <f t="shared" si="245"/>
        <v>#VALUE!</v>
      </c>
      <c r="C2080" t="s">
        <v>6152</v>
      </c>
      <c r="D2080" s="157">
        <v>42633</v>
      </c>
      <c r="E2080" s="157">
        <v>42675</v>
      </c>
      <c r="F2080" s="84">
        <f t="shared" si="246"/>
        <v>46327</v>
      </c>
      <c r="G2080" s="183">
        <v>575.69000000000005</v>
      </c>
      <c r="H2080" s="118" t="s">
        <v>906</v>
      </c>
      <c r="I2080" s="118" t="s">
        <v>691</v>
      </c>
      <c r="J2080" s="131"/>
      <c r="K2080" s="55">
        <f t="shared" si="247"/>
        <v>2026</v>
      </c>
      <c r="L2080" s="158" t="s">
        <v>6161</v>
      </c>
      <c r="M2080" s="158" t="s">
        <v>6220</v>
      </c>
      <c r="N2080" s="213" t="s">
        <v>6479</v>
      </c>
      <c r="Q2080" s="159"/>
      <c r="R2080" s="222">
        <v>2176</v>
      </c>
      <c r="S2080" s="222">
        <v>13824</v>
      </c>
      <c r="T2080" s="222">
        <v>16000</v>
      </c>
      <c r="U2080" s="223">
        <v>864</v>
      </c>
      <c r="Z2080" s="171">
        <v>0.1</v>
      </c>
      <c r="AA2080" s="172">
        <v>0.1</v>
      </c>
    </row>
    <row r="2081" spans="1:27" ht="28" customHeight="1" x14ac:dyDescent="0.2">
      <c r="A2081" s="156" t="s">
        <v>6480</v>
      </c>
      <c r="B2081" s="118" t="e">
        <f t="shared" si="245"/>
        <v>#VALUE!</v>
      </c>
      <c r="C2081" t="s">
        <v>6152</v>
      </c>
      <c r="D2081" s="157">
        <v>42633</v>
      </c>
      <c r="E2081" s="157">
        <v>42675</v>
      </c>
      <c r="F2081" s="84">
        <f t="shared" si="246"/>
        <v>46327</v>
      </c>
      <c r="G2081" s="183">
        <v>86.21</v>
      </c>
      <c r="H2081" s="118" t="s">
        <v>1086</v>
      </c>
      <c r="I2081" s="118" t="s">
        <v>691</v>
      </c>
      <c r="J2081" s="131"/>
      <c r="K2081" s="55">
        <f t="shared" si="247"/>
        <v>2026</v>
      </c>
      <c r="L2081" s="158" t="s">
        <v>6481</v>
      </c>
      <c r="M2081" s="158" t="s">
        <v>6482</v>
      </c>
      <c r="N2081" s="213" t="s">
        <v>6483</v>
      </c>
      <c r="Q2081" s="159"/>
      <c r="R2081" s="222">
        <v>464.5</v>
      </c>
      <c r="S2081" s="222">
        <v>15834</v>
      </c>
      <c r="T2081" s="222">
        <v>16298.5</v>
      </c>
      <c r="U2081" s="223">
        <v>130.5</v>
      </c>
      <c r="Z2081" s="171">
        <v>0.1</v>
      </c>
      <c r="AA2081" s="172">
        <v>0.1</v>
      </c>
    </row>
    <row r="2082" spans="1:27" ht="28" customHeight="1" x14ac:dyDescent="0.2">
      <c r="A2082" s="156" t="s">
        <v>6484</v>
      </c>
      <c r="B2082" s="118" t="e">
        <f t="shared" si="245"/>
        <v>#VALUE!</v>
      </c>
      <c r="C2082" t="s">
        <v>6152</v>
      </c>
      <c r="D2082" s="157">
        <v>42633</v>
      </c>
      <c r="E2082" s="157">
        <v>42675</v>
      </c>
      <c r="F2082" s="84">
        <f t="shared" si="246"/>
        <v>46327</v>
      </c>
      <c r="G2082" s="183">
        <v>117.31</v>
      </c>
      <c r="H2082" s="118" t="s">
        <v>1086</v>
      </c>
      <c r="I2082" s="118" t="s">
        <v>691</v>
      </c>
      <c r="J2082" s="131"/>
      <c r="K2082" s="55">
        <f t="shared" si="247"/>
        <v>2026</v>
      </c>
      <c r="L2082" s="158" t="s">
        <v>6481</v>
      </c>
      <c r="M2082" s="158" t="s">
        <v>6482</v>
      </c>
      <c r="N2082" s="213" t="s">
        <v>6485</v>
      </c>
      <c r="Q2082" s="159"/>
      <c r="R2082" s="222">
        <v>573</v>
      </c>
      <c r="S2082" s="222">
        <v>5782</v>
      </c>
      <c r="T2082" s="222">
        <v>6355</v>
      </c>
      <c r="U2082" s="223">
        <v>177</v>
      </c>
      <c r="Z2082" s="171">
        <v>0.1</v>
      </c>
      <c r="AA2082" s="172">
        <v>0.1</v>
      </c>
    </row>
    <row r="2083" spans="1:27" ht="42" customHeight="1" x14ac:dyDescent="0.2">
      <c r="A2083" s="156" t="s">
        <v>6486</v>
      </c>
      <c r="B2083" s="118" t="e">
        <f t="shared" si="245"/>
        <v>#VALUE!</v>
      </c>
      <c r="C2083" t="s">
        <v>6152</v>
      </c>
      <c r="D2083" s="157">
        <v>42633</v>
      </c>
      <c r="E2083" s="157">
        <v>42675</v>
      </c>
      <c r="F2083" s="84">
        <f t="shared" si="246"/>
        <v>46327</v>
      </c>
      <c r="G2083" s="183">
        <v>56.41</v>
      </c>
      <c r="H2083" s="118" t="s">
        <v>4397</v>
      </c>
      <c r="I2083" s="118" t="s">
        <v>691</v>
      </c>
      <c r="J2083" s="131"/>
      <c r="K2083" s="55">
        <f t="shared" si="247"/>
        <v>2026</v>
      </c>
      <c r="L2083" s="158" t="s">
        <v>6166</v>
      </c>
      <c r="M2083" s="158" t="s">
        <v>6487</v>
      </c>
      <c r="N2083" s="213" t="s">
        <v>6488</v>
      </c>
      <c r="Q2083" s="159"/>
      <c r="R2083" s="222">
        <v>359.5</v>
      </c>
      <c r="S2083" s="222">
        <v>9918</v>
      </c>
      <c r="T2083" s="222">
        <v>10277.5</v>
      </c>
      <c r="U2083" s="223">
        <v>85.5</v>
      </c>
      <c r="Z2083" s="171">
        <v>0.1</v>
      </c>
      <c r="AA2083" s="172">
        <v>0.1</v>
      </c>
    </row>
    <row r="2084" spans="1:27" ht="16" hidden="1" x14ac:dyDescent="0.2">
      <c r="A2084" s="118"/>
      <c r="D2084" s="157"/>
      <c r="E2084" s="118"/>
      <c r="F2084" s="118"/>
      <c r="G2084" s="183"/>
      <c r="J2084" s="131"/>
      <c r="K2084" s="131"/>
      <c r="L2084" s="158"/>
      <c r="M2084" s="158"/>
      <c r="N2084" s="213" t="s">
        <v>6158</v>
      </c>
      <c r="Q2084" s="164"/>
      <c r="R2084" s="287"/>
      <c r="S2084" s="287"/>
      <c r="T2084" s="287"/>
      <c r="Z2084" s="171"/>
      <c r="AA2084" s="172"/>
    </row>
    <row r="2085" spans="1:27" ht="16" hidden="1" x14ac:dyDescent="0.2">
      <c r="A2085" s="118"/>
      <c r="E2085" s="118"/>
      <c r="F2085" s="118"/>
      <c r="G2085" s="183"/>
      <c r="J2085" s="131"/>
      <c r="K2085" s="131"/>
      <c r="L2085" s="158"/>
      <c r="M2085" s="158"/>
      <c r="N2085" s="213" t="s">
        <v>6158</v>
      </c>
      <c r="Q2085" s="164"/>
      <c r="R2085" s="283">
        <v>17503.5</v>
      </c>
      <c r="S2085" s="283">
        <v>62720</v>
      </c>
      <c r="T2085" s="283">
        <v>80223.5</v>
      </c>
      <c r="Z2085" s="165"/>
      <c r="AA2085" s="166"/>
    </row>
    <row r="2086" spans="1:27" ht="15" hidden="1" customHeight="1" thickTop="1" x14ac:dyDescent="0.2">
      <c r="A2086" s="118"/>
      <c r="E2086" s="118"/>
      <c r="F2086" s="118"/>
      <c r="G2086" s="183"/>
      <c r="J2086" s="131"/>
      <c r="K2086" s="131"/>
      <c r="L2086" s="158"/>
      <c r="M2086" s="158"/>
      <c r="N2086" s="213" t="s">
        <v>6158</v>
      </c>
      <c r="Q2086" s="164"/>
      <c r="R2086" s="291"/>
      <c r="S2086" s="291"/>
      <c r="T2086" s="291"/>
      <c r="Z2086" s="165"/>
      <c r="AA2086" s="166"/>
    </row>
    <row r="2087" spans="1:27" ht="28" customHeight="1" x14ac:dyDescent="0.2">
      <c r="A2087" s="156" t="s">
        <v>6489</v>
      </c>
      <c r="B2087" s="118" t="e">
        <f>IF(COUNTIF(GIS,A2087),"YES","NO")</f>
        <v>#VALUE!</v>
      </c>
      <c r="C2087" t="s">
        <v>6152</v>
      </c>
      <c r="D2087" s="157">
        <v>42717</v>
      </c>
      <c r="E2087" s="157">
        <v>42767</v>
      </c>
      <c r="F2087" s="84">
        <f>DATE(YEAR(E2087)+10,MONTH(E2087),DAY(E2087))</f>
        <v>46419</v>
      </c>
      <c r="G2087" s="183">
        <v>40.03</v>
      </c>
      <c r="H2087" s="118" t="s">
        <v>906</v>
      </c>
      <c r="I2087" s="118" t="s">
        <v>691</v>
      </c>
      <c r="J2087" s="170"/>
      <c r="K2087" s="55">
        <f>YEAR(F2087)</f>
        <v>2027</v>
      </c>
      <c r="L2087" s="158" t="s">
        <v>6161</v>
      </c>
      <c r="M2087" s="158" t="s">
        <v>6220</v>
      </c>
      <c r="N2087" s="213" t="s">
        <v>6490</v>
      </c>
      <c r="Q2087" s="159"/>
      <c r="R2087" s="222">
        <v>1287.5</v>
      </c>
      <c r="S2087" s="222">
        <v>0</v>
      </c>
      <c r="T2087" s="222">
        <v>1287.5</v>
      </c>
      <c r="U2087" s="223">
        <v>61.5</v>
      </c>
      <c r="Z2087" s="184">
        <v>0.1</v>
      </c>
      <c r="AA2087" s="141">
        <v>0.1</v>
      </c>
    </row>
    <row r="2088" spans="1:27" ht="16" hidden="1" x14ac:dyDescent="0.2">
      <c r="A2088" s="118"/>
      <c r="E2088" s="118"/>
      <c r="F2088" s="118"/>
      <c r="G2088" s="183"/>
      <c r="J2088" s="131"/>
      <c r="K2088" s="131"/>
      <c r="L2088" s="158"/>
      <c r="M2088" s="158"/>
      <c r="N2088" s="213" t="s">
        <v>6158</v>
      </c>
      <c r="Q2088" s="164"/>
      <c r="Z2088" s="165"/>
      <c r="AA2088" s="166"/>
    </row>
    <row r="2089" spans="1:27" ht="84" customHeight="1" x14ac:dyDescent="0.2">
      <c r="A2089" s="156" t="s">
        <v>6491</v>
      </c>
      <c r="B2089" s="118" t="e">
        <f>IF(COUNTIF(GIS,A2089),"YES","NO")</f>
        <v>#VALUE!</v>
      </c>
      <c r="C2089" t="s">
        <v>6152</v>
      </c>
      <c r="D2089" s="157">
        <v>42808</v>
      </c>
      <c r="E2089" s="157">
        <v>42856</v>
      </c>
      <c r="F2089" s="84">
        <f>DATE(YEAR(E2089)+10,MONTH(E2089),DAY(E2089))</f>
        <v>46508</v>
      </c>
      <c r="G2089" s="183">
        <v>1378.53</v>
      </c>
      <c r="H2089" s="118" t="s">
        <v>6492</v>
      </c>
      <c r="I2089" s="118" t="s">
        <v>6493</v>
      </c>
      <c r="J2089" s="131"/>
      <c r="K2089" s="55">
        <f>YEAR(F2089)</f>
        <v>2027</v>
      </c>
      <c r="L2089" s="158" t="s">
        <v>6270</v>
      </c>
      <c r="M2089" s="158" t="s">
        <v>6274</v>
      </c>
      <c r="N2089" s="213" t="s">
        <v>6494</v>
      </c>
      <c r="Q2089" s="159"/>
      <c r="R2089" s="222">
        <v>4986.5</v>
      </c>
      <c r="T2089" s="222">
        <v>4986.5</v>
      </c>
      <c r="U2089" s="223">
        <v>2068.5</v>
      </c>
      <c r="Z2089" s="184">
        <v>0.1</v>
      </c>
      <c r="AA2089" s="141">
        <v>0.1</v>
      </c>
    </row>
    <row r="2090" spans="1:27" ht="42" customHeight="1" x14ac:dyDescent="0.2">
      <c r="A2090" s="156" t="s">
        <v>6495</v>
      </c>
      <c r="B2090" s="118" t="e">
        <f>IF(COUNTIF(GIS,A2090),"YES","NO")</f>
        <v>#VALUE!</v>
      </c>
      <c r="C2090" t="s">
        <v>6152</v>
      </c>
      <c r="D2090" s="157">
        <v>42808</v>
      </c>
      <c r="E2090" s="157">
        <v>42856</v>
      </c>
      <c r="F2090" s="84">
        <f>DATE(YEAR(E2090)+10,MONTH(E2090),DAY(E2090))</f>
        <v>46508</v>
      </c>
      <c r="G2090" s="183">
        <v>1443.39</v>
      </c>
      <c r="H2090" s="118" t="s">
        <v>6492</v>
      </c>
      <c r="I2090" s="118" t="s">
        <v>6493</v>
      </c>
      <c r="J2090" s="131"/>
      <c r="K2090" s="55">
        <f>YEAR(F2090)</f>
        <v>2027</v>
      </c>
      <c r="L2090" s="158" t="s">
        <v>6496</v>
      </c>
      <c r="M2090" s="158" t="s">
        <v>6274</v>
      </c>
      <c r="N2090" s="213" t="s">
        <v>6497</v>
      </c>
      <c r="Q2090" s="159"/>
      <c r="R2090" s="222">
        <v>5214</v>
      </c>
      <c r="T2090" s="222">
        <v>5214</v>
      </c>
      <c r="U2090" s="223">
        <v>2166</v>
      </c>
      <c r="Z2090" s="184">
        <v>0.1</v>
      </c>
      <c r="AA2090" s="141">
        <v>0.1</v>
      </c>
    </row>
    <row r="2091" spans="1:27" ht="16" hidden="1" x14ac:dyDescent="0.2">
      <c r="A2091" s="118"/>
      <c r="E2091" s="118"/>
      <c r="F2091" s="118"/>
      <c r="G2091" s="183"/>
      <c r="J2091" s="131"/>
      <c r="K2091" s="131"/>
      <c r="L2091" s="158"/>
      <c r="M2091" s="158"/>
      <c r="N2091" s="213" t="s">
        <v>6158</v>
      </c>
      <c r="Q2091" s="164"/>
      <c r="Z2091" s="165"/>
      <c r="AA2091" s="166"/>
    </row>
    <row r="2092" spans="1:27" ht="42" customHeight="1" x14ac:dyDescent="0.2">
      <c r="A2092" s="156" t="s">
        <v>6498</v>
      </c>
      <c r="B2092" s="118" t="e">
        <f t="shared" ref="B2092:B2103" si="248">IF(COUNTIF(GIS,A2092),"YES","NO")</f>
        <v>#VALUE!</v>
      </c>
      <c r="C2092" t="s">
        <v>6152</v>
      </c>
      <c r="D2092" s="157">
        <v>42899</v>
      </c>
      <c r="E2092" s="157">
        <v>42917</v>
      </c>
      <c r="F2092" s="84">
        <f t="shared" ref="F2092:F2103" si="249">DATE(YEAR(E2092)+10,MONTH(E2092),DAY(E2092))</f>
        <v>46569</v>
      </c>
      <c r="G2092" s="183">
        <v>360</v>
      </c>
      <c r="H2092" s="118" t="s">
        <v>6499</v>
      </c>
      <c r="I2092" s="118" t="s">
        <v>6269</v>
      </c>
      <c r="J2092" s="131"/>
      <c r="K2092" s="55">
        <f t="shared" ref="K2092:K2103" si="250">YEAR(F2092)</f>
        <v>2027</v>
      </c>
      <c r="L2092" s="158" t="s">
        <v>6285</v>
      </c>
      <c r="M2092" s="158" t="s">
        <v>6500</v>
      </c>
      <c r="N2092" s="213" t="s">
        <v>6501</v>
      </c>
      <c r="Q2092" s="159"/>
      <c r="R2092" s="222">
        <v>1420</v>
      </c>
      <c r="S2092" s="222">
        <v>3240</v>
      </c>
      <c r="T2092" s="222">
        <v>4660</v>
      </c>
      <c r="U2092" s="223">
        <v>540</v>
      </c>
      <c r="Z2092" s="184">
        <v>0.1</v>
      </c>
      <c r="AA2092" s="141">
        <v>0.1</v>
      </c>
    </row>
    <row r="2093" spans="1:27" ht="28" customHeight="1" x14ac:dyDescent="0.2">
      <c r="A2093" s="156" t="s">
        <v>6502</v>
      </c>
      <c r="B2093" s="118" t="e">
        <f t="shared" si="248"/>
        <v>#VALUE!</v>
      </c>
      <c r="C2093" t="s">
        <v>6152</v>
      </c>
      <c r="D2093" s="157">
        <v>42899</v>
      </c>
      <c r="E2093" s="157">
        <v>42917</v>
      </c>
      <c r="F2093" s="84">
        <f t="shared" si="249"/>
        <v>46569</v>
      </c>
      <c r="G2093" s="183">
        <v>240</v>
      </c>
      <c r="H2093" s="118" t="s">
        <v>6499</v>
      </c>
      <c r="I2093" s="118" t="s">
        <v>6269</v>
      </c>
      <c r="J2093" s="131"/>
      <c r="K2093" s="55">
        <f t="shared" si="250"/>
        <v>2027</v>
      </c>
      <c r="L2093" s="158" t="s">
        <v>6285</v>
      </c>
      <c r="M2093" s="158" t="s">
        <v>6500</v>
      </c>
      <c r="N2093" s="213" t="s">
        <v>6503</v>
      </c>
      <c r="Q2093" s="159"/>
      <c r="R2093" s="222">
        <v>1000</v>
      </c>
      <c r="S2093" s="222">
        <v>2400</v>
      </c>
      <c r="T2093" s="222">
        <v>3400</v>
      </c>
      <c r="U2093" s="223">
        <v>360</v>
      </c>
      <c r="Z2093" s="184">
        <v>0.1</v>
      </c>
      <c r="AA2093" s="141">
        <v>0.1</v>
      </c>
    </row>
    <row r="2094" spans="1:27" ht="28" customHeight="1" x14ac:dyDescent="0.2">
      <c r="A2094" s="156" t="s">
        <v>6504</v>
      </c>
      <c r="B2094" s="118" t="e">
        <f t="shared" si="248"/>
        <v>#VALUE!</v>
      </c>
      <c r="C2094" t="s">
        <v>6152</v>
      </c>
      <c r="D2094" s="157">
        <v>42899</v>
      </c>
      <c r="E2094" s="157">
        <v>42917</v>
      </c>
      <c r="F2094" s="84">
        <f t="shared" si="249"/>
        <v>46569</v>
      </c>
      <c r="G2094" s="183">
        <v>600</v>
      </c>
      <c r="H2094" s="118" t="s">
        <v>6499</v>
      </c>
      <c r="I2094" s="118" t="s">
        <v>6269</v>
      </c>
      <c r="J2094" s="131"/>
      <c r="K2094" s="55">
        <f t="shared" si="250"/>
        <v>2027</v>
      </c>
      <c r="L2094" s="158" t="s">
        <v>6285</v>
      </c>
      <c r="M2094" s="158" t="s">
        <v>6500</v>
      </c>
      <c r="N2094" s="213" t="s">
        <v>6505</v>
      </c>
      <c r="Q2094" s="159"/>
      <c r="R2094" s="222">
        <v>2260</v>
      </c>
      <c r="S2094" s="222">
        <v>24000</v>
      </c>
      <c r="T2094" s="222">
        <v>26260</v>
      </c>
      <c r="U2094" s="223">
        <v>900</v>
      </c>
      <c r="Z2094" s="184">
        <v>0.1</v>
      </c>
      <c r="AA2094" s="141">
        <v>0.1</v>
      </c>
    </row>
    <row r="2095" spans="1:27" ht="28" customHeight="1" x14ac:dyDescent="0.2">
      <c r="A2095" s="156" t="s">
        <v>6506</v>
      </c>
      <c r="B2095" s="118" t="e">
        <f t="shared" si="248"/>
        <v>#VALUE!</v>
      </c>
      <c r="C2095" t="s">
        <v>6152</v>
      </c>
      <c r="D2095" s="157">
        <v>42899</v>
      </c>
      <c r="E2095" s="157">
        <v>42917</v>
      </c>
      <c r="F2095" s="84">
        <f t="shared" si="249"/>
        <v>46569</v>
      </c>
      <c r="G2095" s="183">
        <v>120</v>
      </c>
      <c r="H2095" s="118" t="s">
        <v>6499</v>
      </c>
      <c r="I2095" s="118" t="s">
        <v>6269</v>
      </c>
      <c r="J2095" s="131"/>
      <c r="K2095" s="55">
        <f t="shared" si="250"/>
        <v>2027</v>
      </c>
      <c r="L2095" s="158" t="s">
        <v>6285</v>
      </c>
      <c r="M2095" s="158" t="s">
        <v>6500</v>
      </c>
      <c r="N2095" s="213" t="s">
        <v>6507</v>
      </c>
      <c r="Q2095" s="159"/>
      <c r="R2095" s="222">
        <v>580</v>
      </c>
      <c r="S2095" s="222">
        <v>1200</v>
      </c>
      <c r="T2095" s="222">
        <v>1780</v>
      </c>
      <c r="U2095" s="223">
        <v>180</v>
      </c>
      <c r="Z2095" s="184">
        <v>0.1</v>
      </c>
      <c r="AA2095" s="141">
        <v>0.1</v>
      </c>
    </row>
    <row r="2096" spans="1:27" ht="16" x14ac:dyDescent="0.2">
      <c r="A2096" s="156" t="s">
        <v>6508</v>
      </c>
      <c r="B2096" s="118" t="e">
        <f t="shared" si="248"/>
        <v>#VALUE!</v>
      </c>
      <c r="C2096" t="s">
        <v>6152</v>
      </c>
      <c r="D2096" s="157">
        <v>42899</v>
      </c>
      <c r="E2096" s="157">
        <v>42917</v>
      </c>
      <c r="F2096" s="84">
        <f t="shared" si="249"/>
        <v>46569</v>
      </c>
      <c r="G2096" s="183">
        <v>160</v>
      </c>
      <c r="H2096" s="118" t="s">
        <v>6509</v>
      </c>
      <c r="I2096" s="118" t="s">
        <v>6269</v>
      </c>
      <c r="J2096" s="131"/>
      <c r="K2096" s="55">
        <f t="shared" si="250"/>
        <v>2027</v>
      </c>
      <c r="L2096" s="158" t="s">
        <v>6510</v>
      </c>
      <c r="M2096" s="158" t="s">
        <v>6511</v>
      </c>
      <c r="N2096" s="213" t="s">
        <v>6512</v>
      </c>
      <c r="Q2096" s="159"/>
      <c r="R2096" s="222">
        <v>720</v>
      </c>
      <c r="S2096" s="222">
        <v>160</v>
      </c>
      <c r="T2096" s="222">
        <v>880</v>
      </c>
      <c r="U2096" s="223">
        <v>240</v>
      </c>
      <c r="Z2096" s="184">
        <v>0.1</v>
      </c>
      <c r="AA2096" s="141">
        <v>0.1</v>
      </c>
    </row>
    <row r="2097" spans="1:27" ht="28" customHeight="1" x14ac:dyDescent="0.2">
      <c r="A2097" s="156" t="s">
        <v>6513</v>
      </c>
      <c r="B2097" s="118" t="e">
        <f t="shared" si="248"/>
        <v>#VALUE!</v>
      </c>
      <c r="C2097" t="s">
        <v>6152</v>
      </c>
      <c r="D2097" s="157">
        <v>42899</v>
      </c>
      <c r="E2097" s="157">
        <v>42917</v>
      </c>
      <c r="F2097" s="84">
        <f t="shared" si="249"/>
        <v>46569</v>
      </c>
      <c r="G2097" s="183">
        <v>120</v>
      </c>
      <c r="H2097" s="118" t="s">
        <v>6509</v>
      </c>
      <c r="I2097" s="118" t="s">
        <v>6269</v>
      </c>
      <c r="J2097" s="131"/>
      <c r="K2097" s="55">
        <f t="shared" si="250"/>
        <v>2027</v>
      </c>
      <c r="L2097" s="158" t="s">
        <v>6510</v>
      </c>
      <c r="M2097" s="158" t="s">
        <v>6511</v>
      </c>
      <c r="N2097" s="213" t="s">
        <v>6514</v>
      </c>
      <c r="Q2097" s="159"/>
      <c r="R2097" s="222">
        <v>580</v>
      </c>
      <c r="S2097" s="222">
        <v>120</v>
      </c>
      <c r="T2097" s="222">
        <v>700</v>
      </c>
      <c r="U2097" s="223">
        <v>180</v>
      </c>
      <c r="Z2097" s="184">
        <v>0.1</v>
      </c>
      <c r="AA2097" s="141">
        <v>0.1</v>
      </c>
    </row>
    <row r="2098" spans="1:27" ht="28" customHeight="1" x14ac:dyDescent="0.2">
      <c r="A2098" s="156" t="s">
        <v>6515</v>
      </c>
      <c r="B2098" s="118" t="e">
        <f t="shared" si="248"/>
        <v>#VALUE!</v>
      </c>
      <c r="C2098" t="s">
        <v>6152</v>
      </c>
      <c r="D2098" s="157">
        <v>42899</v>
      </c>
      <c r="E2098" s="157">
        <v>42917</v>
      </c>
      <c r="F2098" s="84">
        <f t="shared" si="249"/>
        <v>46569</v>
      </c>
      <c r="G2098" s="183">
        <v>160</v>
      </c>
      <c r="H2098" s="118" t="s">
        <v>6509</v>
      </c>
      <c r="I2098" s="118" t="s">
        <v>6269</v>
      </c>
      <c r="J2098" s="131"/>
      <c r="K2098" s="55">
        <f t="shared" si="250"/>
        <v>2027</v>
      </c>
      <c r="L2098" s="158" t="s">
        <v>6510</v>
      </c>
      <c r="M2098" s="158" t="s">
        <v>6511</v>
      </c>
      <c r="N2098" s="213" t="s">
        <v>6516</v>
      </c>
      <c r="Q2098" s="159"/>
      <c r="R2098" s="222">
        <v>720</v>
      </c>
      <c r="S2098" s="222">
        <v>160</v>
      </c>
      <c r="T2098" s="222">
        <v>880</v>
      </c>
      <c r="U2098" s="223">
        <v>240</v>
      </c>
      <c r="Z2098" s="184">
        <v>0.1</v>
      </c>
      <c r="AA2098" s="141">
        <v>0.1</v>
      </c>
    </row>
    <row r="2099" spans="1:27" ht="28" customHeight="1" x14ac:dyDescent="0.2">
      <c r="A2099" s="156" t="s">
        <v>6517</v>
      </c>
      <c r="B2099" s="118" t="e">
        <f t="shared" si="248"/>
        <v>#VALUE!</v>
      </c>
      <c r="C2099" t="s">
        <v>6152</v>
      </c>
      <c r="D2099" s="157">
        <v>42899</v>
      </c>
      <c r="E2099" s="157">
        <v>42917</v>
      </c>
      <c r="F2099" s="84">
        <f t="shared" si="249"/>
        <v>46569</v>
      </c>
      <c r="G2099" s="183">
        <v>280</v>
      </c>
      <c r="H2099" s="118" t="s">
        <v>6509</v>
      </c>
      <c r="I2099" s="118" t="s">
        <v>6269</v>
      </c>
      <c r="J2099" s="131"/>
      <c r="K2099" s="55">
        <f t="shared" si="250"/>
        <v>2027</v>
      </c>
      <c r="L2099" s="158" t="s">
        <v>6510</v>
      </c>
      <c r="M2099" s="158" t="s">
        <v>6511</v>
      </c>
      <c r="N2099" s="213" t="s">
        <v>6518</v>
      </c>
      <c r="Q2099" s="159"/>
      <c r="R2099" s="222">
        <v>1140</v>
      </c>
      <c r="S2099" s="222">
        <v>840</v>
      </c>
      <c r="T2099" s="222">
        <v>1980</v>
      </c>
      <c r="U2099" s="223">
        <v>420</v>
      </c>
      <c r="Z2099" s="184">
        <v>0.1</v>
      </c>
      <c r="AA2099" s="141">
        <v>0.1</v>
      </c>
    </row>
    <row r="2100" spans="1:27" ht="28" customHeight="1" x14ac:dyDescent="0.2">
      <c r="A2100" s="156" t="s">
        <v>6519</v>
      </c>
      <c r="B2100" s="118" t="e">
        <f t="shared" si="248"/>
        <v>#VALUE!</v>
      </c>
      <c r="C2100" t="s">
        <v>6152</v>
      </c>
      <c r="D2100" s="157">
        <v>42899</v>
      </c>
      <c r="E2100" s="157">
        <v>42917</v>
      </c>
      <c r="F2100" s="84">
        <f t="shared" si="249"/>
        <v>46569</v>
      </c>
      <c r="G2100" s="183">
        <v>40</v>
      </c>
      <c r="H2100" s="118" t="s">
        <v>6509</v>
      </c>
      <c r="I2100" s="118" t="s">
        <v>6269</v>
      </c>
      <c r="J2100" s="131"/>
      <c r="K2100" s="55">
        <f t="shared" si="250"/>
        <v>2027</v>
      </c>
      <c r="L2100" s="158" t="s">
        <v>6510</v>
      </c>
      <c r="M2100" s="158" t="s">
        <v>6511</v>
      </c>
      <c r="N2100" s="213" t="s">
        <v>6520</v>
      </c>
      <c r="Q2100" s="159"/>
      <c r="R2100" s="222">
        <v>300</v>
      </c>
      <c r="S2100" s="222">
        <v>240</v>
      </c>
      <c r="T2100" s="222">
        <v>540</v>
      </c>
      <c r="U2100" s="223">
        <v>60</v>
      </c>
      <c r="Z2100" s="184">
        <v>0.1</v>
      </c>
      <c r="AA2100" s="141">
        <v>0.1</v>
      </c>
    </row>
    <row r="2101" spans="1:27" ht="42" customHeight="1" x14ac:dyDescent="0.2">
      <c r="A2101" s="156" t="s">
        <v>6521</v>
      </c>
      <c r="B2101" s="118" t="e">
        <f t="shared" si="248"/>
        <v>#VALUE!</v>
      </c>
      <c r="C2101" t="s">
        <v>6152</v>
      </c>
      <c r="D2101" s="157">
        <v>42899</v>
      </c>
      <c r="E2101" s="157">
        <v>42917</v>
      </c>
      <c r="F2101" s="84">
        <f t="shared" si="249"/>
        <v>46569</v>
      </c>
      <c r="G2101" s="183">
        <v>200</v>
      </c>
      <c r="H2101" s="118" t="s">
        <v>6509</v>
      </c>
      <c r="I2101" s="118" t="s">
        <v>6269</v>
      </c>
      <c r="J2101" s="131"/>
      <c r="K2101" s="55">
        <f t="shared" si="250"/>
        <v>2027</v>
      </c>
      <c r="L2101" s="158" t="s">
        <v>6522</v>
      </c>
      <c r="M2101" s="158" t="s">
        <v>6511</v>
      </c>
      <c r="N2101" s="213" t="s">
        <v>6523</v>
      </c>
      <c r="Q2101" s="159"/>
      <c r="R2101" s="222">
        <v>860</v>
      </c>
      <c r="S2101" s="222">
        <v>1400</v>
      </c>
      <c r="T2101" s="222">
        <v>2260</v>
      </c>
      <c r="U2101" s="223">
        <v>300</v>
      </c>
      <c r="Z2101" s="184">
        <v>0.1</v>
      </c>
      <c r="AA2101" s="141">
        <v>0.1</v>
      </c>
    </row>
    <row r="2102" spans="1:27" ht="28" customHeight="1" x14ac:dyDescent="0.2">
      <c r="A2102" s="156" t="s">
        <v>6524</v>
      </c>
      <c r="B2102" s="118" t="e">
        <f t="shared" si="248"/>
        <v>#VALUE!</v>
      </c>
      <c r="C2102" t="s">
        <v>6152</v>
      </c>
      <c r="D2102" s="157">
        <v>42899</v>
      </c>
      <c r="E2102" s="157">
        <v>42917</v>
      </c>
      <c r="F2102" s="84">
        <f t="shared" si="249"/>
        <v>46569</v>
      </c>
      <c r="G2102" s="183">
        <v>280.33</v>
      </c>
      <c r="H2102" s="118" t="s">
        <v>6305</v>
      </c>
      <c r="I2102" s="118" t="s">
        <v>6269</v>
      </c>
      <c r="J2102" s="131"/>
      <c r="K2102" s="55">
        <f t="shared" si="250"/>
        <v>2027</v>
      </c>
      <c r="L2102" s="158" t="s">
        <v>6525</v>
      </c>
      <c r="M2102" s="158" t="s">
        <v>6309</v>
      </c>
      <c r="N2102" s="213" t="s">
        <v>6526</v>
      </c>
      <c r="Q2102" s="159"/>
      <c r="R2102" s="222">
        <v>1143.5</v>
      </c>
      <c r="S2102" s="222">
        <v>4215</v>
      </c>
      <c r="T2102" s="222">
        <v>5358.5</v>
      </c>
      <c r="U2102" s="223">
        <v>421.5</v>
      </c>
      <c r="Z2102" s="184">
        <v>0.1</v>
      </c>
      <c r="AA2102" s="141">
        <v>0.1</v>
      </c>
    </row>
    <row r="2103" spans="1:27" ht="28" customHeight="1" x14ac:dyDescent="0.2">
      <c r="A2103" s="156" t="s">
        <v>6527</v>
      </c>
      <c r="B2103" s="118" t="e">
        <f t="shared" si="248"/>
        <v>#VALUE!</v>
      </c>
      <c r="C2103" t="s">
        <v>6152</v>
      </c>
      <c r="D2103" s="157">
        <v>42899</v>
      </c>
      <c r="E2103" s="157">
        <v>42917</v>
      </c>
      <c r="F2103" s="84">
        <f t="shared" si="249"/>
        <v>46569</v>
      </c>
      <c r="G2103" s="183">
        <v>600</v>
      </c>
      <c r="H2103" s="118" t="s">
        <v>6305</v>
      </c>
      <c r="I2103" s="118" t="s">
        <v>6269</v>
      </c>
      <c r="J2103" s="131"/>
      <c r="K2103" s="55">
        <f t="shared" si="250"/>
        <v>2027</v>
      </c>
      <c r="L2103" s="158" t="s">
        <v>6525</v>
      </c>
      <c r="M2103" s="158" t="s">
        <v>6309</v>
      </c>
      <c r="N2103" s="213" t="s">
        <v>6528</v>
      </c>
      <c r="Q2103" s="159"/>
      <c r="R2103" s="222">
        <v>2260</v>
      </c>
      <c r="S2103" s="222">
        <v>9000</v>
      </c>
      <c r="T2103" s="222">
        <v>11260</v>
      </c>
      <c r="U2103" s="223">
        <v>900</v>
      </c>
      <c r="Z2103" s="184">
        <v>0.1</v>
      </c>
      <c r="AA2103" s="141">
        <v>0.1</v>
      </c>
    </row>
    <row r="2104" spans="1:27" ht="16" hidden="1" x14ac:dyDescent="0.2">
      <c r="A2104" s="118"/>
      <c r="E2104" s="118"/>
      <c r="F2104" s="118"/>
      <c r="G2104" s="183"/>
      <c r="J2104" s="131"/>
      <c r="K2104" s="131"/>
      <c r="L2104" s="158"/>
      <c r="M2104" s="158"/>
      <c r="N2104" s="213" t="s">
        <v>6158</v>
      </c>
      <c r="Q2104" s="164"/>
      <c r="R2104" s="283">
        <v>12983.5</v>
      </c>
      <c r="S2104" s="283">
        <v>46975</v>
      </c>
      <c r="T2104" s="283">
        <v>59958.5</v>
      </c>
      <c r="Z2104" s="165"/>
      <c r="AA2104" s="166"/>
    </row>
    <row r="2105" spans="1:27" ht="15" hidden="1" customHeight="1" thickTop="1" x14ac:dyDescent="0.2">
      <c r="A2105" s="118"/>
      <c r="E2105" s="118"/>
      <c r="F2105" s="118"/>
      <c r="G2105" s="183"/>
      <c r="J2105" s="131"/>
      <c r="K2105" s="131"/>
      <c r="L2105" s="158"/>
      <c r="M2105" s="158"/>
      <c r="N2105" s="213" t="s">
        <v>6158</v>
      </c>
      <c r="Q2105" s="164"/>
      <c r="R2105" s="291"/>
      <c r="S2105" s="291"/>
      <c r="T2105" s="291"/>
      <c r="Z2105" s="165"/>
      <c r="AA2105" s="166"/>
    </row>
    <row r="2106" spans="1:27" ht="28" customHeight="1" x14ac:dyDescent="0.2">
      <c r="A2106" s="156" t="s">
        <v>6529</v>
      </c>
      <c r="B2106" s="118" t="e">
        <f t="shared" ref="B2106:B2129" si="251">IF(COUNTIF(GIS,A2106),"YES","NO")</f>
        <v>#VALUE!</v>
      </c>
      <c r="C2106" t="s">
        <v>6152</v>
      </c>
      <c r="D2106" s="157">
        <v>42894</v>
      </c>
      <c r="E2106" s="157">
        <v>42948</v>
      </c>
      <c r="F2106" s="84">
        <f t="shared" ref="F2106:F2129" si="252">DATE(YEAR(E2106)+10,MONTH(E2106),DAY(E2106))</f>
        <v>46600</v>
      </c>
      <c r="G2106" s="183">
        <v>1787.82</v>
      </c>
      <c r="H2106" s="118" t="s">
        <v>6530</v>
      </c>
      <c r="I2106" s="118" t="s">
        <v>6531</v>
      </c>
      <c r="J2106" s="131"/>
      <c r="K2106" s="55">
        <f t="shared" ref="K2106:K2129" si="253">YEAR(F2106)</f>
        <v>2027</v>
      </c>
      <c r="L2106" s="158" t="s">
        <v>6532</v>
      </c>
      <c r="M2106" s="158" t="s">
        <v>6229</v>
      </c>
      <c r="N2106" s="213" t="s">
        <v>6533</v>
      </c>
      <c r="Q2106" s="159"/>
      <c r="R2106" s="222">
        <v>6418</v>
      </c>
      <c r="S2106" s="222">
        <v>0</v>
      </c>
      <c r="T2106" s="222">
        <v>6418</v>
      </c>
      <c r="U2106" s="223">
        <v>2682</v>
      </c>
      <c r="Z2106" s="184">
        <v>0.1</v>
      </c>
      <c r="AA2106" s="141">
        <v>0.1</v>
      </c>
    </row>
    <row r="2107" spans="1:27" ht="42" customHeight="1" x14ac:dyDescent="0.2">
      <c r="A2107" s="156" t="s">
        <v>6534</v>
      </c>
      <c r="B2107" s="118" t="e">
        <f t="shared" si="251"/>
        <v>#VALUE!</v>
      </c>
      <c r="C2107" t="s">
        <v>6152</v>
      </c>
      <c r="D2107" s="157">
        <v>42894</v>
      </c>
      <c r="E2107" s="157">
        <v>42948</v>
      </c>
      <c r="F2107" s="84">
        <f t="shared" si="252"/>
        <v>46600</v>
      </c>
      <c r="G2107" s="183">
        <v>1808.82</v>
      </c>
      <c r="H2107" s="118" t="s">
        <v>6530</v>
      </c>
      <c r="I2107" s="118" t="s">
        <v>6531</v>
      </c>
      <c r="J2107" s="173"/>
      <c r="K2107" s="55">
        <f t="shared" si="253"/>
        <v>2027</v>
      </c>
      <c r="L2107" s="174" t="s">
        <v>6532</v>
      </c>
      <c r="M2107" s="174" t="s">
        <v>6229</v>
      </c>
      <c r="N2107" s="213" t="s">
        <v>6535</v>
      </c>
      <c r="Q2107" s="159"/>
      <c r="R2107" s="222">
        <v>6491.5</v>
      </c>
      <c r="S2107" s="222">
        <v>0</v>
      </c>
      <c r="T2107" s="222">
        <v>6491.5</v>
      </c>
      <c r="U2107" s="223">
        <v>2713.5</v>
      </c>
      <c r="Z2107" s="184">
        <v>0.1</v>
      </c>
      <c r="AA2107" s="141">
        <v>0.1</v>
      </c>
    </row>
    <row r="2108" spans="1:27" ht="42" customHeight="1" x14ac:dyDescent="0.2">
      <c r="A2108" s="156" t="s">
        <v>6536</v>
      </c>
      <c r="B2108" s="118" t="e">
        <f t="shared" si="251"/>
        <v>#VALUE!</v>
      </c>
      <c r="C2108" t="s">
        <v>6152</v>
      </c>
      <c r="D2108" s="157">
        <v>42894</v>
      </c>
      <c r="E2108" s="157">
        <v>42948</v>
      </c>
      <c r="F2108" s="84">
        <f t="shared" si="252"/>
        <v>46600</v>
      </c>
      <c r="G2108" s="183">
        <v>1873.26</v>
      </c>
      <c r="H2108" s="118" t="s">
        <v>6530</v>
      </c>
      <c r="I2108" s="118" t="s">
        <v>6531</v>
      </c>
      <c r="J2108" s="173"/>
      <c r="K2108" s="55">
        <f t="shared" si="253"/>
        <v>2027</v>
      </c>
      <c r="L2108" s="158" t="s">
        <v>6532</v>
      </c>
      <c r="M2108" s="158" t="s">
        <v>6229</v>
      </c>
      <c r="N2108" s="213" t="s">
        <v>6537</v>
      </c>
      <c r="Q2108" s="159"/>
      <c r="R2108" s="222">
        <v>6719</v>
      </c>
      <c r="S2108" s="222">
        <v>0</v>
      </c>
      <c r="T2108" s="222">
        <v>6719</v>
      </c>
      <c r="U2108" s="223">
        <v>2811</v>
      </c>
      <c r="Z2108" s="184">
        <v>0.1</v>
      </c>
      <c r="AA2108" s="141">
        <v>0.1</v>
      </c>
    </row>
    <row r="2109" spans="1:27" ht="28" customHeight="1" x14ac:dyDescent="0.2">
      <c r="A2109" s="156" t="s">
        <v>6538</v>
      </c>
      <c r="B2109" s="118" t="e">
        <f t="shared" si="251"/>
        <v>#VALUE!</v>
      </c>
      <c r="C2109" t="s">
        <v>6152</v>
      </c>
      <c r="D2109" s="157">
        <v>42894</v>
      </c>
      <c r="E2109" s="157">
        <v>42948</v>
      </c>
      <c r="F2109" s="84">
        <f t="shared" si="252"/>
        <v>46600</v>
      </c>
      <c r="G2109" s="183">
        <v>1917.52</v>
      </c>
      <c r="H2109" s="118" t="s">
        <v>6530</v>
      </c>
      <c r="I2109" s="118" t="s">
        <v>6531</v>
      </c>
      <c r="J2109" s="173"/>
      <c r="K2109" s="55">
        <f t="shared" si="253"/>
        <v>2027</v>
      </c>
      <c r="L2109" s="174" t="s">
        <v>6532</v>
      </c>
      <c r="M2109" s="174" t="s">
        <v>6229</v>
      </c>
      <c r="N2109" s="213" t="s">
        <v>6539</v>
      </c>
      <c r="Q2109" s="159"/>
      <c r="R2109" s="222">
        <v>6873</v>
      </c>
      <c r="S2109" s="222">
        <v>0</v>
      </c>
      <c r="T2109" s="222">
        <v>6873</v>
      </c>
      <c r="U2109" s="223">
        <v>2877</v>
      </c>
      <c r="Z2109" s="184">
        <v>0.1</v>
      </c>
      <c r="AA2109" s="141">
        <v>0.1</v>
      </c>
    </row>
    <row r="2110" spans="1:27" ht="56" customHeight="1" x14ac:dyDescent="0.2">
      <c r="A2110" s="156" t="s">
        <v>6540</v>
      </c>
      <c r="B2110" s="118" t="e">
        <f t="shared" si="251"/>
        <v>#VALUE!</v>
      </c>
      <c r="C2110" t="s">
        <v>6152</v>
      </c>
      <c r="D2110" s="157">
        <v>42894</v>
      </c>
      <c r="E2110" s="157">
        <v>42948</v>
      </c>
      <c r="F2110" s="84">
        <f t="shared" si="252"/>
        <v>46600</v>
      </c>
      <c r="G2110" s="183">
        <v>1914.96</v>
      </c>
      <c r="H2110" s="118" t="s">
        <v>6530</v>
      </c>
      <c r="I2110" s="118" t="s">
        <v>6531</v>
      </c>
      <c r="J2110" s="173"/>
      <c r="K2110" s="55">
        <f t="shared" si="253"/>
        <v>2027</v>
      </c>
      <c r="L2110" s="158" t="s">
        <v>6532</v>
      </c>
      <c r="M2110" s="158" t="s">
        <v>6229</v>
      </c>
      <c r="N2110" s="213" t="s">
        <v>6541</v>
      </c>
      <c r="Q2110" s="159"/>
      <c r="R2110" s="222">
        <v>6862.5</v>
      </c>
      <c r="S2110" s="222">
        <v>0</v>
      </c>
      <c r="T2110" s="222">
        <v>6862.5</v>
      </c>
      <c r="U2110" s="223">
        <v>2872.5</v>
      </c>
      <c r="Z2110" s="184">
        <v>0.1</v>
      </c>
      <c r="AA2110" s="141">
        <v>0.1</v>
      </c>
    </row>
    <row r="2111" spans="1:27" ht="42" customHeight="1" x14ac:dyDescent="0.2">
      <c r="A2111" s="156" t="s">
        <v>6542</v>
      </c>
      <c r="B2111" s="118" t="e">
        <f t="shared" si="251"/>
        <v>#VALUE!</v>
      </c>
      <c r="C2111" t="s">
        <v>6152</v>
      </c>
      <c r="D2111" s="157">
        <v>42894</v>
      </c>
      <c r="E2111" s="157">
        <v>42948</v>
      </c>
      <c r="F2111" s="84">
        <f t="shared" si="252"/>
        <v>46600</v>
      </c>
      <c r="G2111" s="183">
        <v>1834.59</v>
      </c>
      <c r="H2111" s="118" t="s">
        <v>6530</v>
      </c>
      <c r="I2111" s="118" t="s">
        <v>6531</v>
      </c>
      <c r="J2111" s="173"/>
      <c r="K2111" s="55">
        <f t="shared" si="253"/>
        <v>2027</v>
      </c>
      <c r="L2111" s="174" t="s">
        <v>6532</v>
      </c>
      <c r="M2111" s="174" t="s">
        <v>6229</v>
      </c>
      <c r="N2111" s="213" t="s">
        <v>6543</v>
      </c>
      <c r="Q2111" s="159"/>
      <c r="R2111" s="222">
        <v>6582.5</v>
      </c>
      <c r="S2111" s="222">
        <v>0</v>
      </c>
      <c r="T2111" s="222">
        <v>6582.5</v>
      </c>
      <c r="U2111" s="223">
        <v>2752.5</v>
      </c>
      <c r="Z2111" s="184">
        <v>0.1</v>
      </c>
      <c r="AA2111" s="141">
        <v>0.1</v>
      </c>
    </row>
    <row r="2112" spans="1:27" ht="16" x14ac:dyDescent="0.2">
      <c r="A2112" s="156" t="s">
        <v>6544</v>
      </c>
      <c r="B2112" s="118" t="e">
        <f t="shared" si="251"/>
        <v>#VALUE!</v>
      </c>
      <c r="C2112" t="s">
        <v>6152</v>
      </c>
      <c r="D2112" s="157">
        <v>42894</v>
      </c>
      <c r="E2112" s="157">
        <v>42948</v>
      </c>
      <c r="F2112" s="84">
        <f t="shared" si="252"/>
        <v>46600</v>
      </c>
      <c r="G2112" s="183">
        <v>640</v>
      </c>
      <c r="H2112" s="118" t="s">
        <v>6530</v>
      </c>
      <c r="I2112" s="118" t="s">
        <v>6531</v>
      </c>
      <c r="J2112" s="173"/>
      <c r="K2112" s="55">
        <f t="shared" si="253"/>
        <v>2027</v>
      </c>
      <c r="L2112" s="158" t="s">
        <v>6532</v>
      </c>
      <c r="M2112" s="158" t="s">
        <v>6229</v>
      </c>
      <c r="N2112" s="213" t="s">
        <v>6545</v>
      </c>
      <c r="Q2112" s="159"/>
      <c r="R2112" s="222">
        <v>2400</v>
      </c>
      <c r="S2112" s="222">
        <v>0</v>
      </c>
      <c r="T2112" s="222">
        <v>2400</v>
      </c>
      <c r="U2112" s="223">
        <v>960</v>
      </c>
      <c r="Z2112" s="184">
        <v>0.1</v>
      </c>
      <c r="AA2112" s="141">
        <v>0.1</v>
      </c>
    </row>
    <row r="2113" spans="1:27" ht="28" customHeight="1" x14ac:dyDescent="0.2">
      <c r="A2113" s="156" t="s">
        <v>6546</v>
      </c>
      <c r="B2113" s="118" t="e">
        <f t="shared" si="251"/>
        <v>#VALUE!</v>
      </c>
      <c r="C2113" t="s">
        <v>6152</v>
      </c>
      <c r="D2113" s="157">
        <v>42894</v>
      </c>
      <c r="E2113" s="157">
        <v>42948</v>
      </c>
      <c r="F2113" s="84">
        <f t="shared" si="252"/>
        <v>46600</v>
      </c>
      <c r="G2113" s="183">
        <v>1440</v>
      </c>
      <c r="H2113" s="118" t="s">
        <v>6530</v>
      </c>
      <c r="I2113" s="118" t="s">
        <v>6531</v>
      </c>
      <c r="J2113" s="173"/>
      <c r="K2113" s="55">
        <f t="shared" si="253"/>
        <v>2027</v>
      </c>
      <c r="L2113" s="158" t="s">
        <v>6532</v>
      </c>
      <c r="M2113" s="174" t="s">
        <v>6234</v>
      </c>
      <c r="N2113" s="213" t="s">
        <v>6547</v>
      </c>
      <c r="Q2113" s="159"/>
      <c r="R2113" s="222">
        <v>5200</v>
      </c>
      <c r="S2113" s="222">
        <v>0</v>
      </c>
      <c r="T2113" s="222">
        <v>5200</v>
      </c>
      <c r="U2113" s="223">
        <v>2160</v>
      </c>
      <c r="Z2113" s="184">
        <v>0.1</v>
      </c>
      <c r="AA2113" s="141">
        <v>0.1</v>
      </c>
    </row>
    <row r="2114" spans="1:27" ht="42" customHeight="1" x14ac:dyDescent="0.2">
      <c r="A2114" s="156" t="s">
        <v>6548</v>
      </c>
      <c r="B2114" s="118" t="e">
        <f t="shared" si="251"/>
        <v>#VALUE!</v>
      </c>
      <c r="C2114" t="s">
        <v>6152</v>
      </c>
      <c r="D2114" s="157">
        <v>42894</v>
      </c>
      <c r="E2114" s="157">
        <v>42948</v>
      </c>
      <c r="F2114" s="84">
        <f t="shared" si="252"/>
        <v>46600</v>
      </c>
      <c r="G2114" s="183">
        <v>2330</v>
      </c>
      <c r="H2114" s="118" t="s">
        <v>6530</v>
      </c>
      <c r="I2114" s="118" t="s">
        <v>6531</v>
      </c>
      <c r="J2114" s="173"/>
      <c r="K2114" s="55">
        <f t="shared" si="253"/>
        <v>2027</v>
      </c>
      <c r="L2114" s="174" t="s">
        <v>6532</v>
      </c>
      <c r="M2114" s="174" t="s">
        <v>6234</v>
      </c>
      <c r="N2114" s="213" t="s">
        <v>6549</v>
      </c>
      <c r="Q2114" s="159"/>
      <c r="R2114" s="222">
        <v>7965</v>
      </c>
      <c r="S2114" s="222">
        <v>0</v>
      </c>
      <c r="T2114" s="222">
        <v>7965</v>
      </c>
      <c r="U2114" s="223">
        <v>3345</v>
      </c>
      <c r="Z2114" s="184">
        <v>0.1</v>
      </c>
      <c r="AA2114" s="141">
        <v>0.1</v>
      </c>
    </row>
    <row r="2115" spans="1:27" ht="42" customHeight="1" x14ac:dyDescent="0.2">
      <c r="A2115" s="156" t="s">
        <v>6550</v>
      </c>
      <c r="B2115" s="118" t="e">
        <f t="shared" si="251"/>
        <v>#VALUE!</v>
      </c>
      <c r="C2115" t="s">
        <v>6152</v>
      </c>
      <c r="D2115" s="157">
        <v>42894</v>
      </c>
      <c r="E2115" s="157">
        <v>42948</v>
      </c>
      <c r="F2115" s="84">
        <f t="shared" si="252"/>
        <v>46600</v>
      </c>
      <c r="G2115" s="183">
        <v>1920.4</v>
      </c>
      <c r="H2115" s="118" t="s">
        <v>6530</v>
      </c>
      <c r="I2115" s="118" t="s">
        <v>6531</v>
      </c>
      <c r="J2115" s="173"/>
      <c r="K2115" s="55">
        <f t="shared" si="253"/>
        <v>2027</v>
      </c>
      <c r="L2115" s="158" t="s">
        <v>6532</v>
      </c>
      <c r="M2115" s="174" t="s">
        <v>6234</v>
      </c>
      <c r="N2115" s="213" t="s">
        <v>6551</v>
      </c>
      <c r="Q2115" s="159"/>
      <c r="R2115" s="222">
        <v>6883.5</v>
      </c>
      <c r="S2115" s="222">
        <v>0</v>
      </c>
      <c r="T2115" s="222">
        <v>6883.5</v>
      </c>
      <c r="U2115" s="223">
        <v>2881.5</v>
      </c>
      <c r="Z2115" s="184">
        <v>0.1</v>
      </c>
      <c r="AA2115" s="141">
        <v>0.1</v>
      </c>
    </row>
    <row r="2116" spans="1:27" ht="70" customHeight="1" x14ac:dyDescent="0.2">
      <c r="A2116" s="156" t="s">
        <v>6552</v>
      </c>
      <c r="B2116" s="118" t="e">
        <f t="shared" si="251"/>
        <v>#VALUE!</v>
      </c>
      <c r="C2116" t="s">
        <v>6152</v>
      </c>
      <c r="D2116" s="157">
        <v>42894</v>
      </c>
      <c r="E2116" s="157">
        <v>42948</v>
      </c>
      <c r="F2116" s="84">
        <f t="shared" si="252"/>
        <v>46600</v>
      </c>
      <c r="G2116" s="183">
        <v>2164.84</v>
      </c>
      <c r="H2116" s="118" t="s">
        <v>6530</v>
      </c>
      <c r="I2116" s="118" t="s">
        <v>6531</v>
      </c>
      <c r="J2116" s="173"/>
      <c r="K2116" s="55">
        <f t="shared" si="253"/>
        <v>2027</v>
      </c>
      <c r="L2116" s="174" t="s">
        <v>6532</v>
      </c>
      <c r="M2116" s="174" t="s">
        <v>6234</v>
      </c>
      <c r="N2116" s="213" t="s">
        <v>6553</v>
      </c>
      <c r="Q2116" s="159"/>
      <c r="R2116" s="222">
        <v>7737.5</v>
      </c>
      <c r="S2116" s="222">
        <v>0</v>
      </c>
      <c r="T2116" s="222">
        <v>7737.5</v>
      </c>
      <c r="U2116" s="223">
        <v>3247.5</v>
      </c>
      <c r="Z2116" s="184">
        <v>0.1</v>
      </c>
      <c r="AA2116" s="141">
        <v>0.1</v>
      </c>
    </row>
    <row r="2117" spans="1:27" ht="42" customHeight="1" x14ac:dyDescent="0.2">
      <c r="A2117" s="156" t="s">
        <v>6554</v>
      </c>
      <c r="B2117" s="118" t="e">
        <f t="shared" si="251"/>
        <v>#VALUE!</v>
      </c>
      <c r="C2117" t="s">
        <v>6152</v>
      </c>
      <c r="D2117" s="157">
        <v>42894</v>
      </c>
      <c r="E2117" s="157">
        <v>42948</v>
      </c>
      <c r="F2117" s="84">
        <f t="shared" si="252"/>
        <v>46600</v>
      </c>
      <c r="G2117" s="183">
        <v>1263.08</v>
      </c>
      <c r="H2117" s="118" t="s">
        <v>6530</v>
      </c>
      <c r="I2117" s="118" t="s">
        <v>6531</v>
      </c>
      <c r="J2117" s="173"/>
      <c r="K2117" s="55">
        <f t="shared" si="253"/>
        <v>2027</v>
      </c>
      <c r="L2117" s="174" t="s">
        <v>6440</v>
      </c>
      <c r="M2117" s="174" t="s">
        <v>6234</v>
      </c>
      <c r="N2117" s="213" t="s">
        <v>6555</v>
      </c>
      <c r="Q2117" s="159"/>
      <c r="R2117" s="222">
        <v>4584</v>
      </c>
      <c r="S2117" s="222">
        <v>0</v>
      </c>
      <c r="T2117" s="222">
        <v>4584</v>
      </c>
      <c r="U2117" s="223">
        <v>1896</v>
      </c>
      <c r="Z2117" s="184">
        <v>0.1</v>
      </c>
      <c r="AA2117" s="141">
        <v>0.1</v>
      </c>
    </row>
    <row r="2118" spans="1:27" ht="28" customHeight="1" x14ac:dyDescent="0.2">
      <c r="A2118" s="156" t="s">
        <v>6556</v>
      </c>
      <c r="B2118" s="118" t="e">
        <f t="shared" si="251"/>
        <v>#VALUE!</v>
      </c>
      <c r="C2118" t="s">
        <v>6152</v>
      </c>
      <c r="D2118" s="157">
        <v>42894</v>
      </c>
      <c r="E2118" s="157">
        <v>42948</v>
      </c>
      <c r="F2118" s="84">
        <f t="shared" si="252"/>
        <v>46600</v>
      </c>
      <c r="G2118" s="183">
        <v>799.92</v>
      </c>
      <c r="H2118" s="118" t="s">
        <v>6530</v>
      </c>
      <c r="I2118" s="118" t="s">
        <v>6531</v>
      </c>
      <c r="J2118" s="173"/>
      <c r="K2118" s="55">
        <f t="shared" si="253"/>
        <v>2027</v>
      </c>
      <c r="L2118" s="174" t="s">
        <v>6557</v>
      </c>
      <c r="M2118" s="174" t="s">
        <v>6253</v>
      </c>
      <c r="N2118" s="213" t="s">
        <v>6558</v>
      </c>
      <c r="Q2118" s="159"/>
      <c r="R2118" s="222">
        <v>2960</v>
      </c>
      <c r="S2118" s="222">
        <v>0</v>
      </c>
      <c r="T2118" s="222">
        <v>2960</v>
      </c>
      <c r="U2118" s="223">
        <v>1200</v>
      </c>
      <c r="Z2118" s="184">
        <v>0.1</v>
      </c>
      <c r="AA2118" s="141">
        <v>0.1</v>
      </c>
    </row>
    <row r="2119" spans="1:27" ht="28" customHeight="1" x14ac:dyDescent="0.2">
      <c r="A2119" s="156" t="s">
        <v>6559</v>
      </c>
      <c r="B2119" s="118" t="e">
        <f t="shared" si="251"/>
        <v>#VALUE!</v>
      </c>
      <c r="C2119" t="s">
        <v>6152</v>
      </c>
      <c r="D2119" s="157">
        <v>42894</v>
      </c>
      <c r="E2119" s="157">
        <v>42948</v>
      </c>
      <c r="F2119" s="84">
        <f t="shared" si="252"/>
        <v>46600</v>
      </c>
      <c r="G2119" s="183">
        <v>880</v>
      </c>
      <c r="H2119" s="118" t="s">
        <v>6530</v>
      </c>
      <c r="I2119" s="118" t="s">
        <v>6531</v>
      </c>
      <c r="J2119" s="173"/>
      <c r="K2119" s="55">
        <f t="shared" si="253"/>
        <v>2027</v>
      </c>
      <c r="L2119" s="174" t="s">
        <v>6557</v>
      </c>
      <c r="M2119" s="174" t="s">
        <v>6253</v>
      </c>
      <c r="N2119" s="213" t="s">
        <v>6560</v>
      </c>
      <c r="Q2119" s="159"/>
      <c r="R2119" s="222">
        <v>3240</v>
      </c>
      <c r="S2119" s="222">
        <v>0</v>
      </c>
      <c r="T2119" s="222">
        <v>3240</v>
      </c>
      <c r="U2119" s="223">
        <v>1320</v>
      </c>
      <c r="Z2119" s="184">
        <v>0.1</v>
      </c>
      <c r="AA2119" s="141">
        <v>0.1</v>
      </c>
    </row>
    <row r="2120" spans="1:27" ht="28" customHeight="1" x14ac:dyDescent="0.2">
      <c r="A2120" s="156" t="s">
        <v>6561</v>
      </c>
      <c r="B2120" s="118" t="e">
        <f t="shared" si="251"/>
        <v>#VALUE!</v>
      </c>
      <c r="C2120" t="s">
        <v>6152</v>
      </c>
      <c r="D2120" s="157">
        <v>42894</v>
      </c>
      <c r="E2120" s="157">
        <v>42948</v>
      </c>
      <c r="F2120" s="84">
        <f t="shared" si="252"/>
        <v>46600</v>
      </c>
      <c r="G2120" s="183">
        <v>870.79</v>
      </c>
      <c r="H2120" s="118" t="s">
        <v>6530</v>
      </c>
      <c r="I2120" s="118" t="s">
        <v>6531</v>
      </c>
      <c r="J2120" s="213"/>
      <c r="K2120" s="55">
        <f t="shared" si="253"/>
        <v>2027</v>
      </c>
      <c r="L2120" s="174" t="s">
        <v>6557</v>
      </c>
      <c r="M2120" s="174" t="s">
        <v>6253</v>
      </c>
      <c r="N2120" s="213" t="s">
        <v>6562</v>
      </c>
      <c r="Q2120" s="159"/>
      <c r="R2120" s="222">
        <v>4079.5</v>
      </c>
      <c r="S2120" s="222">
        <v>0</v>
      </c>
      <c r="T2120" s="222">
        <v>4079.5</v>
      </c>
      <c r="U2120" s="223">
        <v>1306.5</v>
      </c>
      <c r="Z2120" s="184">
        <v>0.1</v>
      </c>
      <c r="AA2120" s="141">
        <v>0.1</v>
      </c>
    </row>
    <row r="2121" spans="1:27" ht="28" customHeight="1" x14ac:dyDescent="0.2">
      <c r="A2121" s="156" t="s">
        <v>6563</v>
      </c>
      <c r="B2121" s="118" t="e">
        <f t="shared" si="251"/>
        <v>#VALUE!</v>
      </c>
      <c r="C2121" t="s">
        <v>6152</v>
      </c>
      <c r="D2121" s="157">
        <v>42894</v>
      </c>
      <c r="E2121" s="157">
        <v>42948</v>
      </c>
      <c r="F2121" s="84">
        <f t="shared" si="252"/>
        <v>46600</v>
      </c>
      <c r="G2121" s="183">
        <v>880</v>
      </c>
      <c r="H2121" s="118" t="s">
        <v>6530</v>
      </c>
      <c r="I2121" s="118" t="s">
        <v>6531</v>
      </c>
      <c r="J2121" s="213"/>
      <c r="K2121" s="55">
        <f t="shared" si="253"/>
        <v>2027</v>
      </c>
      <c r="L2121" s="175" t="s">
        <v>6532</v>
      </c>
      <c r="M2121" s="174" t="s">
        <v>6253</v>
      </c>
      <c r="N2121" s="213" t="s">
        <v>6564</v>
      </c>
      <c r="Q2121" s="159"/>
      <c r="R2121" s="222">
        <v>3240</v>
      </c>
      <c r="S2121" s="222">
        <v>0</v>
      </c>
      <c r="T2121" s="222">
        <v>3240</v>
      </c>
      <c r="U2121" s="223">
        <v>1320</v>
      </c>
      <c r="Z2121" s="184">
        <v>0.1</v>
      </c>
      <c r="AA2121" s="141">
        <v>0.1</v>
      </c>
    </row>
    <row r="2122" spans="1:27" ht="16" x14ac:dyDescent="0.2">
      <c r="A2122" s="156" t="s">
        <v>6565</v>
      </c>
      <c r="B2122" s="118" t="e">
        <f t="shared" si="251"/>
        <v>#VALUE!</v>
      </c>
      <c r="C2122" t="s">
        <v>6152</v>
      </c>
      <c r="D2122" s="157">
        <v>42894</v>
      </c>
      <c r="E2122" s="157">
        <v>42948</v>
      </c>
      <c r="F2122" s="84">
        <f t="shared" si="252"/>
        <v>46600</v>
      </c>
      <c r="G2122" s="183">
        <v>200.32</v>
      </c>
      <c r="H2122" s="118" t="s">
        <v>6530</v>
      </c>
      <c r="I2122" s="118" t="s">
        <v>6531</v>
      </c>
      <c r="J2122" s="213"/>
      <c r="K2122" s="55">
        <f t="shared" si="253"/>
        <v>2027</v>
      </c>
      <c r="L2122" s="175" t="s">
        <v>6532</v>
      </c>
      <c r="M2122" s="174" t="s">
        <v>6253</v>
      </c>
      <c r="N2122" s="213" t="s">
        <v>6566</v>
      </c>
      <c r="Q2122" s="159"/>
      <c r="R2122" s="222">
        <v>863.5</v>
      </c>
      <c r="S2122" s="222">
        <v>0</v>
      </c>
      <c r="T2122" s="222">
        <v>863.5</v>
      </c>
      <c r="U2122" s="223">
        <v>301.5</v>
      </c>
      <c r="Z2122" s="184">
        <v>0.1</v>
      </c>
      <c r="AA2122" s="141">
        <v>0.1</v>
      </c>
    </row>
    <row r="2123" spans="1:27" ht="56" customHeight="1" x14ac:dyDescent="0.2">
      <c r="A2123" s="156" t="s">
        <v>6567</v>
      </c>
      <c r="B2123" s="118" t="e">
        <f t="shared" si="251"/>
        <v>#VALUE!</v>
      </c>
      <c r="C2123" t="s">
        <v>6152</v>
      </c>
      <c r="D2123" s="157">
        <v>42894</v>
      </c>
      <c r="E2123" s="157">
        <v>42948</v>
      </c>
      <c r="F2123" s="84">
        <f t="shared" si="252"/>
        <v>46600</v>
      </c>
      <c r="G2123" s="183">
        <v>1400.84</v>
      </c>
      <c r="H2123" s="118" t="s">
        <v>6530</v>
      </c>
      <c r="I2123" s="118" t="s">
        <v>6531</v>
      </c>
      <c r="J2123" s="213"/>
      <c r="K2123" s="55">
        <f t="shared" si="253"/>
        <v>2027</v>
      </c>
      <c r="L2123" s="175" t="s">
        <v>6532</v>
      </c>
      <c r="M2123" s="174" t="s">
        <v>6253</v>
      </c>
      <c r="N2123" s="213" t="s">
        <v>6568</v>
      </c>
      <c r="Q2123" s="159"/>
      <c r="R2123" s="222">
        <v>5063.5</v>
      </c>
      <c r="S2123" s="222">
        <v>0</v>
      </c>
      <c r="T2123" s="222">
        <v>5063.5</v>
      </c>
      <c r="U2123" s="223">
        <v>2101.5</v>
      </c>
      <c r="Z2123" s="184">
        <v>0.1</v>
      </c>
      <c r="AA2123" s="141">
        <v>0.1</v>
      </c>
    </row>
    <row r="2124" spans="1:27" ht="56" customHeight="1" x14ac:dyDescent="0.2">
      <c r="A2124" s="156" t="s">
        <v>6569</v>
      </c>
      <c r="B2124" s="118" t="e">
        <f t="shared" si="251"/>
        <v>#VALUE!</v>
      </c>
      <c r="C2124" t="s">
        <v>6152</v>
      </c>
      <c r="D2124" s="157">
        <v>42894</v>
      </c>
      <c r="E2124" s="157">
        <v>42948</v>
      </c>
      <c r="F2124" s="84">
        <f t="shared" si="252"/>
        <v>46600</v>
      </c>
      <c r="G2124" s="183">
        <v>800</v>
      </c>
      <c r="H2124" s="118" t="s">
        <v>6530</v>
      </c>
      <c r="I2124" s="118" t="s">
        <v>6531</v>
      </c>
      <c r="J2124" s="213"/>
      <c r="K2124" s="55">
        <f t="shared" si="253"/>
        <v>2027</v>
      </c>
      <c r="L2124" s="175" t="s">
        <v>6532</v>
      </c>
      <c r="M2124" s="174" t="s">
        <v>6253</v>
      </c>
      <c r="N2124" s="213" t="s">
        <v>6570</v>
      </c>
      <c r="Q2124" s="159"/>
      <c r="R2124" s="222">
        <v>2960</v>
      </c>
      <c r="S2124" s="222">
        <v>0</v>
      </c>
      <c r="T2124" s="222">
        <v>2960</v>
      </c>
      <c r="U2124" s="223">
        <v>1200</v>
      </c>
      <c r="Z2124" s="184">
        <v>0.1</v>
      </c>
      <c r="AA2124" s="141">
        <v>0.1</v>
      </c>
    </row>
    <row r="2125" spans="1:27" ht="42" customHeight="1" x14ac:dyDescent="0.2">
      <c r="A2125" s="156" t="s">
        <v>6571</v>
      </c>
      <c r="B2125" s="118" t="e">
        <f t="shared" si="251"/>
        <v>#VALUE!</v>
      </c>
      <c r="C2125" t="s">
        <v>6152</v>
      </c>
      <c r="D2125" s="157">
        <v>42894</v>
      </c>
      <c r="E2125" s="157">
        <v>42948</v>
      </c>
      <c r="F2125" s="84">
        <f t="shared" si="252"/>
        <v>46600</v>
      </c>
      <c r="G2125" s="176">
        <v>1274.56</v>
      </c>
      <c r="H2125" s="118" t="s">
        <v>6530</v>
      </c>
      <c r="I2125" s="118" t="s">
        <v>6531</v>
      </c>
      <c r="J2125" s="213"/>
      <c r="K2125" s="55">
        <f t="shared" si="253"/>
        <v>2027</v>
      </c>
      <c r="L2125" s="175" t="s">
        <v>6532</v>
      </c>
      <c r="M2125" s="174" t="s">
        <v>6253</v>
      </c>
      <c r="N2125" s="213" t="s">
        <v>6572</v>
      </c>
      <c r="Q2125" s="159"/>
      <c r="R2125" s="222">
        <v>4622.5</v>
      </c>
      <c r="S2125" s="222">
        <v>0</v>
      </c>
      <c r="T2125" s="222">
        <v>4622.5</v>
      </c>
      <c r="U2125" s="292">
        <v>1912.5</v>
      </c>
      <c r="V2125" s="293"/>
      <c r="W2125" s="293"/>
      <c r="X2125" s="292"/>
      <c r="Z2125" s="184">
        <v>0.1</v>
      </c>
      <c r="AA2125" s="141">
        <v>0.1</v>
      </c>
    </row>
    <row r="2126" spans="1:27" ht="28" customHeight="1" x14ac:dyDescent="0.2">
      <c r="A2126" s="156" t="s">
        <v>6573</v>
      </c>
      <c r="B2126" s="118" t="e">
        <f t="shared" si="251"/>
        <v>#VALUE!</v>
      </c>
      <c r="C2126" t="s">
        <v>6152</v>
      </c>
      <c r="D2126" s="157">
        <v>42894</v>
      </c>
      <c r="E2126" s="157">
        <v>42948</v>
      </c>
      <c r="F2126" s="84">
        <f t="shared" si="252"/>
        <v>46600</v>
      </c>
      <c r="G2126" s="183">
        <v>1920</v>
      </c>
      <c r="H2126" s="118" t="s">
        <v>6530</v>
      </c>
      <c r="I2126" s="118" t="s">
        <v>6531</v>
      </c>
      <c r="J2126" s="213"/>
      <c r="K2126" s="55">
        <f t="shared" si="253"/>
        <v>2027</v>
      </c>
      <c r="L2126" s="175" t="s">
        <v>6532</v>
      </c>
      <c r="M2126" s="174" t="s">
        <v>6253</v>
      </c>
      <c r="N2126" s="213" t="s">
        <v>6574</v>
      </c>
      <c r="Q2126" s="159"/>
      <c r="R2126" s="222">
        <v>6880</v>
      </c>
      <c r="S2126" s="222">
        <v>0</v>
      </c>
      <c r="T2126" s="222">
        <v>6880</v>
      </c>
      <c r="U2126" s="223">
        <v>2880</v>
      </c>
      <c r="Z2126" s="184">
        <v>0.1</v>
      </c>
      <c r="AA2126" s="141">
        <v>0.1</v>
      </c>
    </row>
    <row r="2127" spans="1:27" ht="28" customHeight="1" x14ac:dyDescent="0.2">
      <c r="A2127" s="156" t="s">
        <v>6575</v>
      </c>
      <c r="B2127" s="118" t="e">
        <f t="shared" si="251"/>
        <v>#VALUE!</v>
      </c>
      <c r="C2127" t="s">
        <v>6152</v>
      </c>
      <c r="D2127" s="157">
        <v>42894</v>
      </c>
      <c r="E2127" s="157">
        <v>42948</v>
      </c>
      <c r="F2127" s="84">
        <f t="shared" si="252"/>
        <v>46600</v>
      </c>
      <c r="G2127" s="176">
        <v>460.16</v>
      </c>
      <c r="H2127" s="118" t="s">
        <v>6530</v>
      </c>
      <c r="I2127" s="118" t="s">
        <v>6531</v>
      </c>
      <c r="J2127" s="213"/>
      <c r="K2127" s="55">
        <f t="shared" si="253"/>
        <v>2027</v>
      </c>
      <c r="L2127" s="175" t="s">
        <v>6557</v>
      </c>
      <c r="M2127" s="175" t="s">
        <v>6256</v>
      </c>
      <c r="N2127" s="213" t="s">
        <v>6576</v>
      </c>
      <c r="Q2127" s="159"/>
      <c r="R2127" s="222">
        <v>1773.5</v>
      </c>
      <c r="S2127" s="222">
        <v>0</v>
      </c>
      <c r="T2127" s="222">
        <v>1773.5</v>
      </c>
      <c r="U2127" s="292">
        <v>691.5</v>
      </c>
      <c r="V2127" s="293"/>
      <c r="W2127" s="293"/>
      <c r="X2127" s="292"/>
      <c r="Z2127" s="184">
        <v>0.1</v>
      </c>
      <c r="AA2127" s="141">
        <v>0.1</v>
      </c>
    </row>
    <row r="2128" spans="1:27" ht="16" x14ac:dyDescent="0.2">
      <c r="A2128" s="156" t="s">
        <v>6577</v>
      </c>
      <c r="B2128" s="118" t="e">
        <f t="shared" si="251"/>
        <v>#VALUE!</v>
      </c>
      <c r="C2128" t="s">
        <v>6152</v>
      </c>
      <c r="D2128" s="157">
        <v>42894</v>
      </c>
      <c r="E2128" s="157">
        <v>42948</v>
      </c>
      <c r="F2128" s="84">
        <f t="shared" si="252"/>
        <v>46600</v>
      </c>
      <c r="G2128" s="183">
        <v>151.68</v>
      </c>
      <c r="H2128" s="118" t="s">
        <v>6530</v>
      </c>
      <c r="I2128" s="118" t="s">
        <v>6531</v>
      </c>
      <c r="J2128" s="213"/>
      <c r="K2128" s="55">
        <f t="shared" si="253"/>
        <v>2027</v>
      </c>
      <c r="L2128" s="175" t="s">
        <v>6557</v>
      </c>
      <c r="M2128" s="175" t="s">
        <v>6256</v>
      </c>
      <c r="N2128" s="213" t="s">
        <v>6578</v>
      </c>
      <c r="Q2128" s="159"/>
      <c r="R2128" s="222">
        <v>692</v>
      </c>
      <c r="S2128" s="222">
        <v>0</v>
      </c>
      <c r="T2128" s="222">
        <v>692</v>
      </c>
      <c r="U2128" s="223">
        <v>228</v>
      </c>
      <c r="Z2128" s="184">
        <v>0.1</v>
      </c>
      <c r="AA2128" s="141">
        <v>0.1</v>
      </c>
    </row>
    <row r="2129" spans="1:28" ht="42" customHeight="1" x14ac:dyDescent="0.2">
      <c r="A2129" s="156" t="s">
        <v>6579</v>
      </c>
      <c r="B2129" s="118" t="e">
        <f t="shared" si="251"/>
        <v>#VALUE!</v>
      </c>
      <c r="C2129" t="s">
        <v>6152</v>
      </c>
      <c r="D2129" s="157">
        <v>42894</v>
      </c>
      <c r="E2129" s="157">
        <v>42948</v>
      </c>
      <c r="F2129" s="84">
        <f t="shared" si="252"/>
        <v>46600</v>
      </c>
      <c r="G2129" s="183">
        <v>283.36</v>
      </c>
      <c r="H2129" s="118" t="s">
        <v>6530</v>
      </c>
      <c r="I2129" s="118" t="s">
        <v>6531</v>
      </c>
      <c r="J2129" s="213"/>
      <c r="K2129" s="55">
        <f t="shared" si="253"/>
        <v>2027</v>
      </c>
      <c r="L2129" s="175" t="s">
        <v>6557</v>
      </c>
      <c r="M2129" s="175" t="s">
        <v>6256</v>
      </c>
      <c r="N2129" s="213" t="s">
        <v>6580</v>
      </c>
      <c r="Q2129" s="159"/>
      <c r="R2129" s="222">
        <v>3710</v>
      </c>
      <c r="S2129" s="222">
        <v>0</v>
      </c>
      <c r="T2129" s="222">
        <v>3710</v>
      </c>
      <c r="U2129" s="223">
        <v>426</v>
      </c>
      <c r="Z2129" s="184">
        <v>0.1</v>
      </c>
      <c r="AA2129" s="141">
        <v>0.1</v>
      </c>
    </row>
    <row r="2130" spans="1:28" ht="16" hidden="1" x14ac:dyDescent="0.2">
      <c r="A2130" s="118"/>
      <c r="D2130" s="157"/>
      <c r="E2130" s="157"/>
      <c r="F2130" s="157"/>
      <c r="G2130" s="177"/>
      <c r="J2130" s="213"/>
      <c r="K2130" s="213"/>
      <c r="L2130" s="175"/>
      <c r="M2130" s="175"/>
      <c r="N2130" s="213" t="s">
        <v>6581</v>
      </c>
      <c r="Q2130" s="159"/>
      <c r="R2130" s="283">
        <v>114801</v>
      </c>
      <c r="S2130" s="283">
        <v>0</v>
      </c>
      <c r="T2130" s="283">
        <v>114801</v>
      </c>
      <c r="U2130" s="294"/>
      <c r="V2130" s="295"/>
      <c r="W2130" s="295"/>
      <c r="X2130" s="294"/>
      <c r="Z2130" s="184"/>
      <c r="AA2130" s="141"/>
    </row>
    <row r="2131" spans="1:28" ht="15" hidden="1" customHeight="1" thickTop="1" x14ac:dyDescent="0.2">
      <c r="G2131" s="178"/>
      <c r="J2131" s="213"/>
      <c r="K2131" s="213"/>
      <c r="L2131" s="175"/>
      <c r="M2131" s="175"/>
      <c r="N2131" s="213" t="s">
        <v>6581</v>
      </c>
      <c r="Q2131" s="179"/>
      <c r="R2131" s="296"/>
      <c r="S2131" s="296"/>
      <c r="T2131" s="296"/>
      <c r="U2131" s="297"/>
      <c r="V2131" s="298"/>
      <c r="W2131" s="298"/>
      <c r="X2131" s="297"/>
      <c r="Z2131" s="180"/>
      <c r="AA2131" s="181"/>
      <c r="AB2131" s="182"/>
    </row>
    <row r="2132" spans="1:28" ht="16" x14ac:dyDescent="0.2">
      <c r="A2132" s="156" t="s">
        <v>6582</v>
      </c>
      <c r="B2132" s="118" t="e">
        <f t="shared" ref="B2132:B2137" si="254">IF(COUNTIF(GIS,A2132),"YES","NO")</f>
        <v>#VALUE!</v>
      </c>
      <c r="C2132" t="s">
        <v>6152</v>
      </c>
      <c r="D2132" s="157">
        <v>42894</v>
      </c>
      <c r="E2132" s="157">
        <v>43132</v>
      </c>
      <c r="F2132" s="84">
        <f t="shared" ref="F2132:F2137" si="255">DATE(YEAR(E2132)+10,MONTH(E2132),DAY(E2132))</f>
        <v>46784</v>
      </c>
      <c r="G2132" s="183">
        <v>40</v>
      </c>
      <c r="H2132" s="118" t="s">
        <v>1163</v>
      </c>
      <c r="I2132" s="118" t="s">
        <v>812</v>
      </c>
      <c r="J2132" s="131"/>
      <c r="K2132" s="55">
        <f t="shared" ref="K2132:K2137" si="256">YEAR(F2132)</f>
        <v>2028</v>
      </c>
      <c r="L2132" s="158" t="s">
        <v>6583</v>
      </c>
      <c r="M2132" s="158" t="s">
        <v>6584</v>
      </c>
      <c r="N2132" s="213" t="s">
        <v>6585</v>
      </c>
      <c r="Q2132" s="159"/>
      <c r="R2132" s="222">
        <v>300</v>
      </c>
      <c r="S2132" s="222">
        <v>960</v>
      </c>
      <c r="T2132" s="222">
        <v>1260</v>
      </c>
      <c r="U2132" s="223">
        <v>60</v>
      </c>
      <c r="Z2132" s="184">
        <v>0.1</v>
      </c>
      <c r="AA2132" s="141">
        <v>0.1</v>
      </c>
    </row>
    <row r="2133" spans="1:28" ht="56" customHeight="1" x14ac:dyDescent="0.2">
      <c r="A2133" s="156" t="s">
        <v>6586</v>
      </c>
      <c r="B2133" s="118" t="e">
        <f t="shared" si="254"/>
        <v>#VALUE!</v>
      </c>
      <c r="C2133" t="s">
        <v>6152</v>
      </c>
      <c r="D2133" s="157">
        <v>42894</v>
      </c>
      <c r="E2133" s="157">
        <v>43132</v>
      </c>
      <c r="F2133" s="84">
        <f t="shared" si="255"/>
        <v>46784</v>
      </c>
      <c r="G2133" s="183">
        <v>8.76</v>
      </c>
      <c r="H2133" s="118" t="s">
        <v>1163</v>
      </c>
      <c r="I2133" s="118" t="s">
        <v>812</v>
      </c>
      <c r="J2133" s="131"/>
      <c r="K2133" s="55">
        <f t="shared" si="256"/>
        <v>2028</v>
      </c>
      <c r="L2133" s="158" t="s">
        <v>6392</v>
      </c>
      <c r="M2133" s="158" t="s">
        <v>6584</v>
      </c>
      <c r="N2133" s="213" t="s">
        <v>6587</v>
      </c>
      <c r="Q2133" s="159"/>
      <c r="R2133" s="222">
        <v>191.5</v>
      </c>
      <c r="S2133" s="222">
        <v>99</v>
      </c>
      <c r="T2133" s="222">
        <v>290.5</v>
      </c>
      <c r="U2133" s="223">
        <v>13.5</v>
      </c>
      <c r="Z2133" s="184">
        <v>0.1</v>
      </c>
      <c r="AA2133" s="141">
        <v>0.1</v>
      </c>
    </row>
    <row r="2134" spans="1:28" ht="28" customHeight="1" x14ac:dyDescent="0.2">
      <c r="A2134" s="156" t="s">
        <v>6588</v>
      </c>
      <c r="B2134" s="118" t="e">
        <f t="shared" si="254"/>
        <v>#VALUE!</v>
      </c>
      <c r="C2134" t="s">
        <v>6152</v>
      </c>
      <c r="D2134" s="157">
        <v>42894</v>
      </c>
      <c r="E2134" s="157">
        <v>43132</v>
      </c>
      <c r="F2134" s="84">
        <f t="shared" si="255"/>
        <v>46784</v>
      </c>
      <c r="G2134" s="183">
        <v>229.53</v>
      </c>
      <c r="H2134" s="118" t="s">
        <v>3048</v>
      </c>
      <c r="I2134" s="118" t="s">
        <v>614</v>
      </c>
      <c r="J2134" s="131" t="s">
        <v>6589</v>
      </c>
      <c r="K2134" s="55">
        <f t="shared" si="256"/>
        <v>2028</v>
      </c>
      <c r="L2134" s="158"/>
      <c r="M2134" s="158"/>
      <c r="N2134" s="213" t="s">
        <v>6590</v>
      </c>
      <c r="Q2134" s="159"/>
      <c r="R2134" s="222">
        <v>965</v>
      </c>
      <c r="S2134" s="222">
        <v>17020</v>
      </c>
      <c r="T2134" s="222">
        <v>17985</v>
      </c>
      <c r="U2134" s="223">
        <v>345</v>
      </c>
      <c r="Z2134" s="184">
        <v>0.1</v>
      </c>
      <c r="AA2134" s="141">
        <v>0.1</v>
      </c>
    </row>
    <row r="2135" spans="1:28" ht="28" customHeight="1" x14ac:dyDescent="0.2">
      <c r="A2135" s="156" t="s">
        <v>6591</v>
      </c>
      <c r="B2135" s="118" t="e">
        <f t="shared" si="254"/>
        <v>#VALUE!</v>
      </c>
      <c r="C2135" t="s">
        <v>6152</v>
      </c>
      <c r="D2135" s="157">
        <v>42894</v>
      </c>
      <c r="E2135" s="157">
        <v>43132</v>
      </c>
      <c r="F2135" s="84">
        <f t="shared" si="255"/>
        <v>46784</v>
      </c>
      <c r="G2135" s="183">
        <v>173.93</v>
      </c>
      <c r="H2135" s="118" t="s">
        <v>3048</v>
      </c>
      <c r="I2135" s="118" t="s">
        <v>614</v>
      </c>
      <c r="J2135" s="131" t="s">
        <v>6589</v>
      </c>
      <c r="K2135" s="55">
        <f t="shared" si="256"/>
        <v>2028</v>
      </c>
      <c r="L2135" s="158"/>
      <c r="M2135" s="158"/>
      <c r="N2135" s="213" t="s">
        <v>6592</v>
      </c>
      <c r="Q2135" s="159"/>
      <c r="R2135" s="222">
        <v>769</v>
      </c>
      <c r="S2135" s="222">
        <v>6786</v>
      </c>
      <c r="T2135" s="222">
        <v>7555</v>
      </c>
      <c r="U2135" s="223">
        <v>261</v>
      </c>
      <c r="Z2135" s="184">
        <v>0.1</v>
      </c>
      <c r="AA2135" s="141">
        <v>0.1</v>
      </c>
    </row>
    <row r="2136" spans="1:28" ht="27" customHeight="1" x14ac:dyDescent="0.2">
      <c r="A2136" s="156" t="s">
        <v>6593</v>
      </c>
      <c r="B2136" s="118" t="e">
        <f t="shared" si="254"/>
        <v>#VALUE!</v>
      </c>
      <c r="C2136" t="s">
        <v>6152</v>
      </c>
      <c r="D2136" s="157">
        <v>42894</v>
      </c>
      <c r="E2136" s="157">
        <v>43132</v>
      </c>
      <c r="F2136" s="84">
        <f t="shared" si="255"/>
        <v>46784</v>
      </c>
      <c r="G2136" s="183">
        <v>167.77</v>
      </c>
      <c r="H2136" s="118" t="s">
        <v>853</v>
      </c>
      <c r="I2136" s="118" t="s">
        <v>614</v>
      </c>
      <c r="J2136" s="131" t="s">
        <v>6589</v>
      </c>
      <c r="K2136" s="55">
        <f t="shared" si="256"/>
        <v>2028</v>
      </c>
      <c r="L2136" s="158"/>
      <c r="M2136" s="158"/>
      <c r="N2136" s="213" t="s">
        <v>6594</v>
      </c>
      <c r="Q2136" s="159"/>
      <c r="R2136" s="222">
        <v>748</v>
      </c>
      <c r="S2136" s="222">
        <v>33432</v>
      </c>
      <c r="T2136" s="222">
        <v>34180</v>
      </c>
      <c r="U2136" s="223">
        <v>252</v>
      </c>
      <c r="Z2136" s="184">
        <v>0.1</v>
      </c>
      <c r="AA2136" s="141">
        <v>0.1</v>
      </c>
    </row>
    <row r="2137" spans="1:28" ht="16" x14ac:dyDescent="0.2">
      <c r="A2137" s="156" t="s">
        <v>6595</v>
      </c>
      <c r="B2137" s="118" t="e">
        <f t="shared" si="254"/>
        <v>#VALUE!</v>
      </c>
      <c r="C2137" t="s">
        <v>6152</v>
      </c>
      <c r="D2137" s="157">
        <v>42894</v>
      </c>
      <c r="E2137" s="157">
        <v>43132</v>
      </c>
      <c r="F2137" s="84">
        <f t="shared" si="255"/>
        <v>46784</v>
      </c>
      <c r="G2137" s="183">
        <v>153</v>
      </c>
      <c r="H2137" s="118" t="s">
        <v>816</v>
      </c>
      <c r="I2137" s="118" t="s">
        <v>614</v>
      </c>
      <c r="J2137" s="131"/>
      <c r="K2137" s="55">
        <f t="shared" si="256"/>
        <v>2028</v>
      </c>
      <c r="L2137" s="158"/>
      <c r="M2137" s="158"/>
      <c r="N2137" s="213" t="s">
        <v>6596</v>
      </c>
      <c r="Q2137" s="159"/>
      <c r="R2137" s="299">
        <v>695.5</v>
      </c>
      <c r="S2137" s="299">
        <v>8262</v>
      </c>
      <c r="T2137" s="299">
        <v>8957.5</v>
      </c>
      <c r="U2137" s="223">
        <v>229.5</v>
      </c>
      <c r="Z2137" s="184">
        <v>0.1</v>
      </c>
      <c r="AA2137" s="141">
        <v>0.1</v>
      </c>
    </row>
    <row r="2138" spans="1:28" ht="16" hidden="1" x14ac:dyDescent="0.2">
      <c r="A2138" s="118"/>
      <c r="D2138" s="157"/>
      <c r="E2138" s="157"/>
      <c r="F2138" s="157"/>
      <c r="G2138" s="183"/>
      <c r="J2138" s="131"/>
      <c r="K2138" s="131"/>
      <c r="L2138" s="158"/>
      <c r="M2138" s="158"/>
      <c r="N2138" s="213" t="s">
        <v>6581</v>
      </c>
      <c r="Q2138" s="159"/>
      <c r="R2138" s="283">
        <v>185724.5</v>
      </c>
      <c r="S2138" s="283">
        <v>66559</v>
      </c>
      <c r="T2138" s="283">
        <v>70228</v>
      </c>
      <c r="Z2138" s="184"/>
      <c r="AA2138" s="141"/>
    </row>
    <row r="2139" spans="1:28" ht="15" hidden="1" customHeight="1" thickTop="1" x14ac:dyDescent="0.2">
      <c r="A2139" s="118"/>
      <c r="E2139" s="118"/>
      <c r="F2139" s="118"/>
      <c r="G2139" s="183"/>
      <c r="J2139" s="131"/>
      <c r="K2139" s="131"/>
      <c r="L2139" s="158"/>
      <c r="M2139" s="158"/>
      <c r="N2139" s="213" t="s">
        <v>6581</v>
      </c>
      <c r="Q2139" s="164"/>
      <c r="R2139" s="291"/>
      <c r="S2139" s="291"/>
      <c r="T2139" s="291"/>
      <c r="Z2139" s="184"/>
      <c r="AA2139" s="141"/>
    </row>
    <row r="2140" spans="1:28" ht="16" x14ac:dyDescent="0.2">
      <c r="A2140" s="156" t="s">
        <v>6597</v>
      </c>
      <c r="B2140" s="118" t="e">
        <f t="shared" ref="B2140:B2146" si="257">IF(COUNTIF(GIS,A2140),"YES","NO")</f>
        <v>#VALUE!</v>
      </c>
      <c r="C2140" t="s">
        <v>6152</v>
      </c>
      <c r="D2140" s="157">
        <v>42999</v>
      </c>
      <c r="E2140" s="157">
        <v>43070</v>
      </c>
      <c r="F2140" s="84">
        <f t="shared" ref="F2140:F2146" si="258">DATE(YEAR(E2140)+10,MONTH(E2140),DAY(E2140))</f>
        <v>46722</v>
      </c>
      <c r="G2140" s="183">
        <v>81.31</v>
      </c>
      <c r="H2140" s="118" t="s">
        <v>6598</v>
      </c>
      <c r="I2140" s="118" t="s">
        <v>6599</v>
      </c>
      <c r="J2140" s="131"/>
      <c r="K2140" s="55">
        <f t="shared" ref="K2140:K2146" si="259">YEAR(F2140)</f>
        <v>2027</v>
      </c>
      <c r="L2140" s="158" t="s">
        <v>6600</v>
      </c>
      <c r="M2140" s="158" t="s">
        <v>6601</v>
      </c>
      <c r="N2140" s="213" t="s">
        <v>6602</v>
      </c>
      <c r="Q2140" s="159"/>
      <c r="R2140" s="287">
        <v>447</v>
      </c>
      <c r="S2140" s="287">
        <v>12792</v>
      </c>
      <c r="T2140" s="287">
        <v>13239</v>
      </c>
      <c r="U2140" s="223">
        <v>123</v>
      </c>
      <c r="Z2140" s="184">
        <v>0.1</v>
      </c>
      <c r="AA2140" s="141">
        <v>0.1</v>
      </c>
    </row>
    <row r="2141" spans="1:28" ht="56" customHeight="1" x14ac:dyDescent="0.2">
      <c r="A2141" s="156" t="s">
        <v>6603</v>
      </c>
      <c r="B2141" s="118" t="e">
        <f t="shared" si="257"/>
        <v>#VALUE!</v>
      </c>
      <c r="C2141" t="s">
        <v>6152</v>
      </c>
      <c r="D2141" s="157">
        <v>42999</v>
      </c>
      <c r="E2141" s="157">
        <v>43070</v>
      </c>
      <c r="F2141" s="84">
        <f t="shared" si="258"/>
        <v>46722</v>
      </c>
      <c r="G2141" s="183">
        <v>1217</v>
      </c>
      <c r="H2141" s="118" t="s">
        <v>6598</v>
      </c>
      <c r="I2141" s="118" t="s">
        <v>6599</v>
      </c>
      <c r="J2141" s="131"/>
      <c r="K2141" s="55">
        <f t="shared" si="259"/>
        <v>2027</v>
      </c>
      <c r="L2141" s="158" t="s">
        <v>6604</v>
      </c>
      <c r="M2141" s="158" t="s">
        <v>6605</v>
      </c>
      <c r="N2141" s="213" t="s">
        <v>6606</v>
      </c>
      <c r="Q2141" s="159"/>
      <c r="R2141" s="222">
        <v>4419.5</v>
      </c>
      <c r="S2141" s="222">
        <v>68152</v>
      </c>
      <c r="T2141" s="222">
        <v>72571.5</v>
      </c>
      <c r="U2141" s="223">
        <v>1825.5</v>
      </c>
      <c r="Z2141" s="184">
        <v>0.1</v>
      </c>
      <c r="AA2141" s="141">
        <v>0.1</v>
      </c>
    </row>
    <row r="2142" spans="1:28" ht="28" customHeight="1" x14ac:dyDescent="0.2">
      <c r="A2142" s="156" t="s">
        <v>6607</v>
      </c>
      <c r="B2142" s="118" t="e">
        <f t="shared" si="257"/>
        <v>#VALUE!</v>
      </c>
      <c r="C2142" t="s">
        <v>6152</v>
      </c>
      <c r="D2142" s="157">
        <v>42999</v>
      </c>
      <c r="E2142" s="157">
        <v>43070</v>
      </c>
      <c r="F2142" s="84">
        <f t="shared" si="258"/>
        <v>46722</v>
      </c>
      <c r="G2142" s="183">
        <v>81.86</v>
      </c>
      <c r="H2142" s="118" t="s">
        <v>6598</v>
      </c>
      <c r="I2142" s="118" t="s">
        <v>6599</v>
      </c>
      <c r="J2142" s="131"/>
      <c r="K2142" s="55">
        <f t="shared" si="259"/>
        <v>2027</v>
      </c>
      <c r="L2142" s="158" t="s">
        <v>6608</v>
      </c>
      <c r="M2142" s="158" t="s">
        <v>6605</v>
      </c>
      <c r="N2142" s="213" t="s">
        <v>6609</v>
      </c>
      <c r="Q2142" s="159"/>
      <c r="R2142" s="222">
        <v>447</v>
      </c>
      <c r="S2142" s="222">
        <v>4592</v>
      </c>
      <c r="T2142" s="222">
        <v>5039</v>
      </c>
      <c r="U2142" s="223">
        <v>123</v>
      </c>
      <c r="Z2142" s="184">
        <v>0.1</v>
      </c>
      <c r="AA2142" s="141">
        <v>0.1</v>
      </c>
    </row>
    <row r="2143" spans="1:28" ht="56" customHeight="1" x14ac:dyDescent="0.2">
      <c r="A2143" s="156" t="s">
        <v>6610</v>
      </c>
      <c r="B2143" s="118" t="e">
        <f t="shared" si="257"/>
        <v>#VALUE!</v>
      </c>
      <c r="C2143" t="s">
        <v>6152</v>
      </c>
      <c r="D2143" s="157">
        <v>42999</v>
      </c>
      <c r="E2143" s="157">
        <v>43070</v>
      </c>
      <c r="F2143" s="84">
        <f t="shared" si="258"/>
        <v>46722</v>
      </c>
      <c r="G2143" s="183">
        <v>451.05</v>
      </c>
      <c r="H2143" s="118" t="s">
        <v>6598</v>
      </c>
      <c r="I2143" s="118" t="s">
        <v>6599</v>
      </c>
      <c r="J2143" s="131"/>
      <c r="K2143" s="55">
        <f t="shared" si="259"/>
        <v>2027</v>
      </c>
      <c r="L2143" s="158" t="s">
        <v>6600</v>
      </c>
      <c r="M2143" s="158" t="s">
        <v>6605</v>
      </c>
      <c r="N2143" s="213" t="s">
        <v>6611</v>
      </c>
      <c r="Q2143" s="159"/>
      <c r="R2143" s="222">
        <v>16827.5</v>
      </c>
      <c r="S2143" s="222">
        <v>7062.5</v>
      </c>
      <c r="T2143" s="222">
        <v>23890</v>
      </c>
      <c r="U2143" s="223">
        <v>678</v>
      </c>
      <c r="Z2143" s="184">
        <v>0.1</v>
      </c>
      <c r="AA2143" s="141">
        <v>0.1</v>
      </c>
    </row>
    <row r="2144" spans="1:28" ht="16" x14ac:dyDescent="0.2">
      <c r="A2144" s="156" t="s">
        <v>6612</v>
      </c>
      <c r="B2144" s="118" t="e">
        <f t="shared" si="257"/>
        <v>#VALUE!</v>
      </c>
      <c r="C2144" t="s">
        <v>6152</v>
      </c>
      <c r="D2144" s="157">
        <v>42999</v>
      </c>
      <c r="E2144" s="157">
        <v>43070</v>
      </c>
      <c r="F2144" s="84">
        <f t="shared" si="258"/>
        <v>46722</v>
      </c>
      <c r="G2144" s="183">
        <v>42.12</v>
      </c>
      <c r="H2144" s="118" t="s">
        <v>6598</v>
      </c>
      <c r="I2144" s="118" t="s">
        <v>6599</v>
      </c>
      <c r="J2144" s="131"/>
      <c r="K2144" s="55">
        <f t="shared" si="259"/>
        <v>2027</v>
      </c>
      <c r="L2144" s="158" t="s">
        <v>6600</v>
      </c>
      <c r="M2144" s="158" t="s">
        <v>6605</v>
      </c>
      <c r="N2144" s="213" t="s">
        <v>6613</v>
      </c>
      <c r="Q2144" s="159"/>
      <c r="R2144" s="222">
        <v>310.5</v>
      </c>
      <c r="S2144" s="222">
        <v>903</v>
      </c>
      <c r="T2144" s="222">
        <v>1213.5</v>
      </c>
      <c r="U2144" s="223">
        <v>64.5</v>
      </c>
      <c r="Z2144" s="184">
        <v>0.1</v>
      </c>
      <c r="AA2144" s="141">
        <v>0.1</v>
      </c>
    </row>
    <row r="2145" spans="1:27" ht="70" customHeight="1" x14ac:dyDescent="0.2">
      <c r="A2145" s="156" t="s">
        <v>6614</v>
      </c>
      <c r="B2145" s="118" t="e">
        <f t="shared" si="257"/>
        <v>#VALUE!</v>
      </c>
      <c r="C2145" t="s">
        <v>6152</v>
      </c>
      <c r="D2145" s="157">
        <v>42999</v>
      </c>
      <c r="E2145" s="157">
        <v>43070</v>
      </c>
      <c r="F2145" s="84">
        <f t="shared" si="258"/>
        <v>46722</v>
      </c>
      <c r="G2145" s="183">
        <v>270.55</v>
      </c>
      <c r="H2145" s="118" t="s">
        <v>6598</v>
      </c>
      <c r="I2145" s="118" t="s">
        <v>6599</v>
      </c>
      <c r="J2145" s="131"/>
      <c r="K2145" s="55">
        <f t="shared" si="259"/>
        <v>2027</v>
      </c>
      <c r="L2145" s="158" t="s">
        <v>6600</v>
      </c>
      <c r="M2145" s="158" t="s">
        <v>6615</v>
      </c>
      <c r="N2145" s="213" t="s">
        <v>6616</v>
      </c>
      <c r="Q2145" s="159"/>
      <c r="R2145" s="222">
        <v>1108.5</v>
      </c>
      <c r="S2145" s="222">
        <v>14363</v>
      </c>
      <c r="T2145" s="222">
        <v>15471.5</v>
      </c>
      <c r="U2145" s="223">
        <v>406.5</v>
      </c>
      <c r="Z2145" s="184">
        <v>0.1</v>
      </c>
      <c r="AA2145" s="141">
        <v>0.1</v>
      </c>
    </row>
    <row r="2146" spans="1:27" ht="16" x14ac:dyDescent="0.2">
      <c r="A2146" s="156" t="s">
        <v>6617</v>
      </c>
      <c r="B2146" s="118" t="e">
        <f t="shared" si="257"/>
        <v>#VALUE!</v>
      </c>
      <c r="C2146" t="s">
        <v>6152</v>
      </c>
      <c r="D2146" s="157">
        <v>42999</v>
      </c>
      <c r="E2146" s="157">
        <v>43070</v>
      </c>
      <c r="F2146" s="84">
        <f t="shared" si="258"/>
        <v>46722</v>
      </c>
      <c r="G2146" s="183">
        <v>80</v>
      </c>
      <c r="H2146" s="118" t="s">
        <v>6598</v>
      </c>
      <c r="I2146" s="118" t="s">
        <v>6599</v>
      </c>
      <c r="J2146" s="131"/>
      <c r="K2146" s="55">
        <f t="shared" si="259"/>
        <v>2027</v>
      </c>
      <c r="L2146" s="158" t="s">
        <v>6618</v>
      </c>
      <c r="M2146" s="158" t="s">
        <v>6615</v>
      </c>
      <c r="N2146" s="213" t="s">
        <v>6619</v>
      </c>
      <c r="Q2146" s="159"/>
      <c r="R2146" s="299">
        <v>440</v>
      </c>
      <c r="S2146" s="299">
        <v>1520</v>
      </c>
      <c r="T2146" s="299">
        <v>1960</v>
      </c>
      <c r="U2146" s="223">
        <v>120</v>
      </c>
      <c r="Z2146" s="184">
        <v>0.1</v>
      </c>
      <c r="AA2146" s="141">
        <v>0.1</v>
      </c>
    </row>
    <row r="2147" spans="1:27" ht="16" hidden="1" x14ac:dyDescent="0.2">
      <c r="A2147" s="118"/>
      <c r="D2147" s="157"/>
      <c r="E2147" s="157"/>
      <c r="F2147" s="157"/>
      <c r="G2147" s="183"/>
      <c r="J2147" s="131"/>
      <c r="K2147" s="131"/>
      <c r="L2147" s="158"/>
      <c r="M2147" s="158"/>
      <c r="N2147" s="213" t="s">
        <v>6581</v>
      </c>
      <c r="Q2147" s="159"/>
      <c r="R2147" s="283">
        <v>24000</v>
      </c>
      <c r="S2147" s="283">
        <v>109384.5</v>
      </c>
      <c r="T2147" s="283">
        <v>133384.5</v>
      </c>
      <c r="Z2147" s="184"/>
      <c r="AA2147" s="141"/>
    </row>
    <row r="2148" spans="1:27" ht="15" hidden="1" customHeight="1" thickTop="1" x14ac:dyDescent="0.2">
      <c r="A2148" s="118"/>
      <c r="E2148" s="118"/>
      <c r="F2148" s="118"/>
      <c r="G2148" s="183"/>
      <c r="J2148" s="131"/>
      <c r="K2148" s="131"/>
      <c r="L2148" s="158"/>
      <c r="M2148" s="158"/>
      <c r="N2148" s="213" t="s">
        <v>6581</v>
      </c>
      <c r="Q2148" s="164"/>
      <c r="R2148" s="291"/>
      <c r="S2148" s="291"/>
      <c r="T2148" s="291"/>
      <c r="Z2148" s="184"/>
      <c r="AA2148" s="141"/>
    </row>
    <row r="2149" spans="1:27" ht="16" x14ac:dyDescent="0.2">
      <c r="A2149" s="156" t="s">
        <v>6620</v>
      </c>
      <c r="B2149" s="118" t="e">
        <f t="shared" ref="B2149:B2160" si="260">IF(COUNTIF(GIS,A2149),"YES","NO")</f>
        <v>#VALUE!</v>
      </c>
      <c r="C2149" t="s">
        <v>6152</v>
      </c>
      <c r="D2149" s="157">
        <v>42990</v>
      </c>
      <c r="E2149" s="157">
        <v>43040</v>
      </c>
      <c r="F2149" s="84">
        <f t="shared" ref="F2149:F2160" si="261">DATE(YEAR(E2149)+10,MONTH(E2149),DAY(E2149))</f>
        <v>46692</v>
      </c>
      <c r="G2149" s="183">
        <v>80</v>
      </c>
      <c r="H2149" s="118" t="s">
        <v>6049</v>
      </c>
      <c r="I2149" s="118" t="s">
        <v>6050</v>
      </c>
      <c r="J2149" s="131"/>
      <c r="K2149" s="55">
        <f t="shared" ref="K2149:K2160" si="262">YEAR(F2149)</f>
        <v>2027</v>
      </c>
      <c r="L2149" s="158" t="s">
        <v>6525</v>
      </c>
      <c r="M2149" s="158" t="s">
        <v>6330</v>
      </c>
      <c r="N2149" s="213" t="s">
        <v>6621</v>
      </c>
      <c r="Q2149" s="159"/>
      <c r="R2149" s="222">
        <v>440</v>
      </c>
      <c r="S2149" s="222">
        <v>2480</v>
      </c>
      <c r="T2149" s="222">
        <v>2920</v>
      </c>
      <c r="U2149" s="223">
        <v>120</v>
      </c>
      <c r="Z2149" s="184">
        <v>0.1</v>
      </c>
      <c r="AA2149" s="141">
        <v>0.1</v>
      </c>
    </row>
    <row r="2150" spans="1:27" ht="32" x14ac:dyDescent="0.2">
      <c r="A2150" s="156" t="s">
        <v>6622</v>
      </c>
      <c r="B2150" s="118" t="e">
        <f t="shared" si="260"/>
        <v>#VALUE!</v>
      </c>
      <c r="C2150" t="s">
        <v>6152</v>
      </c>
      <c r="D2150" s="157">
        <v>42990</v>
      </c>
      <c r="E2150" s="157">
        <v>43040</v>
      </c>
      <c r="F2150" s="84">
        <f t="shared" si="261"/>
        <v>46692</v>
      </c>
      <c r="G2150" s="183">
        <v>120</v>
      </c>
      <c r="H2150" s="118" t="s">
        <v>6049</v>
      </c>
      <c r="I2150" s="118" t="s">
        <v>6050</v>
      </c>
      <c r="J2150" s="131"/>
      <c r="K2150" s="55">
        <f t="shared" si="262"/>
        <v>2027</v>
      </c>
      <c r="L2150" s="158" t="s">
        <v>6525</v>
      </c>
      <c r="M2150" s="158" t="s">
        <v>6330</v>
      </c>
      <c r="N2150" s="213" t="s">
        <v>6623</v>
      </c>
      <c r="Q2150" s="159"/>
      <c r="R2150" s="222">
        <v>580</v>
      </c>
      <c r="S2150" s="222">
        <v>3720</v>
      </c>
      <c r="T2150" s="222">
        <v>4300</v>
      </c>
      <c r="U2150" s="223">
        <v>180</v>
      </c>
      <c r="Z2150" s="184">
        <v>0.1</v>
      </c>
      <c r="AA2150" s="141">
        <v>0.1</v>
      </c>
    </row>
    <row r="2151" spans="1:27" ht="16" x14ac:dyDescent="0.2">
      <c r="A2151" s="156" t="s">
        <v>6624</v>
      </c>
      <c r="B2151" s="118" t="e">
        <f t="shared" si="260"/>
        <v>#VALUE!</v>
      </c>
      <c r="C2151" t="s">
        <v>6152</v>
      </c>
      <c r="D2151" s="157">
        <v>42990</v>
      </c>
      <c r="E2151" s="157">
        <v>43040</v>
      </c>
      <c r="F2151" s="84">
        <f t="shared" si="261"/>
        <v>46692</v>
      </c>
      <c r="G2151" s="183">
        <v>240</v>
      </c>
      <c r="H2151" s="118" t="s">
        <v>6049</v>
      </c>
      <c r="I2151" s="118" t="s">
        <v>6050</v>
      </c>
      <c r="J2151" s="131"/>
      <c r="K2151" s="55">
        <f t="shared" si="262"/>
        <v>2027</v>
      </c>
      <c r="L2151" s="158" t="s">
        <v>6525</v>
      </c>
      <c r="M2151" s="158" t="s">
        <v>6330</v>
      </c>
      <c r="N2151" s="213" t="s">
        <v>6625</v>
      </c>
      <c r="Q2151" s="159"/>
      <c r="R2151" s="222">
        <v>1000</v>
      </c>
      <c r="S2151" s="222">
        <v>7440</v>
      </c>
      <c r="T2151" s="222">
        <v>8440</v>
      </c>
      <c r="U2151" s="223">
        <v>360</v>
      </c>
      <c r="Z2151" s="184">
        <v>0.1</v>
      </c>
      <c r="AA2151" s="141">
        <v>0.1</v>
      </c>
    </row>
    <row r="2152" spans="1:27" ht="16" x14ac:dyDescent="0.2">
      <c r="A2152" s="156" t="s">
        <v>6626</v>
      </c>
      <c r="B2152" s="118" t="e">
        <f t="shared" si="260"/>
        <v>#VALUE!</v>
      </c>
      <c r="C2152" t="s">
        <v>6152</v>
      </c>
      <c r="D2152" s="157">
        <v>42990</v>
      </c>
      <c r="E2152" s="157">
        <v>43040</v>
      </c>
      <c r="F2152" s="84">
        <f t="shared" si="261"/>
        <v>46692</v>
      </c>
      <c r="G2152" s="183">
        <v>40</v>
      </c>
      <c r="H2152" s="118" t="s">
        <v>6049</v>
      </c>
      <c r="I2152" s="118" t="s">
        <v>6050</v>
      </c>
      <c r="J2152" s="131"/>
      <c r="K2152" s="55">
        <f t="shared" si="262"/>
        <v>2027</v>
      </c>
      <c r="L2152" s="158" t="s">
        <v>6525</v>
      </c>
      <c r="M2152" s="158" t="s">
        <v>6330</v>
      </c>
      <c r="N2152" s="213" t="s">
        <v>6627</v>
      </c>
      <c r="Q2152" s="159"/>
      <c r="R2152" s="222">
        <v>300</v>
      </c>
      <c r="S2152" s="222">
        <v>1680</v>
      </c>
      <c r="T2152" s="222">
        <v>1980</v>
      </c>
      <c r="U2152" s="223">
        <v>60</v>
      </c>
      <c r="Z2152" s="184">
        <v>0.1</v>
      </c>
      <c r="AA2152" s="141">
        <v>0.1</v>
      </c>
    </row>
    <row r="2153" spans="1:27" ht="70" customHeight="1" x14ac:dyDescent="0.2">
      <c r="A2153" s="156" t="s">
        <v>6628</v>
      </c>
      <c r="B2153" s="118" t="e">
        <f t="shared" si="260"/>
        <v>#VALUE!</v>
      </c>
      <c r="C2153" t="s">
        <v>6152</v>
      </c>
      <c r="D2153" s="157">
        <v>42990</v>
      </c>
      <c r="E2153" s="157">
        <v>43040</v>
      </c>
      <c r="F2153" s="84">
        <f t="shared" si="261"/>
        <v>46692</v>
      </c>
      <c r="G2153" s="183">
        <v>320</v>
      </c>
      <c r="H2153" s="118" t="s">
        <v>6049</v>
      </c>
      <c r="I2153" s="118" t="s">
        <v>6050</v>
      </c>
      <c r="J2153" s="131"/>
      <c r="K2153" s="55">
        <f t="shared" si="262"/>
        <v>2027</v>
      </c>
      <c r="L2153" s="158" t="s">
        <v>6525</v>
      </c>
      <c r="M2153" s="158" t="s">
        <v>6330</v>
      </c>
      <c r="N2153" s="213" t="s">
        <v>6629</v>
      </c>
      <c r="Q2153" s="159"/>
      <c r="R2153" s="222">
        <v>1280</v>
      </c>
      <c r="S2153" s="222">
        <v>9920</v>
      </c>
      <c r="T2153" s="222">
        <v>11200</v>
      </c>
      <c r="U2153" s="223">
        <v>480</v>
      </c>
      <c r="Z2153" s="184">
        <v>0.1</v>
      </c>
      <c r="AA2153" s="141">
        <v>0.1</v>
      </c>
    </row>
    <row r="2154" spans="1:27" ht="28" customHeight="1" x14ac:dyDescent="0.2">
      <c r="A2154" s="156" t="s">
        <v>6630</v>
      </c>
      <c r="B2154" s="118" t="e">
        <f t="shared" si="260"/>
        <v>#VALUE!</v>
      </c>
      <c r="C2154" t="s">
        <v>6152</v>
      </c>
      <c r="D2154" s="157">
        <v>42990</v>
      </c>
      <c r="E2154" s="157">
        <v>43040</v>
      </c>
      <c r="F2154" s="84">
        <f t="shared" si="261"/>
        <v>46692</v>
      </c>
      <c r="G2154" s="183">
        <v>80</v>
      </c>
      <c r="H2154" s="118" t="s">
        <v>6049</v>
      </c>
      <c r="I2154" s="118" t="s">
        <v>6050</v>
      </c>
      <c r="J2154" s="131"/>
      <c r="K2154" s="55">
        <f t="shared" si="262"/>
        <v>2027</v>
      </c>
      <c r="L2154" s="158" t="s">
        <v>6525</v>
      </c>
      <c r="M2154" s="158" t="s">
        <v>6330</v>
      </c>
      <c r="N2154" s="213" t="s">
        <v>6631</v>
      </c>
      <c r="Q2154" s="159"/>
      <c r="R2154" s="222">
        <v>440</v>
      </c>
      <c r="S2154" s="222">
        <v>4000</v>
      </c>
      <c r="T2154" s="222">
        <v>4440</v>
      </c>
      <c r="U2154" s="223">
        <v>120</v>
      </c>
      <c r="Z2154" s="184">
        <v>0.1</v>
      </c>
      <c r="AA2154" s="141">
        <v>0.1</v>
      </c>
    </row>
    <row r="2155" spans="1:27" ht="16" x14ac:dyDescent="0.2">
      <c r="A2155" s="156" t="s">
        <v>6632</v>
      </c>
      <c r="B2155" s="118" t="e">
        <f t="shared" si="260"/>
        <v>#VALUE!</v>
      </c>
      <c r="C2155" t="s">
        <v>6152</v>
      </c>
      <c r="D2155" s="157">
        <v>42990</v>
      </c>
      <c r="E2155" s="157">
        <v>43040</v>
      </c>
      <c r="F2155" s="84">
        <f t="shared" si="261"/>
        <v>46692</v>
      </c>
      <c r="G2155" s="183">
        <v>605.6</v>
      </c>
      <c r="H2155" s="118" t="s">
        <v>6049</v>
      </c>
      <c r="I2155" s="118" t="s">
        <v>6050</v>
      </c>
      <c r="J2155" s="131"/>
      <c r="K2155" s="55">
        <f t="shared" si="262"/>
        <v>2027</v>
      </c>
      <c r="L2155" s="158" t="s">
        <v>6388</v>
      </c>
      <c r="M2155" s="158" t="s">
        <v>6330</v>
      </c>
      <c r="N2155" s="213" t="s">
        <v>6633</v>
      </c>
      <c r="Q2155" s="159"/>
      <c r="R2155" s="222">
        <v>2281</v>
      </c>
      <c r="S2155" s="222">
        <v>30906</v>
      </c>
      <c r="T2155" s="222">
        <v>33187</v>
      </c>
      <c r="U2155" s="223">
        <v>909</v>
      </c>
      <c r="Z2155" s="184">
        <v>0.1</v>
      </c>
      <c r="AA2155" s="141">
        <v>0.1</v>
      </c>
    </row>
    <row r="2156" spans="1:27" ht="16" x14ac:dyDescent="0.2">
      <c r="A2156" s="156" t="s">
        <v>6634</v>
      </c>
      <c r="B2156" s="118" t="e">
        <f t="shared" si="260"/>
        <v>#VALUE!</v>
      </c>
      <c r="C2156" t="s">
        <v>6152</v>
      </c>
      <c r="D2156" s="157">
        <v>42990</v>
      </c>
      <c r="E2156" s="157">
        <v>43040</v>
      </c>
      <c r="F2156" s="84">
        <f t="shared" si="261"/>
        <v>46692</v>
      </c>
      <c r="G2156" s="183">
        <v>640</v>
      </c>
      <c r="H2156" s="118" t="s">
        <v>6049</v>
      </c>
      <c r="I2156" s="118" t="s">
        <v>6050</v>
      </c>
      <c r="J2156" s="131"/>
      <c r="K2156" s="55">
        <f t="shared" si="262"/>
        <v>2027</v>
      </c>
      <c r="L2156" s="158" t="s">
        <v>6388</v>
      </c>
      <c r="M2156" s="158" t="s">
        <v>6330</v>
      </c>
      <c r="N2156" s="213" t="s">
        <v>6635</v>
      </c>
      <c r="Q2156" s="159"/>
      <c r="R2156" s="222">
        <v>2400</v>
      </c>
      <c r="S2156" s="222">
        <v>37760</v>
      </c>
      <c r="T2156" s="222">
        <v>40160</v>
      </c>
      <c r="U2156" s="223">
        <v>960</v>
      </c>
      <c r="Z2156" s="184">
        <v>0.1</v>
      </c>
      <c r="AA2156" s="141">
        <v>0.1</v>
      </c>
    </row>
    <row r="2157" spans="1:27" ht="28" customHeight="1" x14ac:dyDescent="0.2">
      <c r="A2157" s="156" t="s">
        <v>6636</v>
      </c>
      <c r="B2157" s="118" t="e">
        <f t="shared" si="260"/>
        <v>#VALUE!</v>
      </c>
      <c r="C2157" t="s">
        <v>6152</v>
      </c>
      <c r="D2157" s="157">
        <v>42990</v>
      </c>
      <c r="E2157" s="157">
        <v>43040</v>
      </c>
      <c r="F2157" s="84">
        <f t="shared" si="261"/>
        <v>46692</v>
      </c>
      <c r="G2157" s="183">
        <v>640</v>
      </c>
      <c r="H2157" s="118" t="s">
        <v>6049</v>
      </c>
      <c r="I2157" s="118" t="s">
        <v>6050</v>
      </c>
      <c r="J2157" s="131"/>
      <c r="K2157" s="55">
        <f t="shared" si="262"/>
        <v>2027</v>
      </c>
      <c r="L2157" s="158" t="s">
        <v>6388</v>
      </c>
      <c r="M2157" s="158" t="s">
        <v>6330</v>
      </c>
      <c r="N2157" s="213" t="s">
        <v>6637</v>
      </c>
      <c r="Q2157" s="159"/>
      <c r="R2157" s="222">
        <v>2400</v>
      </c>
      <c r="S2157" s="222">
        <v>44160</v>
      </c>
      <c r="T2157" s="222">
        <v>46560</v>
      </c>
      <c r="U2157" s="223">
        <v>960</v>
      </c>
      <c r="Z2157" s="184">
        <v>0.1</v>
      </c>
      <c r="AA2157" s="141">
        <v>0.1</v>
      </c>
    </row>
    <row r="2158" spans="1:27" ht="16" x14ac:dyDescent="0.2">
      <c r="A2158" s="156" t="s">
        <v>6638</v>
      </c>
      <c r="B2158" s="118" t="e">
        <f t="shared" si="260"/>
        <v>#VALUE!</v>
      </c>
      <c r="C2158" t="s">
        <v>6152</v>
      </c>
      <c r="D2158" s="157">
        <v>42990</v>
      </c>
      <c r="E2158" s="157">
        <v>43040</v>
      </c>
      <c r="F2158" s="84">
        <f t="shared" si="261"/>
        <v>46692</v>
      </c>
      <c r="G2158" s="183">
        <v>640</v>
      </c>
      <c r="H2158" s="118" t="s">
        <v>6049</v>
      </c>
      <c r="I2158" s="118" t="s">
        <v>6050</v>
      </c>
      <c r="J2158" s="131"/>
      <c r="K2158" s="55">
        <f t="shared" si="262"/>
        <v>2027</v>
      </c>
      <c r="L2158" s="158" t="s">
        <v>6388</v>
      </c>
      <c r="M2158" s="158" t="s">
        <v>6330</v>
      </c>
      <c r="N2158" s="213" t="s">
        <v>6639</v>
      </c>
      <c r="Q2158" s="159"/>
      <c r="R2158" s="222">
        <v>2400</v>
      </c>
      <c r="S2158" s="222">
        <v>50560</v>
      </c>
      <c r="T2158" s="222">
        <v>52960</v>
      </c>
      <c r="U2158" s="223">
        <v>960</v>
      </c>
      <c r="Z2158" s="184">
        <v>0.1</v>
      </c>
      <c r="AA2158" s="141">
        <v>0.1</v>
      </c>
    </row>
    <row r="2159" spans="1:27" ht="28" customHeight="1" x14ac:dyDescent="0.2">
      <c r="A2159" s="156" t="s">
        <v>6640</v>
      </c>
      <c r="B2159" s="118" t="e">
        <f t="shared" si="260"/>
        <v>#VALUE!</v>
      </c>
      <c r="C2159" t="s">
        <v>6152</v>
      </c>
      <c r="D2159" s="157">
        <v>42990</v>
      </c>
      <c r="E2159" s="157">
        <v>43040</v>
      </c>
      <c r="F2159" s="84">
        <f t="shared" si="261"/>
        <v>46692</v>
      </c>
      <c r="G2159" s="183">
        <v>151.52000000000001</v>
      </c>
      <c r="H2159" s="118" t="s">
        <v>6049</v>
      </c>
      <c r="I2159" s="118" t="s">
        <v>6050</v>
      </c>
      <c r="J2159" s="131"/>
      <c r="K2159" s="55">
        <f t="shared" si="262"/>
        <v>2027</v>
      </c>
      <c r="L2159" s="158" t="s">
        <v>6388</v>
      </c>
      <c r="M2159" s="158" t="s">
        <v>6330</v>
      </c>
      <c r="N2159" s="213" t="s">
        <v>6641</v>
      </c>
      <c r="Q2159" s="159"/>
      <c r="R2159" s="222">
        <v>692</v>
      </c>
      <c r="S2159" s="222">
        <v>13528</v>
      </c>
      <c r="T2159" s="222">
        <v>14220</v>
      </c>
      <c r="U2159" s="223">
        <v>228</v>
      </c>
      <c r="Z2159" s="184">
        <v>0.1</v>
      </c>
      <c r="AA2159" s="141">
        <v>0.1</v>
      </c>
    </row>
    <row r="2160" spans="1:27" ht="56" customHeight="1" x14ac:dyDescent="0.2">
      <c r="A2160" s="156" t="s">
        <v>6642</v>
      </c>
      <c r="B2160" s="118" t="e">
        <f t="shared" si="260"/>
        <v>#VALUE!</v>
      </c>
      <c r="C2160" t="s">
        <v>6152</v>
      </c>
      <c r="D2160" s="157">
        <v>42990</v>
      </c>
      <c r="E2160" s="157">
        <v>43040</v>
      </c>
      <c r="F2160" s="84">
        <f t="shared" si="261"/>
        <v>46692</v>
      </c>
      <c r="G2160" s="183">
        <v>638.16999999999996</v>
      </c>
      <c r="H2160" s="118" t="s">
        <v>6049</v>
      </c>
      <c r="I2160" s="118" t="s">
        <v>6050</v>
      </c>
      <c r="J2160" s="131"/>
      <c r="K2160" s="55">
        <f t="shared" si="262"/>
        <v>2027</v>
      </c>
      <c r="L2160" s="158" t="s">
        <v>6430</v>
      </c>
      <c r="M2160" s="158" t="s">
        <v>6330</v>
      </c>
      <c r="N2160" s="213" t="s">
        <v>6643</v>
      </c>
      <c r="Q2160" s="159"/>
      <c r="R2160" s="299">
        <v>10287</v>
      </c>
      <c r="S2160" s="299">
        <v>48980.5</v>
      </c>
      <c r="T2160" s="299">
        <v>59267.5</v>
      </c>
      <c r="U2160" s="223">
        <v>958.5</v>
      </c>
      <c r="Z2160" s="184">
        <v>0.1</v>
      </c>
      <c r="AA2160" s="141">
        <v>0.1</v>
      </c>
    </row>
    <row r="2161" spans="1:27" ht="16" hidden="1" x14ac:dyDescent="0.2">
      <c r="A2161" s="118"/>
      <c r="D2161" s="157"/>
      <c r="E2161" s="157"/>
      <c r="F2161" s="157"/>
      <c r="G2161" s="183"/>
      <c r="J2161" s="131"/>
      <c r="K2161" s="131"/>
      <c r="L2161" s="158"/>
      <c r="M2161" s="158"/>
      <c r="N2161" s="213" t="s">
        <v>6581</v>
      </c>
      <c r="Q2161" s="159"/>
      <c r="R2161" s="283">
        <v>24500</v>
      </c>
      <c r="S2161" s="283">
        <v>255134.5</v>
      </c>
      <c r="T2161" s="283">
        <v>279634.5</v>
      </c>
      <c r="Z2161" s="184"/>
      <c r="AA2161" s="141"/>
    </row>
    <row r="2162" spans="1:27" ht="15" hidden="1" customHeight="1" thickTop="1" x14ac:dyDescent="0.2">
      <c r="A2162" s="118"/>
      <c r="E2162" s="118"/>
      <c r="F2162" s="118"/>
      <c r="G2162" s="183"/>
      <c r="J2162" s="131"/>
      <c r="K2162" s="131"/>
      <c r="L2162" s="158"/>
      <c r="M2162" s="158"/>
      <c r="N2162" s="213" t="s">
        <v>6581</v>
      </c>
      <c r="Q2162" s="164"/>
      <c r="R2162" s="291"/>
      <c r="S2162" s="291"/>
      <c r="T2162" s="291"/>
      <c r="Z2162" s="184"/>
      <c r="AA2162" s="141"/>
    </row>
    <row r="2163" spans="1:27" ht="16" x14ac:dyDescent="0.2">
      <c r="A2163" s="156" t="s">
        <v>6644</v>
      </c>
      <c r="B2163" s="118" t="e">
        <f t="shared" ref="B2163:B2170" si="263">IF(COUNTIF(GIS,A2163),"YES","NO")</f>
        <v>#VALUE!</v>
      </c>
      <c r="C2163" t="s">
        <v>6152</v>
      </c>
      <c r="D2163" s="157">
        <v>42899</v>
      </c>
      <c r="E2163" s="157">
        <v>42948</v>
      </c>
      <c r="F2163" s="84">
        <f t="shared" ref="F2163:F2170" si="264">DATE(YEAR(E2163)+10,MONTH(E2163),DAY(E2163))</f>
        <v>46600</v>
      </c>
      <c r="G2163" s="183">
        <v>200</v>
      </c>
      <c r="H2163" s="118" t="s">
        <v>6645</v>
      </c>
      <c r="I2163" s="118" t="s">
        <v>6118</v>
      </c>
      <c r="J2163" s="131"/>
      <c r="K2163" s="55">
        <f t="shared" ref="K2163:K2170" si="265">YEAR(F2163)</f>
        <v>2027</v>
      </c>
      <c r="L2163" s="158" t="s">
        <v>6646</v>
      </c>
      <c r="M2163" s="158" t="s">
        <v>6487</v>
      </c>
      <c r="N2163" s="213" t="s">
        <v>6647</v>
      </c>
      <c r="Q2163" s="159"/>
      <c r="R2163" s="222">
        <v>860</v>
      </c>
      <c r="S2163" s="222">
        <v>0</v>
      </c>
      <c r="T2163" s="222">
        <v>860</v>
      </c>
      <c r="U2163" s="223">
        <v>300</v>
      </c>
      <c r="Z2163" s="184">
        <v>0.1</v>
      </c>
      <c r="AA2163" s="141">
        <v>0.1</v>
      </c>
    </row>
    <row r="2164" spans="1:27" ht="16" x14ac:dyDescent="0.2">
      <c r="A2164" s="156" t="s">
        <v>6648</v>
      </c>
      <c r="B2164" s="118" t="e">
        <f t="shared" si="263"/>
        <v>#VALUE!</v>
      </c>
      <c r="C2164" t="s">
        <v>6152</v>
      </c>
      <c r="D2164" s="157">
        <v>42899</v>
      </c>
      <c r="E2164" s="157">
        <v>42948</v>
      </c>
      <c r="F2164" s="84">
        <f t="shared" si="264"/>
        <v>46600</v>
      </c>
      <c r="G2164" s="183">
        <v>346.74</v>
      </c>
      <c r="H2164" s="118" t="s">
        <v>6645</v>
      </c>
      <c r="I2164" s="118" t="s">
        <v>6118</v>
      </c>
      <c r="J2164" s="131"/>
      <c r="K2164" s="55">
        <f t="shared" si="265"/>
        <v>2027</v>
      </c>
      <c r="L2164" s="158" t="s">
        <v>6646</v>
      </c>
      <c r="M2164" s="158" t="s">
        <v>6487</v>
      </c>
      <c r="N2164" s="213" t="s">
        <v>6649</v>
      </c>
      <c r="Q2164" s="159"/>
      <c r="R2164" s="222">
        <v>1374.5</v>
      </c>
      <c r="S2164" s="222">
        <v>0</v>
      </c>
      <c r="T2164" s="222">
        <v>1374.5</v>
      </c>
      <c r="U2164" s="223">
        <v>520.5</v>
      </c>
      <c r="Z2164" s="184">
        <v>0.1</v>
      </c>
      <c r="AA2164" s="141">
        <v>0.1</v>
      </c>
    </row>
    <row r="2165" spans="1:27" ht="16" x14ac:dyDescent="0.2">
      <c r="A2165" s="156" t="s">
        <v>6650</v>
      </c>
      <c r="B2165" s="118" t="e">
        <f t="shared" si="263"/>
        <v>#VALUE!</v>
      </c>
      <c r="C2165" t="s">
        <v>6152</v>
      </c>
      <c r="D2165" s="157">
        <v>42899</v>
      </c>
      <c r="E2165" s="157">
        <v>42948</v>
      </c>
      <c r="F2165" s="84">
        <f t="shared" si="264"/>
        <v>46600</v>
      </c>
      <c r="G2165" s="183">
        <v>200</v>
      </c>
      <c r="H2165" s="118" t="s">
        <v>6645</v>
      </c>
      <c r="I2165" s="118" t="s">
        <v>6118</v>
      </c>
      <c r="J2165" s="131"/>
      <c r="K2165" s="55">
        <f t="shared" si="265"/>
        <v>2027</v>
      </c>
      <c r="L2165" s="158" t="s">
        <v>6646</v>
      </c>
      <c r="M2165" s="158" t="s">
        <v>6487</v>
      </c>
      <c r="N2165" s="213" t="s">
        <v>6651</v>
      </c>
      <c r="Q2165" s="159"/>
      <c r="R2165" s="222">
        <v>860</v>
      </c>
      <c r="S2165" s="222">
        <v>800</v>
      </c>
      <c r="T2165" s="222">
        <v>1660</v>
      </c>
      <c r="U2165" s="223">
        <v>300</v>
      </c>
      <c r="Z2165" s="184">
        <v>0.1</v>
      </c>
      <c r="AA2165" s="141">
        <v>0.1</v>
      </c>
    </row>
    <row r="2166" spans="1:27" ht="28" customHeight="1" x14ac:dyDescent="0.2">
      <c r="A2166" s="156" t="s">
        <v>6652</v>
      </c>
      <c r="B2166" s="118" t="e">
        <f t="shared" si="263"/>
        <v>#VALUE!</v>
      </c>
      <c r="C2166" t="s">
        <v>6152</v>
      </c>
      <c r="D2166" s="157">
        <v>42899</v>
      </c>
      <c r="E2166" s="157">
        <v>42948</v>
      </c>
      <c r="F2166" s="84">
        <f t="shared" si="264"/>
        <v>46600</v>
      </c>
      <c r="G2166" s="183">
        <v>1482.76</v>
      </c>
      <c r="H2166" s="118" t="s">
        <v>6645</v>
      </c>
      <c r="I2166" s="118" t="s">
        <v>6118</v>
      </c>
      <c r="J2166" s="131"/>
      <c r="K2166" s="55">
        <f t="shared" si="265"/>
        <v>2027</v>
      </c>
      <c r="L2166" s="158" t="s">
        <v>6653</v>
      </c>
      <c r="M2166" s="158" t="s">
        <v>6487</v>
      </c>
      <c r="N2166" s="213" t="s">
        <v>6654</v>
      </c>
      <c r="Q2166" s="159"/>
      <c r="R2166" s="222">
        <v>5350.5</v>
      </c>
      <c r="S2166" s="222">
        <v>0</v>
      </c>
      <c r="T2166" s="222">
        <v>5350.5</v>
      </c>
      <c r="U2166" s="223">
        <v>2224.5</v>
      </c>
      <c r="Z2166" s="184">
        <v>0.1</v>
      </c>
      <c r="AA2166" s="141">
        <v>0.1</v>
      </c>
    </row>
    <row r="2167" spans="1:27" ht="28" customHeight="1" x14ac:dyDescent="0.2">
      <c r="A2167" s="156" t="s">
        <v>6655</v>
      </c>
      <c r="B2167" s="118" t="e">
        <f t="shared" si="263"/>
        <v>#VALUE!</v>
      </c>
      <c r="C2167" t="s">
        <v>6152</v>
      </c>
      <c r="D2167" s="157">
        <v>42899</v>
      </c>
      <c r="E2167" s="157">
        <v>42948</v>
      </c>
      <c r="F2167" s="84">
        <f t="shared" si="264"/>
        <v>46600</v>
      </c>
      <c r="G2167" s="183">
        <v>2032.52</v>
      </c>
      <c r="H2167" s="118" t="s">
        <v>6645</v>
      </c>
      <c r="I2167" s="118" t="s">
        <v>6118</v>
      </c>
      <c r="J2167" s="131"/>
      <c r="K2167" s="55">
        <f t="shared" si="265"/>
        <v>2027</v>
      </c>
      <c r="L2167" s="158" t="s">
        <v>6653</v>
      </c>
      <c r="M2167" s="158" t="s">
        <v>6487</v>
      </c>
      <c r="N2167" s="213" t="s">
        <v>6656</v>
      </c>
      <c r="Q2167" s="159"/>
      <c r="R2167" s="222">
        <v>7275.5</v>
      </c>
      <c r="S2167" s="222">
        <v>0</v>
      </c>
      <c r="T2167" s="222">
        <v>7275.5</v>
      </c>
      <c r="U2167" s="223">
        <v>3049.5</v>
      </c>
      <c r="Z2167" s="184">
        <v>0.1</v>
      </c>
      <c r="AA2167" s="141">
        <v>0.1</v>
      </c>
    </row>
    <row r="2168" spans="1:27" ht="16" x14ac:dyDescent="0.2">
      <c r="A2168" s="156" t="s">
        <v>6657</v>
      </c>
      <c r="B2168" s="118" t="e">
        <f t="shared" si="263"/>
        <v>#VALUE!</v>
      </c>
      <c r="C2168" t="s">
        <v>6152</v>
      </c>
      <c r="D2168" s="157">
        <v>42899</v>
      </c>
      <c r="E2168" s="157">
        <v>42948</v>
      </c>
      <c r="F2168" s="84">
        <f t="shared" si="264"/>
        <v>46600</v>
      </c>
      <c r="G2168" s="183">
        <v>677.6</v>
      </c>
      <c r="H2168" s="118" t="s">
        <v>6645</v>
      </c>
      <c r="I2168" s="118" t="s">
        <v>6118</v>
      </c>
      <c r="J2168" s="131"/>
      <c r="K2168" s="55">
        <f t="shared" si="265"/>
        <v>2027</v>
      </c>
      <c r="L2168" s="158" t="s">
        <v>6653</v>
      </c>
      <c r="M2168" s="158" t="s">
        <v>6487</v>
      </c>
      <c r="N2168" s="213" t="s">
        <v>6658</v>
      </c>
      <c r="Q2168" s="159"/>
      <c r="R2168" s="222">
        <v>2533</v>
      </c>
      <c r="S2168" s="222">
        <v>2034</v>
      </c>
      <c r="T2168" s="222">
        <v>4567</v>
      </c>
      <c r="U2168" s="223">
        <v>1017</v>
      </c>
      <c r="Z2168" s="184">
        <v>0.1</v>
      </c>
      <c r="AA2168" s="141">
        <v>0.1</v>
      </c>
    </row>
    <row r="2169" spans="1:27" ht="42" customHeight="1" x14ac:dyDescent="0.2">
      <c r="A2169" s="156" t="s">
        <v>6659</v>
      </c>
      <c r="B2169" s="118" t="e">
        <f t="shared" si="263"/>
        <v>#VALUE!</v>
      </c>
      <c r="C2169" t="s">
        <v>6152</v>
      </c>
      <c r="D2169" s="157">
        <v>42899</v>
      </c>
      <c r="E2169" s="157">
        <v>42948</v>
      </c>
      <c r="F2169" s="84">
        <f t="shared" si="264"/>
        <v>46600</v>
      </c>
      <c r="G2169" s="183">
        <v>1239.2</v>
      </c>
      <c r="H2169" s="118" t="s">
        <v>6660</v>
      </c>
      <c r="I2169" s="118" t="s">
        <v>6118</v>
      </c>
      <c r="J2169" s="131"/>
      <c r="K2169" s="55">
        <f t="shared" si="265"/>
        <v>2027</v>
      </c>
      <c r="L2169" s="158" t="s">
        <v>6661</v>
      </c>
      <c r="M2169" s="158" t="s">
        <v>6330</v>
      </c>
      <c r="N2169" s="213" t="s">
        <v>6662</v>
      </c>
      <c r="Q2169" s="159"/>
      <c r="R2169" s="222">
        <v>4500</v>
      </c>
      <c r="S2169" s="222">
        <v>9920</v>
      </c>
      <c r="T2169" s="222">
        <v>14420</v>
      </c>
      <c r="U2169" s="223">
        <v>1816</v>
      </c>
      <c r="Z2169" s="184">
        <v>0.1</v>
      </c>
      <c r="AA2169" s="141">
        <v>0.1</v>
      </c>
    </row>
    <row r="2170" spans="1:27" ht="56" customHeight="1" x14ac:dyDescent="0.2">
      <c r="A2170" s="156" t="s">
        <v>6663</v>
      </c>
      <c r="B2170" s="118" t="e">
        <f t="shared" si="263"/>
        <v>#VALUE!</v>
      </c>
      <c r="C2170" t="s">
        <v>6152</v>
      </c>
      <c r="D2170" s="157">
        <v>42899</v>
      </c>
      <c r="E2170" s="157">
        <v>42948</v>
      </c>
      <c r="F2170" s="84">
        <f t="shared" si="264"/>
        <v>46600</v>
      </c>
      <c r="G2170" s="183">
        <v>1300.17</v>
      </c>
      <c r="H2170" s="118" t="s">
        <v>6660</v>
      </c>
      <c r="I2170" s="118" t="s">
        <v>6118</v>
      </c>
      <c r="J2170" s="131"/>
      <c r="K2170" s="55">
        <f t="shared" si="265"/>
        <v>2027</v>
      </c>
      <c r="L2170" s="158" t="s">
        <v>6664</v>
      </c>
      <c r="M2170" s="158" t="s">
        <v>6482</v>
      </c>
      <c r="N2170" s="213" t="s">
        <v>6665</v>
      </c>
      <c r="Q2170" s="159"/>
      <c r="R2170" s="299">
        <v>4713.5</v>
      </c>
      <c r="S2170" s="299">
        <v>7806</v>
      </c>
      <c r="T2170" s="299">
        <v>12519.5</v>
      </c>
      <c r="U2170" s="223">
        <v>1951.5</v>
      </c>
      <c r="Z2170" s="184">
        <v>0.1</v>
      </c>
      <c r="AA2170" s="141">
        <v>0.1</v>
      </c>
    </row>
    <row r="2171" spans="1:27" ht="16" hidden="1" x14ac:dyDescent="0.2">
      <c r="A2171" s="118"/>
      <c r="D2171" s="157"/>
      <c r="E2171" s="157"/>
      <c r="F2171" s="157"/>
      <c r="G2171" s="183"/>
      <c r="J2171" s="131"/>
      <c r="K2171" s="131"/>
      <c r="L2171" s="158"/>
      <c r="M2171" s="158"/>
      <c r="N2171" s="213" t="s">
        <v>6581</v>
      </c>
      <c r="Q2171" s="159"/>
      <c r="R2171" s="283">
        <v>27467</v>
      </c>
      <c r="S2171" s="283">
        <v>20560</v>
      </c>
      <c r="T2171" s="283">
        <v>48027</v>
      </c>
      <c r="Z2171" s="184"/>
      <c r="AA2171" s="141"/>
    </row>
    <row r="2172" spans="1:27" ht="15" hidden="1" customHeight="1" thickTop="1" x14ac:dyDescent="0.2">
      <c r="A2172" s="118"/>
      <c r="E2172" s="118"/>
      <c r="F2172" s="118"/>
      <c r="G2172" s="183"/>
      <c r="J2172" s="131"/>
      <c r="K2172" s="131"/>
      <c r="L2172" s="158"/>
      <c r="M2172" s="158"/>
      <c r="N2172" s="213" t="s">
        <v>6581</v>
      </c>
      <c r="Q2172" s="164"/>
      <c r="R2172" s="291"/>
      <c r="S2172" s="291"/>
      <c r="T2172" s="291"/>
      <c r="Z2172" s="184"/>
      <c r="AA2172" s="141"/>
    </row>
    <row r="2173" spans="1:27" ht="16" x14ac:dyDescent="0.2">
      <c r="A2173" s="156" t="s">
        <v>6666</v>
      </c>
      <c r="B2173" s="118" t="e">
        <f>IF(COUNTIF(GIS,A2173),"YES","NO")</f>
        <v>#VALUE!</v>
      </c>
      <c r="C2173" t="s">
        <v>6152</v>
      </c>
      <c r="D2173" s="157">
        <v>42999</v>
      </c>
      <c r="E2173" s="157">
        <v>43070</v>
      </c>
      <c r="F2173" s="84">
        <f>DATE(YEAR(E2173)+10,MONTH(E2173),DAY(E2173))</f>
        <v>46722</v>
      </c>
      <c r="G2173" s="183">
        <v>8.25</v>
      </c>
      <c r="H2173" s="118" t="s">
        <v>6667</v>
      </c>
      <c r="I2173" s="118" t="s">
        <v>684</v>
      </c>
      <c r="J2173" s="131"/>
      <c r="K2173" s="55">
        <f>YEAR(F2173)</f>
        <v>2027</v>
      </c>
      <c r="L2173" s="158" t="s">
        <v>6481</v>
      </c>
      <c r="M2173" s="158" t="s">
        <v>6209</v>
      </c>
      <c r="N2173" s="213" t="s">
        <v>6668</v>
      </c>
      <c r="Q2173" s="159"/>
      <c r="R2173" s="222">
        <v>236.5</v>
      </c>
      <c r="S2173" s="222" t="s">
        <v>6669</v>
      </c>
      <c r="T2173" s="222">
        <v>236.5</v>
      </c>
      <c r="U2173" s="223">
        <v>13.5</v>
      </c>
      <c r="Z2173" s="184">
        <v>0.1</v>
      </c>
      <c r="AA2173" s="141">
        <v>0.1</v>
      </c>
    </row>
    <row r="2174" spans="1:27" ht="16" x14ac:dyDescent="0.2">
      <c r="A2174" s="156" t="s">
        <v>6670</v>
      </c>
      <c r="B2174" s="118" t="e">
        <f>IF(COUNTIF(GIS,A2174),"YES","NO")</f>
        <v>#VALUE!</v>
      </c>
      <c r="C2174" t="s">
        <v>6152</v>
      </c>
      <c r="D2174" s="157">
        <v>42999</v>
      </c>
      <c r="E2174" s="157">
        <v>43070</v>
      </c>
      <c r="F2174" s="84">
        <f>DATE(YEAR(E2174)+10,MONTH(E2174),DAY(E2174))</f>
        <v>46722</v>
      </c>
      <c r="G2174" s="183">
        <v>2</v>
      </c>
      <c r="H2174" s="118" t="s">
        <v>6667</v>
      </c>
      <c r="I2174" s="118" t="s">
        <v>684</v>
      </c>
      <c r="J2174" s="131"/>
      <c r="K2174" s="55">
        <f>YEAR(F2174)</f>
        <v>2027</v>
      </c>
      <c r="L2174" s="158" t="s">
        <v>6481</v>
      </c>
      <c r="M2174" s="158" t="s">
        <v>6209</v>
      </c>
      <c r="N2174" s="213" t="s">
        <v>6671</v>
      </c>
      <c r="Q2174" s="159"/>
      <c r="R2174" s="299">
        <v>215</v>
      </c>
      <c r="S2174" s="299" t="s">
        <v>6669</v>
      </c>
      <c r="T2174" s="299">
        <v>215</v>
      </c>
      <c r="U2174" s="223">
        <v>3</v>
      </c>
      <c r="Z2174" s="184">
        <v>0.1</v>
      </c>
      <c r="AA2174" s="141">
        <v>0.1</v>
      </c>
    </row>
    <row r="2175" spans="1:27" ht="16" hidden="1" x14ac:dyDescent="0.2">
      <c r="A2175" s="118"/>
      <c r="D2175" s="157"/>
      <c r="E2175" s="157"/>
      <c r="F2175" s="157"/>
      <c r="G2175" s="183"/>
      <c r="J2175" s="131"/>
      <c r="K2175" s="131"/>
      <c r="L2175" s="158"/>
      <c r="M2175" s="158"/>
      <c r="N2175" s="213" t="s">
        <v>6581</v>
      </c>
      <c r="Q2175" s="159"/>
      <c r="R2175" s="283">
        <v>451.5</v>
      </c>
      <c r="S2175" s="283">
        <v>0</v>
      </c>
      <c r="T2175" s="283">
        <v>451.5</v>
      </c>
      <c r="Z2175" s="184"/>
      <c r="AA2175" s="141"/>
    </row>
    <row r="2176" spans="1:27" ht="15" hidden="1" customHeight="1" thickTop="1" x14ac:dyDescent="0.2">
      <c r="A2176" s="118"/>
      <c r="E2176" s="118"/>
      <c r="F2176" s="118"/>
      <c r="G2176" s="183"/>
      <c r="J2176" s="131"/>
      <c r="K2176" s="131"/>
      <c r="L2176" s="158"/>
      <c r="M2176" s="158"/>
      <c r="N2176" s="213" t="s">
        <v>6581</v>
      </c>
      <c r="Q2176" s="164"/>
      <c r="R2176" s="291"/>
      <c r="S2176" s="291"/>
      <c r="T2176" s="291"/>
      <c r="Z2176" s="184"/>
      <c r="AA2176" s="141"/>
    </row>
    <row r="2177" spans="1:27" ht="42" customHeight="1" x14ac:dyDescent="0.2">
      <c r="A2177" s="156" t="s">
        <v>6672</v>
      </c>
      <c r="B2177" s="118" t="e">
        <f>IF(COUNTIF(GIS,A2177),"YES","NO")</f>
        <v>#VALUE!</v>
      </c>
      <c r="C2177" t="s">
        <v>6152</v>
      </c>
      <c r="D2177" s="157">
        <v>43083</v>
      </c>
      <c r="E2177" s="157">
        <v>43132</v>
      </c>
      <c r="F2177" s="84">
        <f>DATE(YEAR(E2177)+10,MONTH(E2177),DAY(E2177))</f>
        <v>46784</v>
      </c>
      <c r="G2177" s="183">
        <v>509.67</v>
      </c>
      <c r="H2177" s="118" t="s">
        <v>4839</v>
      </c>
      <c r="I2177" s="118" t="s">
        <v>684</v>
      </c>
      <c r="J2177" s="131"/>
      <c r="K2177" s="55">
        <f>YEAR(F2177)</f>
        <v>2028</v>
      </c>
      <c r="L2177" s="158" t="s">
        <v>6673</v>
      </c>
      <c r="M2177" s="158" t="s">
        <v>6674</v>
      </c>
      <c r="N2177" s="213" t="s">
        <v>6675</v>
      </c>
      <c r="Q2177" s="159"/>
      <c r="R2177" s="222">
        <v>1945</v>
      </c>
      <c r="S2177" s="222">
        <v>22440</v>
      </c>
      <c r="T2177" s="222">
        <v>24385</v>
      </c>
      <c r="U2177" s="223">
        <v>765</v>
      </c>
      <c r="Z2177" s="184">
        <v>0.1</v>
      </c>
      <c r="AA2177" s="141">
        <v>0.1</v>
      </c>
    </row>
    <row r="2178" spans="1:27" ht="16" hidden="1" x14ac:dyDescent="0.2">
      <c r="A2178" s="118"/>
      <c r="E2178" s="118"/>
      <c r="F2178" s="118"/>
      <c r="G2178" s="183"/>
      <c r="J2178" s="131"/>
      <c r="K2178" s="131"/>
      <c r="L2178" s="158"/>
      <c r="M2178" s="158"/>
      <c r="N2178" s="213" t="s">
        <v>6581</v>
      </c>
      <c r="Q2178" s="164"/>
      <c r="Z2178" s="184"/>
      <c r="AA2178" s="141"/>
    </row>
    <row r="2179" spans="1:27" ht="16" x14ac:dyDescent="0.2">
      <c r="A2179" s="156" t="s">
        <v>6676</v>
      </c>
      <c r="B2179" s="118" t="e">
        <f>IF(COUNTIF(GIS,A2179),"YES","NO")</f>
        <v>#VALUE!</v>
      </c>
      <c r="C2179" t="s">
        <v>6152</v>
      </c>
      <c r="D2179" s="157">
        <v>43167</v>
      </c>
      <c r="E2179" s="157">
        <v>43191</v>
      </c>
      <c r="F2179" s="84">
        <f>DATE(YEAR(E2179)+10,MONTH(E2179),DAY(E2179))</f>
        <v>46844</v>
      </c>
      <c r="G2179" s="183">
        <v>80</v>
      </c>
      <c r="H2179" s="118" t="s">
        <v>6677</v>
      </c>
      <c r="I2179" s="118" t="s">
        <v>6531</v>
      </c>
      <c r="J2179" s="131"/>
      <c r="K2179" s="55">
        <f>YEAR(F2179)</f>
        <v>2028</v>
      </c>
      <c r="L2179" s="158" t="s">
        <v>6367</v>
      </c>
      <c r="M2179" s="158" t="s">
        <v>6437</v>
      </c>
      <c r="N2179" s="213" t="s">
        <v>6678</v>
      </c>
      <c r="Q2179" s="159"/>
      <c r="R2179" s="222">
        <v>600</v>
      </c>
      <c r="S2179" s="222">
        <v>0</v>
      </c>
      <c r="T2179" s="222">
        <v>600</v>
      </c>
      <c r="U2179" s="223">
        <v>120</v>
      </c>
      <c r="Z2179" s="184">
        <v>0.1</v>
      </c>
      <c r="AA2179" s="141">
        <v>0.1</v>
      </c>
    </row>
    <row r="2180" spans="1:27" ht="28" customHeight="1" x14ac:dyDescent="0.2">
      <c r="A2180" s="156" t="s">
        <v>6679</v>
      </c>
      <c r="B2180" s="118" t="e">
        <f>IF(COUNTIF(GIS,A2180),"YES","NO")</f>
        <v>#VALUE!</v>
      </c>
      <c r="C2180" t="s">
        <v>6152</v>
      </c>
      <c r="D2180" s="157">
        <v>43167</v>
      </c>
      <c r="E2180" s="157">
        <v>43191</v>
      </c>
      <c r="F2180" s="84">
        <f>DATE(YEAR(E2180)+10,MONTH(E2180),DAY(E2180))</f>
        <v>46844</v>
      </c>
      <c r="G2180" s="183">
        <v>320.31</v>
      </c>
      <c r="H2180" s="118" t="s">
        <v>6680</v>
      </c>
      <c r="I2180" s="118" t="s">
        <v>6531</v>
      </c>
      <c r="J2180" s="131"/>
      <c r="K2180" s="55">
        <f>YEAR(F2180)</f>
        <v>2028</v>
      </c>
      <c r="L2180" s="158" t="s">
        <v>6681</v>
      </c>
      <c r="M2180" s="158" t="s">
        <v>6437</v>
      </c>
      <c r="N2180" s="213" t="s">
        <v>6682</v>
      </c>
      <c r="Q2180" s="159"/>
      <c r="R2180" s="222">
        <v>1283.5</v>
      </c>
      <c r="S2180" s="222" t="s">
        <v>6669</v>
      </c>
      <c r="T2180" s="222">
        <v>1283.5</v>
      </c>
      <c r="U2180" s="223">
        <v>481.5</v>
      </c>
      <c r="Z2180" s="184">
        <v>0.1</v>
      </c>
      <c r="AA2180" s="141">
        <v>0.1</v>
      </c>
    </row>
    <row r="2181" spans="1:27" ht="28" customHeight="1" x14ac:dyDescent="0.2">
      <c r="A2181" s="156" t="s">
        <v>6683</v>
      </c>
      <c r="B2181" s="118" t="e">
        <f>IF(COUNTIF(GIS,A2181),"YES","NO")</f>
        <v>#VALUE!</v>
      </c>
      <c r="C2181" t="s">
        <v>6152</v>
      </c>
      <c r="D2181" s="157">
        <v>43167</v>
      </c>
      <c r="E2181" s="157">
        <v>43191</v>
      </c>
      <c r="F2181" s="84">
        <f>DATE(YEAR(E2181)+10,MONTH(E2181),DAY(E2181))</f>
        <v>46844</v>
      </c>
      <c r="G2181" s="183">
        <v>640</v>
      </c>
      <c r="H2181" s="118" t="s">
        <v>6680</v>
      </c>
      <c r="I2181" s="118" t="s">
        <v>6531</v>
      </c>
      <c r="J2181" s="131"/>
      <c r="K2181" s="55">
        <f>YEAR(F2181)</f>
        <v>2028</v>
      </c>
      <c r="L2181" s="158" t="s">
        <v>6681</v>
      </c>
      <c r="M2181" s="158" t="s">
        <v>6684</v>
      </c>
      <c r="N2181" s="213" t="s">
        <v>6685</v>
      </c>
      <c r="Q2181" s="159"/>
      <c r="R2181" s="222">
        <v>4960</v>
      </c>
      <c r="S2181" s="222">
        <v>0</v>
      </c>
      <c r="T2181" s="222">
        <v>4960</v>
      </c>
      <c r="U2181" s="223">
        <v>960</v>
      </c>
      <c r="Z2181" s="184">
        <v>0.1</v>
      </c>
      <c r="AA2181" s="141">
        <v>0.1</v>
      </c>
    </row>
    <row r="2182" spans="1:27" ht="28" customHeight="1" x14ac:dyDescent="0.2">
      <c r="A2182" s="156" t="s">
        <v>6686</v>
      </c>
      <c r="B2182" s="118" t="e">
        <f>IF(COUNTIF(GIS,A2182),"YES","NO")</f>
        <v>#VALUE!</v>
      </c>
      <c r="C2182" t="s">
        <v>6152</v>
      </c>
      <c r="D2182" s="157">
        <v>43167</v>
      </c>
      <c r="E2182" s="157">
        <v>43191</v>
      </c>
      <c r="F2182" s="84">
        <f>DATE(YEAR(E2182)+10,MONTH(E2182),DAY(E2182))</f>
        <v>46844</v>
      </c>
      <c r="G2182" s="183">
        <v>360</v>
      </c>
      <c r="H2182" s="118" t="s">
        <v>6680</v>
      </c>
      <c r="I2182" s="118" t="s">
        <v>6531</v>
      </c>
      <c r="J2182" s="131"/>
      <c r="K2182" s="55">
        <f>YEAR(F2182)</f>
        <v>2028</v>
      </c>
      <c r="L2182" s="158" t="s">
        <v>6687</v>
      </c>
      <c r="M2182" s="158" t="s">
        <v>6224</v>
      </c>
      <c r="N2182" s="213" t="s">
        <v>6688</v>
      </c>
      <c r="Q2182" s="159"/>
      <c r="R2182" s="299">
        <v>3220</v>
      </c>
      <c r="S2182" s="299">
        <v>0</v>
      </c>
      <c r="T2182" s="299">
        <v>3220</v>
      </c>
      <c r="U2182" s="223">
        <v>540</v>
      </c>
      <c r="Z2182" s="184">
        <v>0.1</v>
      </c>
      <c r="AA2182" s="141">
        <v>0.1</v>
      </c>
    </row>
    <row r="2183" spans="1:27" ht="16" hidden="1" x14ac:dyDescent="0.2">
      <c r="A2183" s="118"/>
      <c r="D2183" s="157"/>
      <c r="E2183" s="157"/>
      <c r="F2183" s="157"/>
      <c r="G2183" s="183"/>
      <c r="J2183" s="131"/>
      <c r="K2183" s="131"/>
      <c r="L2183" s="158"/>
      <c r="M2183" s="158"/>
      <c r="N2183" s="213" t="s">
        <v>6581</v>
      </c>
      <c r="Q2183" s="159"/>
      <c r="R2183" s="283">
        <v>10063.5</v>
      </c>
      <c r="S2183" s="283">
        <v>0</v>
      </c>
      <c r="T2183" s="283">
        <v>10063.5</v>
      </c>
      <c r="Z2183" s="184"/>
      <c r="AA2183" s="141"/>
    </row>
    <row r="2184" spans="1:27" ht="15" hidden="1" customHeight="1" thickTop="1" x14ac:dyDescent="0.2">
      <c r="A2184" s="118"/>
      <c r="E2184" s="118"/>
      <c r="F2184" s="118"/>
      <c r="G2184" s="183"/>
      <c r="J2184" s="131"/>
      <c r="K2184" s="131"/>
      <c r="L2184" s="158"/>
      <c r="M2184" s="158"/>
      <c r="N2184" s="213" t="s">
        <v>6581</v>
      </c>
      <c r="Q2184" s="164"/>
      <c r="R2184" s="291"/>
      <c r="S2184" s="291"/>
      <c r="T2184" s="291"/>
      <c r="Z2184" s="184"/>
      <c r="AA2184" s="141"/>
    </row>
    <row r="2185" spans="1:27" ht="28" customHeight="1" x14ac:dyDescent="0.2">
      <c r="A2185" s="156" t="s">
        <v>6689</v>
      </c>
      <c r="B2185" s="118" t="e">
        <f>IF(COUNTIF(GIS,A2185),"YES","NO")</f>
        <v>#VALUE!</v>
      </c>
      <c r="C2185" t="s">
        <v>6152</v>
      </c>
      <c r="D2185" s="157">
        <v>43181</v>
      </c>
      <c r="E2185" s="157">
        <v>43221</v>
      </c>
      <c r="F2185" s="84">
        <f>DATE(YEAR(E2185)+10,MONTH(E2185),DAY(E2185))</f>
        <v>46874</v>
      </c>
      <c r="G2185" s="183">
        <v>39.65</v>
      </c>
      <c r="H2185" s="118" t="s">
        <v>6690</v>
      </c>
      <c r="I2185" s="118" t="s">
        <v>3447</v>
      </c>
      <c r="J2185" s="131"/>
      <c r="K2185" s="55">
        <f>YEAR(F2185)</f>
        <v>2028</v>
      </c>
      <c r="L2185" s="158" t="s">
        <v>6557</v>
      </c>
      <c r="M2185" s="158" t="s">
        <v>6155</v>
      </c>
      <c r="N2185" s="213" t="s">
        <v>6691</v>
      </c>
      <c r="Q2185" s="159"/>
      <c r="R2185" s="222">
        <v>300</v>
      </c>
      <c r="S2185" s="222" t="s">
        <v>6669</v>
      </c>
      <c r="T2185" s="222">
        <v>300</v>
      </c>
      <c r="U2185" s="223">
        <v>60</v>
      </c>
      <c r="Z2185" s="184">
        <v>0.1</v>
      </c>
      <c r="AA2185" s="141">
        <v>0.1</v>
      </c>
    </row>
    <row r="2186" spans="1:27" ht="70" customHeight="1" x14ac:dyDescent="0.2">
      <c r="A2186" s="156" t="s">
        <v>6692</v>
      </c>
      <c r="B2186" s="118" t="e">
        <f>IF(COUNTIF(GIS,A2186),"YES","NO")</f>
        <v>#VALUE!</v>
      </c>
      <c r="C2186" t="s">
        <v>6152</v>
      </c>
      <c r="D2186" s="157">
        <v>43181</v>
      </c>
      <c r="E2186" s="157">
        <v>43221</v>
      </c>
      <c r="F2186" s="84">
        <f>DATE(YEAR(E2186)+10,MONTH(E2186),DAY(E2186))</f>
        <v>46874</v>
      </c>
      <c r="G2186" s="183">
        <v>305.83999999999997</v>
      </c>
      <c r="H2186" s="118" t="s">
        <v>6693</v>
      </c>
      <c r="I2186" s="118" t="s">
        <v>3447</v>
      </c>
      <c r="J2186" s="131"/>
      <c r="K2186" s="55">
        <f>YEAR(F2186)</f>
        <v>2028</v>
      </c>
      <c r="L2186" s="158" t="s">
        <v>6161</v>
      </c>
      <c r="M2186" s="158" t="s">
        <v>6455</v>
      </c>
      <c r="N2186" s="213" t="s">
        <v>6694</v>
      </c>
      <c r="Q2186" s="159"/>
      <c r="R2186" s="299">
        <v>1537</v>
      </c>
      <c r="S2186" s="299" t="s">
        <v>6669</v>
      </c>
      <c r="T2186" s="299">
        <v>1537</v>
      </c>
      <c r="U2186" s="223">
        <v>459</v>
      </c>
      <c r="Z2186" s="184">
        <v>0.1</v>
      </c>
      <c r="AA2186" s="141">
        <v>0.1</v>
      </c>
    </row>
    <row r="2187" spans="1:27" ht="16" hidden="1" x14ac:dyDescent="0.2">
      <c r="A2187" s="118"/>
      <c r="D2187" s="157"/>
      <c r="E2187" s="157"/>
      <c r="F2187" s="157"/>
      <c r="G2187" s="183"/>
      <c r="J2187" s="131"/>
      <c r="K2187" s="131"/>
      <c r="L2187" s="158"/>
      <c r="M2187" s="158"/>
      <c r="N2187" s="213" t="s">
        <v>6581</v>
      </c>
      <c r="Q2187" s="159"/>
      <c r="R2187" s="283">
        <v>1837</v>
      </c>
      <c r="S2187" s="283">
        <v>0</v>
      </c>
      <c r="T2187" s="283">
        <v>1837</v>
      </c>
      <c r="Z2187" s="184"/>
      <c r="AA2187" s="141"/>
    </row>
    <row r="2188" spans="1:27" ht="15" hidden="1" customHeight="1" thickTop="1" x14ac:dyDescent="0.2">
      <c r="A2188" s="118"/>
      <c r="E2188" s="118"/>
      <c r="F2188" s="118"/>
      <c r="G2188" s="183"/>
      <c r="J2188" s="131"/>
      <c r="K2188" s="131"/>
      <c r="L2188" s="158"/>
      <c r="M2188" s="158"/>
      <c r="N2188" s="213" t="s">
        <v>6581</v>
      </c>
      <c r="Q2188" s="164"/>
      <c r="R2188" s="291"/>
      <c r="S2188" s="291"/>
      <c r="T2188" s="291"/>
      <c r="Z2188" s="184"/>
      <c r="AA2188" s="141"/>
    </row>
    <row r="2189" spans="1:27" ht="16" x14ac:dyDescent="0.2">
      <c r="A2189" s="156" t="s">
        <v>6695</v>
      </c>
      <c r="B2189" s="118" t="e">
        <f t="shared" ref="B2189:B2198" si="266">IF(COUNTIF(GIS,A2189),"YES","NO")</f>
        <v>#VALUE!</v>
      </c>
      <c r="C2189" t="s">
        <v>6152</v>
      </c>
      <c r="D2189" s="157">
        <v>43180</v>
      </c>
      <c r="E2189" s="157">
        <v>43252</v>
      </c>
      <c r="F2189" s="84">
        <f t="shared" ref="F2189:F2198" si="267">DATE(YEAR(E2189)+10,MONTH(E2189),DAY(E2189))</f>
        <v>46905</v>
      </c>
      <c r="G2189" s="183">
        <v>83.67</v>
      </c>
      <c r="H2189" s="118" t="s">
        <v>6696</v>
      </c>
      <c r="I2189" s="118" t="s">
        <v>6599</v>
      </c>
      <c r="J2189" s="131"/>
      <c r="K2189" s="55">
        <f t="shared" ref="K2189:K2198" si="268">YEAR(F2189)</f>
        <v>2028</v>
      </c>
      <c r="L2189" s="158" t="s">
        <v>6697</v>
      </c>
      <c r="M2189" s="158" t="s">
        <v>6698</v>
      </c>
      <c r="N2189" s="213" t="s">
        <v>6699</v>
      </c>
      <c r="Q2189" s="159"/>
      <c r="R2189" s="222">
        <v>454</v>
      </c>
      <c r="S2189" s="222">
        <v>3192</v>
      </c>
      <c r="T2189" s="222">
        <v>3646</v>
      </c>
      <c r="U2189" s="223">
        <v>126</v>
      </c>
      <c r="Z2189" s="184">
        <v>0.1</v>
      </c>
      <c r="AA2189" s="141">
        <v>0.1</v>
      </c>
    </row>
    <row r="2190" spans="1:27" ht="28" customHeight="1" x14ac:dyDescent="0.2">
      <c r="A2190" s="156" t="s">
        <v>6700</v>
      </c>
      <c r="B2190" s="118" t="e">
        <f t="shared" si="266"/>
        <v>#VALUE!</v>
      </c>
      <c r="C2190" t="s">
        <v>6152</v>
      </c>
      <c r="D2190" s="157">
        <v>43180</v>
      </c>
      <c r="E2190" s="157">
        <v>43252</v>
      </c>
      <c r="F2190" s="84">
        <f t="shared" si="267"/>
        <v>46905</v>
      </c>
      <c r="G2190" s="183">
        <v>326.75</v>
      </c>
      <c r="H2190" s="118" t="s">
        <v>6696</v>
      </c>
      <c r="I2190" s="118" t="s">
        <v>6599</v>
      </c>
      <c r="J2190" s="131"/>
      <c r="K2190" s="55">
        <f t="shared" si="268"/>
        <v>2028</v>
      </c>
      <c r="L2190" s="158" t="s">
        <v>6701</v>
      </c>
      <c r="M2190" s="158" t="s">
        <v>6702</v>
      </c>
      <c r="N2190" s="213" t="s">
        <v>6703</v>
      </c>
      <c r="Q2190" s="159"/>
      <c r="R2190" s="222">
        <v>1304.5</v>
      </c>
      <c r="S2190" s="222">
        <v>2943</v>
      </c>
      <c r="T2190" s="222">
        <v>4247.5</v>
      </c>
      <c r="U2190" s="223">
        <v>490.5</v>
      </c>
      <c r="Z2190" s="184">
        <v>0.1</v>
      </c>
      <c r="AA2190" s="141">
        <v>0.1</v>
      </c>
    </row>
    <row r="2191" spans="1:27" ht="16" x14ac:dyDescent="0.2">
      <c r="A2191" s="156" t="s">
        <v>6704</v>
      </c>
      <c r="B2191" s="118" t="e">
        <f t="shared" si="266"/>
        <v>#VALUE!</v>
      </c>
      <c r="C2191" t="s">
        <v>6152</v>
      </c>
      <c r="D2191" s="157">
        <v>43180</v>
      </c>
      <c r="E2191" s="157">
        <v>43252</v>
      </c>
      <c r="F2191" s="84">
        <f t="shared" si="267"/>
        <v>46905</v>
      </c>
      <c r="G2191" s="183">
        <v>156.38</v>
      </c>
      <c r="H2191" s="118" t="s">
        <v>6696</v>
      </c>
      <c r="I2191" s="118" t="s">
        <v>6599</v>
      </c>
      <c r="J2191" s="131"/>
      <c r="K2191" s="55">
        <f t="shared" si="268"/>
        <v>2028</v>
      </c>
      <c r="L2191" s="158" t="s">
        <v>6705</v>
      </c>
      <c r="M2191" s="158" t="s">
        <v>6702</v>
      </c>
      <c r="N2191" s="213" t="s">
        <v>6706</v>
      </c>
      <c r="Q2191" s="159"/>
      <c r="R2191" s="222">
        <v>709.5</v>
      </c>
      <c r="S2191" s="222">
        <v>785</v>
      </c>
      <c r="T2191" s="222">
        <v>1494.5</v>
      </c>
      <c r="U2191" s="223">
        <v>235.5</v>
      </c>
      <c r="Z2191" s="184">
        <v>0.1</v>
      </c>
      <c r="AA2191" s="141">
        <v>0.1</v>
      </c>
    </row>
    <row r="2192" spans="1:27" ht="56" customHeight="1" x14ac:dyDescent="0.2">
      <c r="A2192" s="156" t="s">
        <v>6707</v>
      </c>
      <c r="B2192" s="118" t="e">
        <f t="shared" si="266"/>
        <v>#VALUE!</v>
      </c>
      <c r="C2192" t="s">
        <v>6152</v>
      </c>
      <c r="D2192" s="157">
        <v>43180</v>
      </c>
      <c r="E2192" s="157">
        <v>43252</v>
      </c>
      <c r="F2192" s="84">
        <f t="shared" si="267"/>
        <v>46905</v>
      </c>
      <c r="G2192" s="183">
        <v>866.8</v>
      </c>
      <c r="H2192" s="118" t="s">
        <v>6696</v>
      </c>
      <c r="I2192" s="118" t="s">
        <v>6599</v>
      </c>
      <c r="J2192" s="131"/>
      <c r="K2192" s="55">
        <f t="shared" si="268"/>
        <v>2028</v>
      </c>
      <c r="L2192" s="158" t="s">
        <v>6697</v>
      </c>
      <c r="M2192" s="158" t="s">
        <v>6605</v>
      </c>
      <c r="N2192" s="213" t="s">
        <v>6708</v>
      </c>
      <c r="Q2192" s="159"/>
      <c r="R2192" s="222">
        <v>3194.5</v>
      </c>
      <c r="S2192" s="222">
        <v>17340</v>
      </c>
      <c r="T2192" s="222">
        <v>20534.5</v>
      </c>
      <c r="U2192" s="223">
        <v>1300.5</v>
      </c>
      <c r="Z2192" s="184">
        <v>0.1</v>
      </c>
      <c r="AA2192" s="141">
        <v>0.1</v>
      </c>
    </row>
    <row r="2193" spans="1:27" ht="42" customHeight="1" x14ac:dyDescent="0.2">
      <c r="A2193" s="156" t="s">
        <v>6709</v>
      </c>
      <c r="B2193" s="118" t="e">
        <f t="shared" si="266"/>
        <v>#VALUE!</v>
      </c>
      <c r="C2193" t="s">
        <v>6152</v>
      </c>
      <c r="D2193" s="157">
        <v>43180</v>
      </c>
      <c r="E2193" s="157">
        <v>43252</v>
      </c>
      <c r="F2193" s="84">
        <f t="shared" si="267"/>
        <v>46905</v>
      </c>
      <c r="G2193" s="183">
        <v>428.66</v>
      </c>
      <c r="H2193" s="118" t="s">
        <v>6696</v>
      </c>
      <c r="I2193" s="118" t="s">
        <v>6599</v>
      </c>
      <c r="J2193" s="131"/>
      <c r="K2193" s="55">
        <f t="shared" si="268"/>
        <v>2028</v>
      </c>
      <c r="L2193" s="158" t="s">
        <v>6710</v>
      </c>
      <c r="M2193" s="158" t="s">
        <v>6605</v>
      </c>
      <c r="N2193" s="213" t="s">
        <v>6711</v>
      </c>
      <c r="Q2193" s="159"/>
      <c r="R2193" s="222">
        <v>1661.5</v>
      </c>
      <c r="S2193" s="222">
        <v>5148</v>
      </c>
      <c r="T2193" s="222">
        <v>6809.5</v>
      </c>
      <c r="U2193" s="223">
        <v>643.5</v>
      </c>
      <c r="Z2193" s="184">
        <v>0.1</v>
      </c>
      <c r="AA2193" s="141">
        <v>0.1</v>
      </c>
    </row>
    <row r="2194" spans="1:27" ht="28" customHeight="1" x14ac:dyDescent="0.2">
      <c r="A2194" s="156" t="s">
        <v>6712</v>
      </c>
      <c r="B2194" s="118" t="e">
        <f t="shared" si="266"/>
        <v>#VALUE!</v>
      </c>
      <c r="C2194" t="s">
        <v>6152</v>
      </c>
      <c r="D2194" s="157">
        <v>43180</v>
      </c>
      <c r="E2194" s="157">
        <v>43252</v>
      </c>
      <c r="F2194" s="84">
        <f t="shared" si="267"/>
        <v>46905</v>
      </c>
      <c r="G2194" s="183">
        <v>630.52</v>
      </c>
      <c r="H2194" s="118" t="s">
        <v>6696</v>
      </c>
      <c r="I2194" s="118" t="s">
        <v>6599</v>
      </c>
      <c r="J2194" s="131"/>
      <c r="K2194" s="55">
        <f t="shared" si="268"/>
        <v>2028</v>
      </c>
      <c r="L2194" s="158" t="s">
        <v>6710</v>
      </c>
      <c r="M2194" s="158" t="s">
        <v>6605</v>
      </c>
      <c r="N2194" s="213" t="s">
        <v>6713</v>
      </c>
      <c r="Q2194" s="159"/>
      <c r="R2194" s="222">
        <v>2368.5</v>
      </c>
      <c r="S2194" s="222">
        <v>7572</v>
      </c>
      <c r="T2194" s="222">
        <v>9940.5</v>
      </c>
      <c r="U2194" s="223">
        <v>946.5</v>
      </c>
      <c r="Z2194" s="184">
        <v>0.1</v>
      </c>
      <c r="AA2194" s="141">
        <v>0.1</v>
      </c>
    </row>
    <row r="2195" spans="1:27" ht="28" customHeight="1" x14ac:dyDescent="0.2">
      <c r="A2195" s="156" t="s">
        <v>6714</v>
      </c>
      <c r="B2195" s="118" t="e">
        <f t="shared" si="266"/>
        <v>#VALUE!</v>
      </c>
      <c r="C2195" t="s">
        <v>6152</v>
      </c>
      <c r="D2195" s="157">
        <v>43180</v>
      </c>
      <c r="E2195" s="157">
        <v>43252</v>
      </c>
      <c r="F2195" s="84">
        <f t="shared" si="267"/>
        <v>46905</v>
      </c>
      <c r="G2195" s="183">
        <v>160.16999999999999</v>
      </c>
      <c r="H2195" s="118" t="s">
        <v>6696</v>
      </c>
      <c r="I2195" s="118" t="s">
        <v>6599</v>
      </c>
      <c r="J2195" s="131"/>
      <c r="K2195" s="55">
        <f t="shared" si="268"/>
        <v>2028</v>
      </c>
      <c r="L2195" s="158" t="s">
        <v>6715</v>
      </c>
      <c r="M2195" s="158" t="s">
        <v>6605</v>
      </c>
      <c r="N2195" s="213" t="s">
        <v>6716</v>
      </c>
      <c r="Q2195" s="159"/>
      <c r="R2195" s="222">
        <v>723.5</v>
      </c>
      <c r="S2195" s="222">
        <v>1449</v>
      </c>
      <c r="T2195" s="222">
        <v>2172.5</v>
      </c>
      <c r="U2195" s="223">
        <v>241.5</v>
      </c>
      <c r="Z2195" s="184">
        <v>0.1</v>
      </c>
      <c r="AA2195" s="141">
        <v>0.1</v>
      </c>
    </row>
    <row r="2196" spans="1:27" ht="28" customHeight="1" x14ac:dyDescent="0.2">
      <c r="A2196" s="156" t="s">
        <v>6717</v>
      </c>
      <c r="B2196" s="118" t="e">
        <f t="shared" si="266"/>
        <v>#VALUE!</v>
      </c>
      <c r="C2196" t="s">
        <v>6152</v>
      </c>
      <c r="D2196" s="157">
        <v>43180</v>
      </c>
      <c r="E2196" s="157">
        <v>43252</v>
      </c>
      <c r="F2196" s="84">
        <f t="shared" si="267"/>
        <v>46905</v>
      </c>
      <c r="G2196" s="183">
        <v>81.12</v>
      </c>
      <c r="H2196" s="118" t="s">
        <v>6696</v>
      </c>
      <c r="I2196" s="118" t="s">
        <v>6599</v>
      </c>
      <c r="J2196" s="131"/>
      <c r="K2196" s="55">
        <f t="shared" si="268"/>
        <v>2028</v>
      </c>
      <c r="L2196" s="158" t="s">
        <v>6715</v>
      </c>
      <c r="M2196" s="158" t="s">
        <v>6605</v>
      </c>
      <c r="N2196" s="213" t="s">
        <v>6718</v>
      </c>
      <c r="Q2196" s="159"/>
      <c r="R2196" s="222">
        <v>447</v>
      </c>
      <c r="S2196" s="222">
        <v>902</v>
      </c>
      <c r="T2196" s="222">
        <v>1349</v>
      </c>
      <c r="U2196" s="223">
        <v>123</v>
      </c>
      <c r="Z2196" s="184">
        <v>0.1</v>
      </c>
      <c r="AA2196" s="141">
        <v>0.1</v>
      </c>
    </row>
    <row r="2197" spans="1:27" ht="42" customHeight="1" x14ac:dyDescent="0.2">
      <c r="A2197" s="156" t="s">
        <v>6719</v>
      </c>
      <c r="B2197" s="118" t="e">
        <f t="shared" si="266"/>
        <v>#VALUE!</v>
      </c>
      <c r="C2197" t="s">
        <v>6152</v>
      </c>
      <c r="D2197" s="157">
        <v>43180</v>
      </c>
      <c r="E2197" s="157">
        <v>43252</v>
      </c>
      <c r="F2197" s="84">
        <f t="shared" si="267"/>
        <v>46905</v>
      </c>
      <c r="G2197" s="183">
        <v>444.51</v>
      </c>
      <c r="H2197" s="118" t="s">
        <v>6696</v>
      </c>
      <c r="I2197" s="118" t="s">
        <v>6599</v>
      </c>
      <c r="J2197" s="131"/>
      <c r="K2197" s="55">
        <f t="shared" si="268"/>
        <v>2028</v>
      </c>
      <c r="L2197" s="158" t="s">
        <v>6710</v>
      </c>
      <c r="M2197" s="158" t="s">
        <v>6615</v>
      </c>
      <c r="N2197" s="213" t="s">
        <v>6720</v>
      </c>
      <c r="Q2197" s="159"/>
      <c r="R2197" s="222">
        <v>1717.5</v>
      </c>
      <c r="S2197" s="222">
        <v>5340</v>
      </c>
      <c r="T2197" s="222">
        <v>7057.5</v>
      </c>
      <c r="U2197" s="223">
        <v>667.5</v>
      </c>
      <c r="Z2197" s="184">
        <v>0.1</v>
      </c>
      <c r="AA2197" s="141">
        <v>0.1</v>
      </c>
    </row>
    <row r="2198" spans="1:27" ht="42" customHeight="1" x14ac:dyDescent="0.2">
      <c r="A2198" s="156" t="s">
        <v>6721</v>
      </c>
      <c r="B2198" s="118" t="e">
        <f t="shared" si="266"/>
        <v>#VALUE!</v>
      </c>
      <c r="C2198" t="s">
        <v>6152</v>
      </c>
      <c r="D2198" s="157">
        <v>43180</v>
      </c>
      <c r="E2198" s="157">
        <v>43252</v>
      </c>
      <c r="F2198" s="84">
        <f t="shared" si="267"/>
        <v>46905</v>
      </c>
      <c r="G2198" s="183">
        <v>320</v>
      </c>
      <c r="H2198" s="118" t="s">
        <v>6722</v>
      </c>
      <c r="I2198" s="118" t="s">
        <v>6599</v>
      </c>
      <c r="J2198" s="131"/>
      <c r="K2198" s="55">
        <f t="shared" si="268"/>
        <v>2028</v>
      </c>
      <c r="L2198" s="158" t="s">
        <v>6723</v>
      </c>
      <c r="M2198" s="158" t="s">
        <v>6724</v>
      </c>
      <c r="N2198" s="213" t="s">
        <v>6725</v>
      </c>
      <c r="Q2198" s="159"/>
      <c r="R2198" s="299">
        <v>1280</v>
      </c>
      <c r="S2198" s="299">
        <v>320</v>
      </c>
      <c r="T2198" s="299">
        <v>1600</v>
      </c>
      <c r="U2198" s="223">
        <v>480</v>
      </c>
      <c r="Z2198" s="184">
        <v>0.1</v>
      </c>
      <c r="AA2198" s="141">
        <v>0.1</v>
      </c>
    </row>
    <row r="2199" spans="1:27" ht="16" hidden="1" x14ac:dyDescent="0.2">
      <c r="A2199" s="118"/>
      <c r="D2199" s="157"/>
      <c r="E2199" s="157"/>
      <c r="F2199" s="157"/>
      <c r="G2199" s="183"/>
      <c r="J2199" s="131"/>
      <c r="K2199" s="131"/>
      <c r="L2199" s="158"/>
      <c r="M2199" s="158"/>
      <c r="N2199" s="213" t="s">
        <v>6581</v>
      </c>
      <c r="Q2199" s="159"/>
      <c r="R2199" s="283">
        <v>13860.5</v>
      </c>
      <c r="S2199" s="283">
        <v>44991</v>
      </c>
      <c r="T2199" s="283">
        <v>58851.5</v>
      </c>
      <c r="Z2199" s="184"/>
      <c r="AA2199" s="141"/>
    </row>
    <row r="2200" spans="1:27" ht="15" hidden="1" customHeight="1" thickTop="1" x14ac:dyDescent="0.2">
      <c r="A2200" s="118"/>
      <c r="E2200" s="118"/>
      <c r="F2200" s="118"/>
      <c r="G2200" s="183"/>
      <c r="J2200" s="131"/>
      <c r="K2200" s="131"/>
      <c r="L2200" s="158"/>
      <c r="M2200" s="158"/>
      <c r="N2200" s="213" t="s">
        <v>6581</v>
      </c>
      <c r="Q2200" s="164"/>
      <c r="R2200" s="291"/>
      <c r="S2200" s="291"/>
      <c r="T2200" s="291"/>
      <c r="Z2200" s="184"/>
      <c r="AA2200" s="141"/>
    </row>
    <row r="2201" spans="1:27" ht="16" x14ac:dyDescent="0.2">
      <c r="A2201" s="156" t="s">
        <v>6726</v>
      </c>
      <c r="B2201" s="118" t="e">
        <f t="shared" ref="B2201:B2211" si="269">IF(COUNTIF(GIS,A2201),"YES","NO")</f>
        <v>#VALUE!</v>
      </c>
      <c r="C2201" t="s">
        <v>6152</v>
      </c>
      <c r="D2201" s="157">
        <v>42985</v>
      </c>
      <c r="E2201" s="157">
        <v>43191</v>
      </c>
      <c r="F2201" s="84">
        <f t="shared" ref="F2201:F2211" si="270">DATE(YEAR(E2201)+10,MONTH(E2201),DAY(E2201))</f>
        <v>46844</v>
      </c>
      <c r="G2201" s="183">
        <v>320</v>
      </c>
      <c r="H2201" s="118" t="s">
        <v>6727</v>
      </c>
      <c r="I2201" s="118" t="s">
        <v>1147</v>
      </c>
      <c r="J2201" s="131"/>
      <c r="K2201" s="55">
        <f t="shared" ref="K2201:K2211" si="271">YEAR(F2201)</f>
        <v>2028</v>
      </c>
      <c r="L2201" s="158" t="s">
        <v>6728</v>
      </c>
      <c r="M2201" s="158" t="s">
        <v>6729</v>
      </c>
      <c r="N2201" s="213" t="s">
        <v>6730</v>
      </c>
      <c r="Q2201" s="159"/>
      <c r="R2201" s="290">
        <v>1280</v>
      </c>
      <c r="S2201" s="290">
        <v>640</v>
      </c>
      <c r="T2201" s="290">
        <v>1920</v>
      </c>
      <c r="U2201" s="223">
        <v>480</v>
      </c>
      <c r="Z2201" s="184">
        <v>0.1</v>
      </c>
      <c r="AA2201" s="141">
        <v>0.1</v>
      </c>
    </row>
    <row r="2202" spans="1:27" ht="16" x14ac:dyDescent="0.2">
      <c r="A2202" s="156" t="s">
        <v>6731</v>
      </c>
      <c r="B2202" s="118" t="e">
        <f t="shared" si="269"/>
        <v>#VALUE!</v>
      </c>
      <c r="C2202" t="s">
        <v>6152</v>
      </c>
      <c r="D2202" s="157">
        <v>42985</v>
      </c>
      <c r="E2202" s="157">
        <v>43191</v>
      </c>
      <c r="F2202" s="84">
        <f t="shared" si="270"/>
        <v>46844</v>
      </c>
      <c r="G2202" s="183">
        <v>120</v>
      </c>
      <c r="H2202" s="118" t="s">
        <v>6727</v>
      </c>
      <c r="I2202" s="118" t="s">
        <v>1147</v>
      </c>
      <c r="J2202" s="131"/>
      <c r="K2202" s="55">
        <f t="shared" si="271"/>
        <v>2028</v>
      </c>
      <c r="L2202" s="158" t="s">
        <v>6732</v>
      </c>
      <c r="M2202" s="158" t="s">
        <v>6733</v>
      </c>
      <c r="N2202" s="213" t="s">
        <v>6734</v>
      </c>
      <c r="Q2202" s="159"/>
      <c r="R2202" s="290">
        <v>580</v>
      </c>
      <c r="S2202" s="290">
        <v>1800</v>
      </c>
      <c r="T2202" s="290">
        <v>2380</v>
      </c>
      <c r="U2202" s="223">
        <v>180</v>
      </c>
      <c r="Z2202" s="184">
        <v>0.1</v>
      </c>
      <c r="AA2202" s="141">
        <v>0.1</v>
      </c>
    </row>
    <row r="2203" spans="1:27" ht="16" x14ac:dyDescent="0.2">
      <c r="A2203" s="156" t="s">
        <v>6735</v>
      </c>
      <c r="B2203" s="118" t="e">
        <f t="shared" si="269"/>
        <v>#VALUE!</v>
      </c>
      <c r="C2203" t="s">
        <v>6152</v>
      </c>
      <c r="D2203" s="157">
        <v>42985</v>
      </c>
      <c r="E2203" s="157">
        <v>43191</v>
      </c>
      <c r="F2203" s="84">
        <f t="shared" si="270"/>
        <v>46844</v>
      </c>
      <c r="G2203" s="183">
        <v>40</v>
      </c>
      <c r="H2203" s="118" t="s">
        <v>6727</v>
      </c>
      <c r="I2203" s="118" t="s">
        <v>1147</v>
      </c>
      <c r="J2203" s="131"/>
      <c r="K2203" s="55">
        <f t="shared" si="271"/>
        <v>2028</v>
      </c>
      <c r="L2203" s="158" t="s">
        <v>6732</v>
      </c>
      <c r="M2203" s="158" t="s">
        <v>6733</v>
      </c>
      <c r="N2203" s="213" t="s">
        <v>6736</v>
      </c>
      <c r="Q2203" s="159"/>
      <c r="R2203" s="290">
        <v>300</v>
      </c>
      <c r="S2203" s="290">
        <v>1040</v>
      </c>
      <c r="T2203" s="290">
        <v>1340</v>
      </c>
      <c r="U2203" s="223">
        <v>60</v>
      </c>
      <c r="Z2203" s="184">
        <v>0.1</v>
      </c>
      <c r="AA2203" s="141">
        <v>0.1</v>
      </c>
    </row>
    <row r="2204" spans="1:27" ht="28" customHeight="1" x14ac:dyDescent="0.2">
      <c r="A2204" s="156" t="s">
        <v>6737</v>
      </c>
      <c r="B2204" s="118" t="e">
        <f t="shared" si="269"/>
        <v>#VALUE!</v>
      </c>
      <c r="C2204" t="s">
        <v>6152</v>
      </c>
      <c r="D2204" s="157">
        <v>42985</v>
      </c>
      <c r="E2204" s="157">
        <v>43191</v>
      </c>
      <c r="F2204" s="84">
        <f t="shared" si="270"/>
        <v>46844</v>
      </c>
      <c r="G2204" s="183">
        <v>320.05</v>
      </c>
      <c r="H2204" s="118" t="s">
        <v>6727</v>
      </c>
      <c r="I2204" s="118" t="s">
        <v>1147</v>
      </c>
      <c r="J2204" s="131"/>
      <c r="K2204" s="55">
        <f t="shared" si="271"/>
        <v>2028</v>
      </c>
      <c r="L2204" s="158" t="s">
        <v>6738</v>
      </c>
      <c r="M2204" s="158" t="s">
        <v>6733</v>
      </c>
      <c r="N2204" s="213" t="s">
        <v>6739</v>
      </c>
      <c r="Q2204" s="159"/>
      <c r="R2204" s="290">
        <v>1283.5</v>
      </c>
      <c r="S2204" s="290">
        <v>7704</v>
      </c>
      <c r="T2204" s="290">
        <v>8987.5</v>
      </c>
      <c r="U2204" s="223">
        <v>481.5</v>
      </c>
      <c r="Z2204" s="184">
        <v>0.1</v>
      </c>
      <c r="AA2204" s="141">
        <v>0.1</v>
      </c>
    </row>
    <row r="2205" spans="1:27" ht="16" x14ac:dyDescent="0.2">
      <c r="A2205" s="156" t="s">
        <v>6740</v>
      </c>
      <c r="B2205" s="118" t="e">
        <f t="shared" si="269"/>
        <v>#VALUE!</v>
      </c>
      <c r="C2205" t="s">
        <v>6152</v>
      </c>
      <c r="D2205" s="157">
        <v>42985</v>
      </c>
      <c r="E2205" s="157">
        <v>43191</v>
      </c>
      <c r="F2205" s="84">
        <f t="shared" si="270"/>
        <v>46844</v>
      </c>
      <c r="G2205" s="183">
        <v>80</v>
      </c>
      <c r="H2205" s="118" t="s">
        <v>1540</v>
      </c>
      <c r="I2205" s="118" t="s">
        <v>1147</v>
      </c>
      <c r="J2205" s="131"/>
      <c r="K2205" s="55">
        <f t="shared" si="271"/>
        <v>2028</v>
      </c>
      <c r="L2205" s="158" t="s">
        <v>6741</v>
      </c>
      <c r="M2205" s="158" t="s">
        <v>6742</v>
      </c>
      <c r="N2205" s="213" t="s">
        <v>6743</v>
      </c>
      <c r="Q2205" s="159"/>
      <c r="R2205" s="290">
        <v>440</v>
      </c>
      <c r="S2205" s="290">
        <v>25200</v>
      </c>
      <c r="T2205" s="290">
        <v>25640</v>
      </c>
      <c r="U2205" s="223">
        <v>120</v>
      </c>
      <c r="Z2205" s="184">
        <v>0.1</v>
      </c>
      <c r="AA2205" s="141">
        <v>0.1</v>
      </c>
    </row>
    <row r="2206" spans="1:27" ht="16" x14ac:dyDescent="0.2">
      <c r="A2206" s="156" t="s">
        <v>6744</v>
      </c>
      <c r="B2206" s="118" t="e">
        <f t="shared" si="269"/>
        <v>#VALUE!</v>
      </c>
      <c r="C2206" t="s">
        <v>6152</v>
      </c>
      <c r="D2206" s="157">
        <v>42985</v>
      </c>
      <c r="E2206" s="157">
        <v>43191</v>
      </c>
      <c r="F2206" s="84">
        <f t="shared" si="270"/>
        <v>46844</v>
      </c>
      <c r="G2206" s="183">
        <v>160</v>
      </c>
      <c r="H2206" s="118" t="s">
        <v>1540</v>
      </c>
      <c r="I2206" s="118" t="s">
        <v>1147</v>
      </c>
      <c r="J2206" s="131"/>
      <c r="K2206" s="55">
        <f t="shared" si="271"/>
        <v>2028</v>
      </c>
      <c r="L2206" s="158" t="s">
        <v>6745</v>
      </c>
      <c r="M2206" s="158" t="s">
        <v>6746</v>
      </c>
      <c r="N2206" s="213" t="s">
        <v>6747</v>
      </c>
      <c r="Q2206" s="159"/>
      <c r="R2206" s="290">
        <v>720</v>
      </c>
      <c r="S2206" s="290">
        <v>35200</v>
      </c>
      <c r="T2206" s="290">
        <v>35920</v>
      </c>
      <c r="U2206" s="223">
        <v>240</v>
      </c>
      <c r="Z2206" s="184">
        <v>0.1</v>
      </c>
      <c r="AA2206" s="141">
        <v>0.1</v>
      </c>
    </row>
    <row r="2207" spans="1:27" ht="16" x14ac:dyDescent="0.2">
      <c r="A2207" s="156" t="s">
        <v>6748</v>
      </c>
      <c r="B2207" s="118" t="e">
        <f t="shared" si="269"/>
        <v>#VALUE!</v>
      </c>
      <c r="C2207" t="s">
        <v>6152</v>
      </c>
      <c r="D2207" s="157">
        <v>42985</v>
      </c>
      <c r="E2207" s="157">
        <v>43191</v>
      </c>
      <c r="F2207" s="84">
        <f t="shared" si="270"/>
        <v>46844</v>
      </c>
      <c r="G2207" s="183">
        <v>240</v>
      </c>
      <c r="H2207" s="118" t="s">
        <v>1540</v>
      </c>
      <c r="I2207" s="118" t="s">
        <v>1147</v>
      </c>
      <c r="J2207" s="131"/>
      <c r="K2207" s="55">
        <f t="shared" si="271"/>
        <v>2028</v>
      </c>
      <c r="L2207" s="158" t="s">
        <v>6745</v>
      </c>
      <c r="M2207" s="158" t="s">
        <v>6746</v>
      </c>
      <c r="N2207" s="213" t="s">
        <v>6749</v>
      </c>
      <c r="Q2207" s="159"/>
      <c r="R2207" s="290">
        <v>1000</v>
      </c>
      <c r="S2207" s="290">
        <v>56880</v>
      </c>
      <c r="T2207" s="290">
        <v>57880</v>
      </c>
      <c r="U2207" s="223">
        <v>360</v>
      </c>
      <c r="Z2207" s="184">
        <v>0.1</v>
      </c>
      <c r="AA2207" s="141">
        <v>0.1</v>
      </c>
    </row>
    <row r="2208" spans="1:27" ht="28" customHeight="1" x14ac:dyDescent="0.2">
      <c r="A2208" s="156" t="s">
        <v>6750</v>
      </c>
      <c r="B2208" s="118" t="e">
        <f t="shared" si="269"/>
        <v>#VALUE!</v>
      </c>
      <c r="C2208" t="s">
        <v>6152</v>
      </c>
      <c r="D2208" s="157">
        <v>42985</v>
      </c>
      <c r="E2208" s="157">
        <v>43191</v>
      </c>
      <c r="F2208" s="84">
        <f t="shared" si="270"/>
        <v>46844</v>
      </c>
      <c r="G2208" s="183">
        <v>200</v>
      </c>
      <c r="H2208" s="118" t="s">
        <v>1540</v>
      </c>
      <c r="I2208" s="118" t="s">
        <v>1147</v>
      </c>
      <c r="J2208" s="131"/>
      <c r="K2208" s="55">
        <f t="shared" si="271"/>
        <v>2028</v>
      </c>
      <c r="L2208" s="158" t="s">
        <v>6751</v>
      </c>
      <c r="M2208" s="158" t="s">
        <v>6746</v>
      </c>
      <c r="N2208" s="213" t="s">
        <v>6752</v>
      </c>
      <c r="Q2208" s="159"/>
      <c r="R2208" s="290">
        <v>860</v>
      </c>
      <c r="S2208" s="290">
        <v>59800</v>
      </c>
      <c r="T2208" s="290">
        <v>60660</v>
      </c>
      <c r="U2208" s="223">
        <v>300</v>
      </c>
      <c r="Z2208" s="184">
        <v>0.1</v>
      </c>
      <c r="AA2208" s="141">
        <v>0.1</v>
      </c>
    </row>
    <row r="2209" spans="1:27" ht="16" x14ac:dyDescent="0.2">
      <c r="A2209" s="156" t="s">
        <v>6753</v>
      </c>
      <c r="B2209" s="118" t="e">
        <f t="shared" si="269"/>
        <v>#VALUE!</v>
      </c>
      <c r="C2209" t="s">
        <v>6152</v>
      </c>
      <c r="D2209" s="157">
        <v>42985</v>
      </c>
      <c r="E2209" s="157">
        <v>43191</v>
      </c>
      <c r="F2209" s="84">
        <f t="shared" si="270"/>
        <v>46844</v>
      </c>
      <c r="G2209" s="183">
        <v>320</v>
      </c>
      <c r="H2209" s="118" t="s">
        <v>1540</v>
      </c>
      <c r="I2209" s="118" t="s">
        <v>1147</v>
      </c>
      <c r="J2209" s="131"/>
      <c r="K2209" s="55">
        <f t="shared" si="271"/>
        <v>2028</v>
      </c>
      <c r="L2209" s="158" t="s">
        <v>6751</v>
      </c>
      <c r="M2209" s="158" t="s">
        <v>6746</v>
      </c>
      <c r="N2209" s="213" t="s">
        <v>6754</v>
      </c>
      <c r="Q2209" s="159"/>
      <c r="R2209" s="290">
        <v>1280</v>
      </c>
      <c r="S2209" s="290">
        <v>127680</v>
      </c>
      <c r="T2209" s="290">
        <v>128960</v>
      </c>
      <c r="U2209" s="223">
        <v>480</v>
      </c>
      <c r="Z2209" s="184">
        <v>0.1</v>
      </c>
      <c r="AA2209" s="141">
        <v>0.1</v>
      </c>
    </row>
    <row r="2210" spans="1:27" ht="28" customHeight="1" x14ac:dyDescent="0.2">
      <c r="A2210" s="156" t="s">
        <v>6755</v>
      </c>
      <c r="B2210" s="118" t="e">
        <f t="shared" si="269"/>
        <v>#VALUE!</v>
      </c>
      <c r="C2210" t="s">
        <v>6152</v>
      </c>
      <c r="D2210" s="157">
        <v>42985</v>
      </c>
      <c r="E2210" s="157">
        <v>43191</v>
      </c>
      <c r="F2210" s="84">
        <f t="shared" si="270"/>
        <v>46844</v>
      </c>
      <c r="G2210" s="183">
        <v>376.15</v>
      </c>
      <c r="H2210" s="118" t="s">
        <v>1540</v>
      </c>
      <c r="I2210" s="118" t="s">
        <v>1147</v>
      </c>
      <c r="J2210" s="131"/>
      <c r="K2210" s="55">
        <f t="shared" si="271"/>
        <v>2028</v>
      </c>
      <c r="L2210" s="158" t="s">
        <v>6751</v>
      </c>
      <c r="M2210" s="158" t="s">
        <v>6746</v>
      </c>
      <c r="N2210" s="213" t="s">
        <v>6756</v>
      </c>
      <c r="Q2210" s="159"/>
      <c r="R2210" s="290">
        <v>1479.5</v>
      </c>
      <c r="S2210" s="290">
        <v>131573</v>
      </c>
      <c r="T2210" s="290">
        <v>133052.5</v>
      </c>
      <c r="U2210" s="223">
        <v>565.5</v>
      </c>
      <c r="Z2210" s="184">
        <v>0.1</v>
      </c>
      <c r="AA2210" s="141">
        <v>0.1</v>
      </c>
    </row>
    <row r="2211" spans="1:27" ht="28" customHeight="1" x14ac:dyDescent="0.2">
      <c r="A2211" s="156" t="s">
        <v>6757</v>
      </c>
      <c r="B2211" s="118" t="e">
        <f t="shared" si="269"/>
        <v>#VALUE!</v>
      </c>
      <c r="C2211" t="s">
        <v>6152</v>
      </c>
      <c r="D2211" s="157">
        <v>42985</v>
      </c>
      <c r="E2211" s="157">
        <v>43191</v>
      </c>
      <c r="F2211" s="84">
        <f t="shared" si="270"/>
        <v>46844</v>
      </c>
      <c r="G2211" s="183">
        <v>275.8</v>
      </c>
      <c r="H2211" s="118" t="s">
        <v>1540</v>
      </c>
      <c r="I2211" s="118" t="s">
        <v>1147</v>
      </c>
      <c r="J2211" s="131"/>
      <c r="K2211" s="55">
        <f t="shared" si="271"/>
        <v>2028</v>
      </c>
      <c r="L2211" s="158" t="s">
        <v>6751</v>
      </c>
      <c r="M2211" s="158" t="s">
        <v>6746</v>
      </c>
      <c r="N2211" s="213" t="s">
        <v>6758</v>
      </c>
      <c r="Q2211" s="159"/>
      <c r="R2211" s="300">
        <v>1126</v>
      </c>
      <c r="S2211" s="300">
        <v>110124</v>
      </c>
      <c r="T2211" s="300">
        <v>111250</v>
      </c>
      <c r="U2211" s="223">
        <v>414</v>
      </c>
      <c r="Z2211" s="184">
        <v>0.1</v>
      </c>
      <c r="AA2211" s="141">
        <v>0.1</v>
      </c>
    </row>
    <row r="2212" spans="1:27" ht="16" hidden="1" x14ac:dyDescent="0.2">
      <c r="A2212" s="118"/>
      <c r="D2212" s="157"/>
      <c r="E2212" s="157"/>
      <c r="F2212" s="157"/>
      <c r="G2212" s="183"/>
      <c r="J2212" s="131"/>
      <c r="K2212" s="131"/>
      <c r="L2212" s="158"/>
      <c r="M2212" s="158"/>
      <c r="N2212" s="213" t="s">
        <v>6581</v>
      </c>
      <c r="Q2212" s="159"/>
      <c r="R2212" s="283">
        <v>10349</v>
      </c>
      <c r="S2212" s="283">
        <v>557641</v>
      </c>
      <c r="T2212" s="283">
        <v>567990</v>
      </c>
      <c r="Z2212" s="184"/>
      <c r="AA2212" s="141"/>
    </row>
    <row r="2213" spans="1:27" ht="15" hidden="1" customHeight="1" thickTop="1" x14ac:dyDescent="0.2">
      <c r="A2213" s="118"/>
      <c r="D2213" s="157"/>
      <c r="E2213" s="157"/>
      <c r="F2213" s="157"/>
      <c r="G2213" s="183"/>
      <c r="J2213" s="131"/>
      <c r="K2213" s="131"/>
      <c r="L2213" s="158"/>
      <c r="M2213" s="158"/>
      <c r="N2213" s="213" t="s">
        <v>6581</v>
      </c>
      <c r="Q2213" s="159"/>
      <c r="R2213" s="291"/>
      <c r="S2213" s="291"/>
      <c r="T2213" s="291"/>
      <c r="Z2213" s="184"/>
      <c r="AA2213" s="141"/>
    </row>
    <row r="2214" spans="1:27" ht="16" x14ac:dyDescent="0.2">
      <c r="A2214" s="156" t="s">
        <v>6759</v>
      </c>
      <c r="B2214" s="118" t="e">
        <f t="shared" ref="B2214:B2223" si="272">IF(COUNTIF(GIS,A2214),"YES","NO")</f>
        <v>#VALUE!</v>
      </c>
      <c r="C2214" t="s">
        <v>6152</v>
      </c>
      <c r="D2214" s="157">
        <v>43171</v>
      </c>
      <c r="E2214" s="157">
        <v>43221</v>
      </c>
      <c r="F2214" s="84">
        <f t="shared" ref="F2214:F2223" si="273">DATE(YEAR(E2214)+10,MONTH(E2214),DAY(E2214))</f>
        <v>46874</v>
      </c>
      <c r="G2214" s="183">
        <v>480</v>
      </c>
      <c r="H2214" s="118" t="s">
        <v>6760</v>
      </c>
      <c r="I2214" s="118" t="s">
        <v>6269</v>
      </c>
      <c r="J2214" s="131"/>
      <c r="K2214" s="55">
        <f t="shared" ref="K2214:K2223" si="274">YEAR(F2214)</f>
        <v>2028</v>
      </c>
      <c r="L2214" s="158" t="s">
        <v>6510</v>
      </c>
      <c r="M2214" s="158" t="s">
        <v>6761</v>
      </c>
      <c r="N2214" s="213" t="s">
        <v>6762</v>
      </c>
      <c r="Q2214" s="159"/>
      <c r="R2214" s="222">
        <v>1840</v>
      </c>
      <c r="S2214" s="222">
        <v>4320</v>
      </c>
      <c r="T2214" s="222">
        <v>6160</v>
      </c>
      <c r="U2214" s="223">
        <v>720</v>
      </c>
      <c r="Z2214" s="184">
        <v>0.1</v>
      </c>
      <c r="AA2214" s="141">
        <v>0.1</v>
      </c>
    </row>
    <row r="2215" spans="1:27" ht="28" customHeight="1" x14ac:dyDescent="0.2">
      <c r="A2215" s="156" t="s">
        <v>6763</v>
      </c>
      <c r="B2215" s="118" t="e">
        <f t="shared" si="272"/>
        <v>#VALUE!</v>
      </c>
      <c r="C2215" t="s">
        <v>6152</v>
      </c>
      <c r="D2215" s="157">
        <v>43171</v>
      </c>
      <c r="E2215" s="157">
        <v>43221</v>
      </c>
      <c r="F2215" s="84">
        <f t="shared" si="273"/>
        <v>46874</v>
      </c>
      <c r="G2215" s="183">
        <v>160</v>
      </c>
      <c r="H2215" s="118" t="s">
        <v>6760</v>
      </c>
      <c r="I2215" s="118" t="s">
        <v>6269</v>
      </c>
      <c r="J2215" s="131"/>
      <c r="K2215" s="55">
        <f t="shared" si="274"/>
        <v>2028</v>
      </c>
      <c r="L2215" s="158" t="s">
        <v>6510</v>
      </c>
      <c r="M2215" s="158" t="s">
        <v>6761</v>
      </c>
      <c r="N2215" s="213" t="s">
        <v>6764</v>
      </c>
      <c r="Q2215" s="159"/>
      <c r="R2215" s="222">
        <v>720</v>
      </c>
      <c r="S2215" s="222">
        <v>1600</v>
      </c>
      <c r="T2215" s="222">
        <v>2320</v>
      </c>
      <c r="U2215" s="223">
        <v>240</v>
      </c>
      <c r="Z2215" s="184">
        <v>0.1</v>
      </c>
      <c r="AA2215" s="141">
        <v>0.1</v>
      </c>
    </row>
    <row r="2216" spans="1:27" ht="16" x14ac:dyDescent="0.2">
      <c r="A2216" s="156" t="s">
        <v>6765</v>
      </c>
      <c r="B2216" s="118" t="e">
        <f t="shared" si="272"/>
        <v>#VALUE!</v>
      </c>
      <c r="C2216" t="s">
        <v>6152</v>
      </c>
      <c r="D2216" s="157">
        <v>43171</v>
      </c>
      <c r="E2216" s="157">
        <v>43221</v>
      </c>
      <c r="F2216" s="84">
        <f t="shared" si="273"/>
        <v>46874</v>
      </c>
      <c r="G2216" s="183">
        <v>160</v>
      </c>
      <c r="H2216" s="118" t="s">
        <v>6760</v>
      </c>
      <c r="I2216" s="118" t="s">
        <v>6269</v>
      </c>
      <c r="J2216" s="131"/>
      <c r="K2216" s="55">
        <f t="shared" si="274"/>
        <v>2028</v>
      </c>
      <c r="L2216" s="158" t="s">
        <v>6510</v>
      </c>
      <c r="M2216" s="158" t="s">
        <v>6162</v>
      </c>
      <c r="N2216" s="213" t="s">
        <v>6766</v>
      </c>
      <c r="Q2216" s="159"/>
      <c r="R2216" s="222">
        <v>720</v>
      </c>
      <c r="S2216" s="222">
        <v>1600</v>
      </c>
      <c r="T2216" s="222">
        <v>2320</v>
      </c>
      <c r="U2216" s="223">
        <v>240</v>
      </c>
      <c r="Z2216" s="184">
        <v>0.1</v>
      </c>
      <c r="AA2216" s="141">
        <v>0.1</v>
      </c>
    </row>
    <row r="2217" spans="1:27" ht="16" x14ac:dyDescent="0.2">
      <c r="A2217" s="156" t="s">
        <v>6767</v>
      </c>
      <c r="B2217" s="118" t="e">
        <f t="shared" si="272"/>
        <v>#VALUE!</v>
      </c>
      <c r="C2217" t="s">
        <v>6152</v>
      </c>
      <c r="D2217" s="157">
        <v>43171</v>
      </c>
      <c r="E2217" s="157">
        <v>43221</v>
      </c>
      <c r="F2217" s="84">
        <f t="shared" si="273"/>
        <v>46874</v>
      </c>
      <c r="G2217" s="183">
        <v>160</v>
      </c>
      <c r="H2217" s="118" t="s">
        <v>6760</v>
      </c>
      <c r="I2217" s="118" t="s">
        <v>6269</v>
      </c>
      <c r="J2217" s="131"/>
      <c r="K2217" s="55">
        <f t="shared" si="274"/>
        <v>2028</v>
      </c>
      <c r="L2217" s="158" t="s">
        <v>6510</v>
      </c>
      <c r="M2217" s="158" t="s">
        <v>6162</v>
      </c>
      <c r="N2217" s="213" t="s">
        <v>6768</v>
      </c>
      <c r="Q2217" s="159"/>
      <c r="R2217" s="222">
        <v>720</v>
      </c>
      <c r="S2217" s="222">
        <v>2400</v>
      </c>
      <c r="T2217" s="222">
        <v>3120</v>
      </c>
      <c r="U2217" s="223">
        <v>240</v>
      </c>
      <c r="Z2217" s="184">
        <v>0.1</v>
      </c>
      <c r="AA2217" s="141">
        <v>0.1</v>
      </c>
    </row>
    <row r="2218" spans="1:27" ht="16" x14ac:dyDescent="0.2">
      <c r="A2218" s="156" t="s">
        <v>6769</v>
      </c>
      <c r="B2218" s="118" t="e">
        <f t="shared" si="272"/>
        <v>#VALUE!</v>
      </c>
      <c r="C2218" t="s">
        <v>6152</v>
      </c>
      <c r="D2218" s="157">
        <v>43171</v>
      </c>
      <c r="E2218" s="157">
        <v>43221</v>
      </c>
      <c r="F2218" s="84">
        <f t="shared" si="273"/>
        <v>46874</v>
      </c>
      <c r="G2218" s="183">
        <v>640</v>
      </c>
      <c r="H2218" s="118" t="s">
        <v>6760</v>
      </c>
      <c r="I2218" s="118" t="s">
        <v>6269</v>
      </c>
      <c r="J2218" s="131"/>
      <c r="K2218" s="55">
        <f t="shared" si="274"/>
        <v>2028</v>
      </c>
      <c r="L2218" s="158" t="s">
        <v>6522</v>
      </c>
      <c r="M2218" s="158" t="s">
        <v>6185</v>
      </c>
      <c r="N2218" s="213" t="s">
        <v>6770</v>
      </c>
      <c r="Q2218" s="159"/>
      <c r="R2218" s="222">
        <v>2400</v>
      </c>
      <c r="S2218" s="222">
        <v>0</v>
      </c>
      <c r="T2218" s="222">
        <v>2400</v>
      </c>
      <c r="U2218" s="223">
        <v>960</v>
      </c>
      <c r="Z2218" s="184">
        <v>0.1</v>
      </c>
      <c r="AA2218" s="141">
        <v>0.1</v>
      </c>
    </row>
    <row r="2219" spans="1:27" ht="28" customHeight="1" x14ac:dyDescent="0.2">
      <c r="A2219" s="156" t="s">
        <v>6771</v>
      </c>
      <c r="B2219" s="118" t="e">
        <f t="shared" si="272"/>
        <v>#VALUE!</v>
      </c>
      <c r="C2219" t="s">
        <v>6152</v>
      </c>
      <c r="D2219" s="157">
        <v>43171</v>
      </c>
      <c r="E2219" s="157">
        <v>43221</v>
      </c>
      <c r="F2219" s="84">
        <f t="shared" si="273"/>
        <v>46874</v>
      </c>
      <c r="G2219" s="183">
        <v>880</v>
      </c>
      <c r="H2219" s="118" t="s">
        <v>6760</v>
      </c>
      <c r="I2219" s="118" t="s">
        <v>6269</v>
      </c>
      <c r="J2219" s="131"/>
      <c r="K2219" s="55">
        <f t="shared" si="274"/>
        <v>2028</v>
      </c>
      <c r="L2219" s="158" t="s">
        <v>6510</v>
      </c>
      <c r="M2219" s="158" t="s">
        <v>6772</v>
      </c>
      <c r="N2219" s="213" t="s">
        <v>6773</v>
      </c>
      <c r="Q2219" s="159"/>
      <c r="R2219" s="222">
        <v>3240</v>
      </c>
      <c r="S2219" s="222">
        <v>0</v>
      </c>
      <c r="T2219" s="222">
        <v>3240</v>
      </c>
      <c r="U2219" s="223">
        <v>1320</v>
      </c>
      <c r="Z2219" s="184">
        <v>0.1</v>
      </c>
      <c r="AA2219" s="141">
        <v>0.1</v>
      </c>
    </row>
    <row r="2220" spans="1:27" ht="28" customHeight="1" x14ac:dyDescent="0.2">
      <c r="A2220" s="156" t="s">
        <v>6774</v>
      </c>
      <c r="B2220" s="118" t="e">
        <f t="shared" si="272"/>
        <v>#VALUE!</v>
      </c>
      <c r="C2220" t="s">
        <v>6152</v>
      </c>
      <c r="D2220" s="157">
        <v>43171</v>
      </c>
      <c r="E2220" s="157">
        <v>43221</v>
      </c>
      <c r="F2220" s="84">
        <f t="shared" si="273"/>
        <v>46874</v>
      </c>
      <c r="G2220" s="183">
        <v>160</v>
      </c>
      <c r="H2220" s="118" t="s">
        <v>6760</v>
      </c>
      <c r="I2220" s="118" t="s">
        <v>6269</v>
      </c>
      <c r="J2220" s="131"/>
      <c r="K2220" s="55">
        <f t="shared" si="274"/>
        <v>2028</v>
      </c>
      <c r="L2220" s="158" t="s">
        <v>6510</v>
      </c>
      <c r="M2220" s="158" t="s">
        <v>6772</v>
      </c>
      <c r="N2220" s="213" t="s">
        <v>6775</v>
      </c>
      <c r="Q2220" s="159"/>
      <c r="R2220" s="222">
        <v>720</v>
      </c>
      <c r="S2220" s="222">
        <v>0</v>
      </c>
      <c r="T2220" s="222">
        <v>720</v>
      </c>
      <c r="U2220" s="223">
        <v>240</v>
      </c>
      <c r="Z2220" s="184">
        <v>0.1</v>
      </c>
      <c r="AA2220" s="141">
        <v>0.1</v>
      </c>
    </row>
    <row r="2221" spans="1:27" ht="28" customHeight="1" x14ac:dyDescent="0.2">
      <c r="A2221" s="156" t="s">
        <v>6776</v>
      </c>
      <c r="B2221" s="118" t="e">
        <f t="shared" si="272"/>
        <v>#VALUE!</v>
      </c>
      <c r="C2221" t="s">
        <v>6152</v>
      </c>
      <c r="D2221" s="157">
        <v>43171</v>
      </c>
      <c r="E2221" s="157">
        <v>43221</v>
      </c>
      <c r="F2221" s="84">
        <f t="shared" si="273"/>
        <v>46874</v>
      </c>
      <c r="G2221" s="183">
        <v>1120</v>
      </c>
      <c r="H2221" s="118" t="s">
        <v>6760</v>
      </c>
      <c r="I2221" s="118" t="s">
        <v>6269</v>
      </c>
      <c r="J2221" s="131"/>
      <c r="K2221" s="55">
        <f t="shared" si="274"/>
        <v>2028</v>
      </c>
      <c r="L2221" s="158" t="s">
        <v>6510</v>
      </c>
      <c r="M2221" s="158" t="s">
        <v>6772</v>
      </c>
      <c r="N2221" s="213" t="s">
        <v>6777</v>
      </c>
      <c r="Q2221" s="159"/>
      <c r="R2221" s="222">
        <v>4080</v>
      </c>
      <c r="S2221" s="222">
        <v>0</v>
      </c>
      <c r="T2221" s="222">
        <v>4080</v>
      </c>
      <c r="U2221" s="223">
        <v>1680</v>
      </c>
      <c r="Z2221" s="184">
        <v>0.1</v>
      </c>
      <c r="AA2221" s="141">
        <v>0.1</v>
      </c>
    </row>
    <row r="2222" spans="1:27" ht="16" x14ac:dyDescent="0.2">
      <c r="A2222" s="156" t="s">
        <v>6778</v>
      </c>
      <c r="B2222" s="118" t="e">
        <f t="shared" si="272"/>
        <v>#VALUE!</v>
      </c>
      <c r="C2222" t="s">
        <v>6152</v>
      </c>
      <c r="D2222" s="157">
        <v>43171</v>
      </c>
      <c r="E2222" s="157">
        <v>43221</v>
      </c>
      <c r="F2222" s="84">
        <f t="shared" si="273"/>
        <v>46874</v>
      </c>
      <c r="G2222" s="183">
        <v>160</v>
      </c>
      <c r="H2222" s="118" t="s">
        <v>6760</v>
      </c>
      <c r="I2222" s="118" t="s">
        <v>6269</v>
      </c>
      <c r="J2222" s="131"/>
      <c r="K2222" s="55">
        <f t="shared" si="274"/>
        <v>2028</v>
      </c>
      <c r="L2222" s="158" t="s">
        <v>6510</v>
      </c>
      <c r="M2222" s="158" t="s">
        <v>6772</v>
      </c>
      <c r="N2222" s="213" t="s">
        <v>6779</v>
      </c>
      <c r="Q2222" s="159"/>
      <c r="R2222" s="222">
        <v>720</v>
      </c>
      <c r="S2222" s="222">
        <v>0</v>
      </c>
      <c r="T2222" s="222">
        <v>720</v>
      </c>
      <c r="U2222" s="223">
        <v>240</v>
      </c>
      <c r="Z2222" s="184">
        <v>0.1</v>
      </c>
      <c r="AA2222" s="141">
        <v>0.1</v>
      </c>
    </row>
    <row r="2223" spans="1:27" ht="28" customHeight="1" x14ac:dyDescent="0.2">
      <c r="A2223" s="156" t="s">
        <v>6780</v>
      </c>
      <c r="B2223" s="118" t="e">
        <f t="shared" si="272"/>
        <v>#VALUE!</v>
      </c>
      <c r="C2223" t="s">
        <v>6152</v>
      </c>
      <c r="D2223" s="157">
        <v>43171</v>
      </c>
      <c r="E2223" s="157">
        <v>43221</v>
      </c>
      <c r="F2223" s="84">
        <f t="shared" si="273"/>
        <v>46874</v>
      </c>
      <c r="G2223" s="183">
        <v>800</v>
      </c>
      <c r="H2223" s="118" t="s">
        <v>6760</v>
      </c>
      <c r="I2223" s="118" t="s">
        <v>6269</v>
      </c>
      <c r="J2223" s="131"/>
      <c r="K2223" s="55">
        <f t="shared" si="274"/>
        <v>2028</v>
      </c>
      <c r="L2223" s="158" t="s">
        <v>6436</v>
      </c>
      <c r="M2223" s="158" t="s">
        <v>6500</v>
      </c>
      <c r="N2223" s="213" t="s">
        <v>6781</v>
      </c>
      <c r="Q2223" s="159"/>
      <c r="R2223" s="222">
        <v>2960</v>
      </c>
      <c r="S2223" s="222">
        <v>1600</v>
      </c>
      <c r="T2223" s="222">
        <v>4560</v>
      </c>
      <c r="U2223" s="223">
        <v>1200</v>
      </c>
      <c r="Z2223" s="184">
        <v>0.1</v>
      </c>
      <c r="AA2223" s="141">
        <v>0.1</v>
      </c>
    </row>
    <row r="2224" spans="1:27" ht="16" hidden="1" x14ac:dyDescent="0.2">
      <c r="A2224" s="118"/>
      <c r="D2224" s="157"/>
      <c r="E2224" s="157"/>
      <c r="F2224" s="157"/>
      <c r="G2224" s="183"/>
      <c r="J2224" s="131"/>
      <c r="K2224" s="131"/>
      <c r="L2224" s="158"/>
      <c r="M2224" s="158"/>
      <c r="N2224" s="213" t="s">
        <v>6581</v>
      </c>
      <c r="Q2224" s="159"/>
      <c r="R2224" s="283">
        <v>18120</v>
      </c>
      <c r="S2224" s="283">
        <v>11520</v>
      </c>
      <c r="T2224" s="283">
        <v>29640</v>
      </c>
      <c r="Z2224" s="184"/>
      <c r="AA2224" s="141"/>
    </row>
    <row r="2225" spans="1:27" ht="15" hidden="1" customHeight="1" thickTop="1" x14ac:dyDescent="0.2">
      <c r="A2225" s="118"/>
      <c r="D2225" s="157"/>
      <c r="E2225" s="157"/>
      <c r="F2225" s="157"/>
      <c r="G2225" s="183"/>
      <c r="J2225" s="131"/>
      <c r="K2225" s="131"/>
      <c r="L2225" s="158"/>
      <c r="M2225" s="158"/>
      <c r="N2225" s="213" t="s">
        <v>6581</v>
      </c>
      <c r="Q2225" s="159"/>
      <c r="R2225" s="291"/>
      <c r="S2225" s="291"/>
      <c r="T2225" s="291"/>
      <c r="Z2225" s="184"/>
      <c r="AA2225" s="141"/>
    </row>
    <row r="2226" spans="1:27" ht="16" x14ac:dyDescent="0.2">
      <c r="A2226" s="156" t="s">
        <v>6782</v>
      </c>
      <c r="B2226" s="118" t="e">
        <f t="shared" ref="B2226:B2236" si="275">IF(COUNTIF(GIS,A2226),"YES","NO")</f>
        <v>#VALUE!</v>
      </c>
      <c r="C2226" t="s">
        <v>6152</v>
      </c>
      <c r="D2226" s="157">
        <v>43172</v>
      </c>
      <c r="E2226" s="157">
        <v>43221</v>
      </c>
      <c r="F2226" s="84">
        <f t="shared" ref="F2226:F2236" si="276">DATE(YEAR(E2226)+10,MONTH(E2226),DAY(E2226))</f>
        <v>46874</v>
      </c>
      <c r="G2226" s="183">
        <v>2559.56</v>
      </c>
      <c r="H2226" s="118" t="s">
        <v>6783</v>
      </c>
      <c r="I2226" s="118" t="s">
        <v>6269</v>
      </c>
      <c r="J2226" s="131"/>
      <c r="K2226" s="55">
        <f t="shared" ref="K2226:K2236" si="277">YEAR(F2226)</f>
        <v>2028</v>
      </c>
      <c r="L2226" s="158" t="s">
        <v>6784</v>
      </c>
      <c r="M2226" s="158" t="s">
        <v>6196</v>
      </c>
      <c r="N2226" s="213" t="s">
        <v>6785</v>
      </c>
      <c r="Q2226" s="159"/>
      <c r="R2226" s="222">
        <v>9120</v>
      </c>
      <c r="S2226" s="222">
        <v>0</v>
      </c>
      <c r="T2226" s="222">
        <v>9120</v>
      </c>
      <c r="U2226" s="223">
        <v>3840</v>
      </c>
      <c r="Z2226" s="184">
        <v>0.1</v>
      </c>
      <c r="AA2226" s="141">
        <v>0.1</v>
      </c>
    </row>
    <row r="2227" spans="1:27" ht="56" customHeight="1" x14ac:dyDescent="0.2">
      <c r="A2227" s="156" t="s">
        <v>6786</v>
      </c>
      <c r="B2227" s="118" t="e">
        <f t="shared" si="275"/>
        <v>#VALUE!</v>
      </c>
      <c r="C2227" t="s">
        <v>6152</v>
      </c>
      <c r="D2227" s="157">
        <v>43172</v>
      </c>
      <c r="E2227" s="157">
        <v>43221</v>
      </c>
      <c r="F2227" s="84">
        <f t="shared" si="276"/>
        <v>46874</v>
      </c>
      <c r="G2227" s="183">
        <v>2359.6999999999998</v>
      </c>
      <c r="H2227" s="118" t="s">
        <v>6783</v>
      </c>
      <c r="I2227" s="118" t="s">
        <v>6269</v>
      </c>
      <c r="J2227" s="131"/>
      <c r="K2227" s="55">
        <f t="shared" si="277"/>
        <v>2028</v>
      </c>
      <c r="L2227" s="158" t="s">
        <v>6784</v>
      </c>
      <c r="M2227" s="158" t="s">
        <v>6196</v>
      </c>
      <c r="N2227" s="213" t="s">
        <v>6787</v>
      </c>
      <c r="Q2227" s="159"/>
      <c r="R2227" s="222">
        <v>8420</v>
      </c>
      <c r="S2227" s="222">
        <v>4720</v>
      </c>
      <c r="T2227" s="222">
        <v>13140</v>
      </c>
      <c r="U2227" s="223">
        <v>3540</v>
      </c>
      <c r="Z2227" s="184">
        <v>0.1</v>
      </c>
      <c r="AA2227" s="141">
        <v>0.1</v>
      </c>
    </row>
    <row r="2228" spans="1:27" ht="42" customHeight="1" x14ac:dyDescent="0.2">
      <c r="A2228" s="156" t="s">
        <v>6788</v>
      </c>
      <c r="B2228" s="118" t="e">
        <f t="shared" si="275"/>
        <v>#VALUE!</v>
      </c>
      <c r="C2228" t="s">
        <v>6152</v>
      </c>
      <c r="D2228" s="157">
        <v>43172</v>
      </c>
      <c r="E2228" s="157">
        <v>43221</v>
      </c>
      <c r="F2228" s="84">
        <f t="shared" si="276"/>
        <v>46874</v>
      </c>
      <c r="G2228" s="183">
        <v>1120</v>
      </c>
      <c r="H2228" s="118" t="s">
        <v>6783</v>
      </c>
      <c r="I2228" s="118" t="s">
        <v>6269</v>
      </c>
      <c r="J2228" s="131"/>
      <c r="K2228" s="55">
        <f t="shared" si="277"/>
        <v>2028</v>
      </c>
      <c r="L2228" s="158" t="s">
        <v>6784</v>
      </c>
      <c r="M2228" s="158" t="s">
        <v>6196</v>
      </c>
      <c r="N2228" s="213" t="s">
        <v>6789</v>
      </c>
      <c r="Q2228" s="159"/>
      <c r="R2228" s="222">
        <v>4080</v>
      </c>
      <c r="S2228" s="222">
        <v>0</v>
      </c>
      <c r="T2228" s="222">
        <v>4080</v>
      </c>
      <c r="U2228" s="223">
        <v>1680</v>
      </c>
      <c r="Z2228" s="184">
        <v>0.1</v>
      </c>
      <c r="AA2228" s="141">
        <v>0.1</v>
      </c>
    </row>
    <row r="2229" spans="1:27" ht="28" customHeight="1" x14ac:dyDescent="0.2">
      <c r="A2229" s="156" t="s">
        <v>6790</v>
      </c>
      <c r="B2229" s="118" t="e">
        <f t="shared" si="275"/>
        <v>#VALUE!</v>
      </c>
      <c r="C2229" t="s">
        <v>6152</v>
      </c>
      <c r="D2229" s="157">
        <v>43172</v>
      </c>
      <c r="E2229" s="157">
        <v>43221</v>
      </c>
      <c r="F2229" s="84">
        <f t="shared" si="276"/>
        <v>46874</v>
      </c>
      <c r="G2229" s="183">
        <v>560</v>
      </c>
      <c r="H2229" s="118" t="s">
        <v>6783</v>
      </c>
      <c r="I2229" s="118" t="s">
        <v>6269</v>
      </c>
      <c r="J2229" s="131"/>
      <c r="K2229" s="55">
        <f t="shared" si="277"/>
        <v>2028</v>
      </c>
      <c r="L2229" s="158" t="s">
        <v>6784</v>
      </c>
      <c r="M2229" s="158" t="s">
        <v>6196</v>
      </c>
      <c r="N2229" s="213" t="s">
        <v>6791</v>
      </c>
      <c r="Q2229" s="159"/>
      <c r="R2229" s="222">
        <v>2120</v>
      </c>
      <c r="S2229" s="222">
        <v>0</v>
      </c>
      <c r="T2229" s="222">
        <v>2120</v>
      </c>
      <c r="U2229" s="223">
        <v>840</v>
      </c>
      <c r="Z2229" s="184">
        <v>0.1</v>
      </c>
      <c r="AA2229" s="141">
        <v>0.1</v>
      </c>
    </row>
    <row r="2230" spans="1:27" ht="42" customHeight="1" x14ac:dyDescent="0.2">
      <c r="A2230" s="156" t="s">
        <v>6792</v>
      </c>
      <c r="B2230" s="118" t="e">
        <f t="shared" si="275"/>
        <v>#VALUE!</v>
      </c>
      <c r="C2230" t="s">
        <v>6152</v>
      </c>
      <c r="D2230" s="157">
        <v>43172</v>
      </c>
      <c r="E2230" s="157">
        <v>43221</v>
      </c>
      <c r="F2230" s="84">
        <f t="shared" si="276"/>
        <v>46874</v>
      </c>
      <c r="G2230" s="183">
        <v>1184.33</v>
      </c>
      <c r="H2230" s="118" t="s">
        <v>6783</v>
      </c>
      <c r="I2230" s="118" t="s">
        <v>6269</v>
      </c>
      <c r="J2230" s="131"/>
      <c r="K2230" s="55">
        <f t="shared" si="277"/>
        <v>2028</v>
      </c>
      <c r="L2230" s="158" t="s">
        <v>6784</v>
      </c>
      <c r="M2230" s="158" t="s">
        <v>6196</v>
      </c>
      <c r="N2230" s="213" t="s">
        <v>6793</v>
      </c>
      <c r="Q2230" s="159"/>
      <c r="R2230" s="222">
        <v>4307.5</v>
      </c>
      <c r="S2230" s="222">
        <v>18960</v>
      </c>
      <c r="T2230" s="222">
        <v>23267.5</v>
      </c>
      <c r="U2230" s="223">
        <v>1777.5</v>
      </c>
      <c r="Z2230" s="184">
        <v>0.1</v>
      </c>
      <c r="AA2230" s="141">
        <v>0.1</v>
      </c>
    </row>
    <row r="2231" spans="1:27" ht="28" customHeight="1" x14ac:dyDescent="0.2">
      <c r="A2231" s="156" t="s">
        <v>6794</v>
      </c>
      <c r="B2231" s="118" t="e">
        <f t="shared" si="275"/>
        <v>#VALUE!</v>
      </c>
      <c r="C2231" t="s">
        <v>6152</v>
      </c>
      <c r="D2231" s="157">
        <v>43172</v>
      </c>
      <c r="E2231" s="157">
        <v>43221</v>
      </c>
      <c r="F2231" s="84">
        <f t="shared" si="276"/>
        <v>46874</v>
      </c>
      <c r="G2231" s="183">
        <v>1000</v>
      </c>
      <c r="H2231" s="118" t="s">
        <v>6783</v>
      </c>
      <c r="I2231" s="118" t="s">
        <v>6269</v>
      </c>
      <c r="J2231" s="131"/>
      <c r="K2231" s="55">
        <f t="shared" si="277"/>
        <v>2028</v>
      </c>
      <c r="L2231" s="158" t="s">
        <v>6784</v>
      </c>
      <c r="M2231" s="158" t="s">
        <v>6196</v>
      </c>
      <c r="N2231" s="213" t="s">
        <v>6795</v>
      </c>
      <c r="Q2231" s="159"/>
      <c r="R2231" s="222">
        <v>3660</v>
      </c>
      <c r="S2231" s="222">
        <v>26000</v>
      </c>
      <c r="T2231" s="222">
        <v>29660</v>
      </c>
      <c r="U2231" s="223">
        <v>1500</v>
      </c>
      <c r="Z2231" s="184">
        <v>0.1</v>
      </c>
      <c r="AA2231" s="141">
        <v>0.1</v>
      </c>
    </row>
    <row r="2232" spans="1:27" ht="70" customHeight="1" x14ac:dyDescent="0.2">
      <c r="A2232" s="156" t="s">
        <v>6796</v>
      </c>
      <c r="B2232" s="118" t="e">
        <f t="shared" si="275"/>
        <v>#VALUE!</v>
      </c>
      <c r="C2232" t="s">
        <v>6152</v>
      </c>
      <c r="D2232" s="157">
        <v>43172</v>
      </c>
      <c r="E2232" s="157">
        <v>43221</v>
      </c>
      <c r="F2232" s="84">
        <f t="shared" si="276"/>
        <v>46874</v>
      </c>
      <c r="G2232" s="183">
        <v>880</v>
      </c>
      <c r="H2232" s="118" t="s">
        <v>6783</v>
      </c>
      <c r="I2232" s="118" t="s">
        <v>6269</v>
      </c>
      <c r="J2232" s="131"/>
      <c r="K2232" s="55">
        <f t="shared" si="277"/>
        <v>2028</v>
      </c>
      <c r="L2232" s="158" t="s">
        <v>6797</v>
      </c>
      <c r="M2232" s="158" t="s">
        <v>6761</v>
      </c>
      <c r="N2232" s="213" t="s">
        <v>6798</v>
      </c>
      <c r="Q2232" s="159"/>
      <c r="R2232" s="222">
        <v>3240</v>
      </c>
      <c r="S2232" s="222">
        <v>0</v>
      </c>
      <c r="T2232" s="222">
        <v>3240</v>
      </c>
      <c r="U2232" s="223">
        <v>1320</v>
      </c>
      <c r="Z2232" s="184">
        <v>0.1</v>
      </c>
      <c r="AA2232" s="141">
        <v>0.1</v>
      </c>
    </row>
    <row r="2233" spans="1:27" ht="70" customHeight="1" x14ac:dyDescent="0.2">
      <c r="A2233" s="156" t="s">
        <v>6799</v>
      </c>
      <c r="B2233" s="118" t="e">
        <f t="shared" si="275"/>
        <v>#VALUE!</v>
      </c>
      <c r="C2233" t="s">
        <v>6152</v>
      </c>
      <c r="D2233" s="157">
        <v>43172</v>
      </c>
      <c r="E2233" s="157">
        <v>43221</v>
      </c>
      <c r="F2233" s="84">
        <f t="shared" si="276"/>
        <v>46874</v>
      </c>
      <c r="G2233" s="183">
        <v>2000</v>
      </c>
      <c r="H2233" s="118" t="s">
        <v>6783</v>
      </c>
      <c r="I2233" s="118" t="s">
        <v>6269</v>
      </c>
      <c r="J2233" s="131"/>
      <c r="K2233" s="55">
        <f t="shared" si="277"/>
        <v>2028</v>
      </c>
      <c r="L2233" s="158" t="s">
        <v>6797</v>
      </c>
      <c r="M2233" s="158" t="s">
        <v>6761</v>
      </c>
      <c r="N2233" s="213" t="s">
        <v>6800</v>
      </c>
      <c r="Q2233" s="159"/>
      <c r="R2233" s="222">
        <v>7160</v>
      </c>
      <c r="S2233" s="222">
        <v>0</v>
      </c>
      <c r="T2233" s="222">
        <v>7160</v>
      </c>
      <c r="U2233" s="223">
        <v>3000</v>
      </c>
      <c r="Z2233" s="184">
        <v>0.1</v>
      </c>
      <c r="AA2233" s="141">
        <v>0.1</v>
      </c>
    </row>
    <row r="2234" spans="1:27" ht="56" customHeight="1" x14ac:dyDescent="0.2">
      <c r="A2234" s="156" t="s">
        <v>6801</v>
      </c>
      <c r="B2234" s="118" t="e">
        <f t="shared" si="275"/>
        <v>#VALUE!</v>
      </c>
      <c r="C2234" t="s">
        <v>6152</v>
      </c>
      <c r="D2234" s="157">
        <v>43172</v>
      </c>
      <c r="E2234" s="157">
        <v>43221</v>
      </c>
      <c r="F2234" s="84">
        <f t="shared" si="276"/>
        <v>46874</v>
      </c>
      <c r="G2234" s="183">
        <v>2320</v>
      </c>
      <c r="H2234" s="118" t="s">
        <v>6783</v>
      </c>
      <c r="I2234" s="118" t="s">
        <v>6269</v>
      </c>
      <c r="J2234" s="131"/>
      <c r="K2234" s="55">
        <f t="shared" si="277"/>
        <v>2028</v>
      </c>
      <c r="L2234" s="158" t="s">
        <v>6525</v>
      </c>
      <c r="M2234" s="158" t="s">
        <v>6761</v>
      </c>
      <c r="N2234" s="213" t="s">
        <v>6802</v>
      </c>
      <c r="Q2234" s="159"/>
      <c r="R2234" s="222">
        <v>8280</v>
      </c>
      <c r="S2234" s="222">
        <v>0</v>
      </c>
      <c r="T2234" s="222">
        <v>8280</v>
      </c>
      <c r="U2234" s="223">
        <v>3480</v>
      </c>
      <c r="Z2234" s="184">
        <v>0.1</v>
      </c>
      <c r="AA2234" s="141">
        <v>0.1</v>
      </c>
    </row>
    <row r="2235" spans="1:27" ht="42" customHeight="1" x14ac:dyDescent="0.2">
      <c r="A2235" s="156" t="s">
        <v>6803</v>
      </c>
      <c r="B2235" s="118" t="e">
        <f t="shared" si="275"/>
        <v>#VALUE!</v>
      </c>
      <c r="C2235" t="s">
        <v>6152</v>
      </c>
      <c r="D2235" s="157">
        <v>43172</v>
      </c>
      <c r="E2235" s="157">
        <v>43221</v>
      </c>
      <c r="F2235" s="84">
        <f t="shared" si="276"/>
        <v>46874</v>
      </c>
      <c r="G2235" s="183">
        <v>240</v>
      </c>
      <c r="H2235" s="118" t="s">
        <v>6804</v>
      </c>
      <c r="I2235" s="118" t="s">
        <v>6269</v>
      </c>
      <c r="J2235" s="131"/>
      <c r="K2235" s="55">
        <f t="shared" si="277"/>
        <v>2028</v>
      </c>
      <c r="L2235" s="158" t="s">
        <v>6270</v>
      </c>
      <c r="M2235" s="158" t="s">
        <v>6805</v>
      </c>
      <c r="N2235" s="213" t="s">
        <v>6806</v>
      </c>
      <c r="Q2235" s="159"/>
      <c r="R2235" s="222">
        <v>1000</v>
      </c>
      <c r="S2235" s="222">
        <v>0</v>
      </c>
      <c r="T2235" s="222">
        <v>1000</v>
      </c>
      <c r="U2235" s="223">
        <v>360</v>
      </c>
      <c r="Z2235" s="184">
        <v>0.1</v>
      </c>
      <c r="AA2235" s="141">
        <v>0.1</v>
      </c>
    </row>
    <row r="2236" spans="1:27" ht="28" customHeight="1" x14ac:dyDescent="0.2">
      <c r="A2236" s="156" t="s">
        <v>6807</v>
      </c>
      <c r="B2236" s="118" t="e">
        <f t="shared" si="275"/>
        <v>#VALUE!</v>
      </c>
      <c r="C2236" t="s">
        <v>6152</v>
      </c>
      <c r="D2236" s="157">
        <v>43172</v>
      </c>
      <c r="E2236" s="157">
        <v>43221</v>
      </c>
      <c r="F2236" s="84">
        <f t="shared" si="276"/>
        <v>46874</v>
      </c>
      <c r="G2236" s="183">
        <v>280</v>
      </c>
      <c r="H2236" s="118" t="s">
        <v>6808</v>
      </c>
      <c r="I2236" s="118" t="s">
        <v>6269</v>
      </c>
      <c r="J2236" s="131"/>
      <c r="K2236" s="55">
        <f t="shared" si="277"/>
        <v>2028</v>
      </c>
      <c r="L2236" s="158" t="s">
        <v>6809</v>
      </c>
      <c r="M2236" s="158" t="s">
        <v>6674</v>
      </c>
      <c r="N2236" s="213" t="s">
        <v>6810</v>
      </c>
      <c r="Q2236" s="159"/>
      <c r="R2236" s="299">
        <v>1140</v>
      </c>
      <c r="S2236" s="299">
        <v>8680</v>
      </c>
      <c r="T2236" s="299">
        <v>9820</v>
      </c>
      <c r="U2236" s="223">
        <v>420</v>
      </c>
      <c r="Z2236" s="184">
        <v>0.1</v>
      </c>
      <c r="AA2236" s="141">
        <v>0.1</v>
      </c>
    </row>
    <row r="2237" spans="1:27" ht="16" hidden="1" x14ac:dyDescent="0.2">
      <c r="A2237" s="118"/>
      <c r="E2237" s="118"/>
      <c r="F2237" s="118"/>
      <c r="G2237" s="183"/>
      <c r="J2237" s="131"/>
      <c r="K2237" s="131"/>
      <c r="L2237" s="158"/>
      <c r="M2237" s="158"/>
      <c r="N2237" s="213" t="s">
        <v>6581</v>
      </c>
      <c r="Q2237" s="164"/>
      <c r="R2237" s="283">
        <v>52527.5</v>
      </c>
      <c r="S2237" s="283">
        <v>58360</v>
      </c>
      <c r="T2237" s="283">
        <v>110887.5</v>
      </c>
      <c r="Z2237" s="184"/>
      <c r="AA2237" s="141"/>
    </row>
    <row r="2238" spans="1:27" ht="15" hidden="1" customHeight="1" thickTop="1" x14ac:dyDescent="0.2">
      <c r="A2238" s="118"/>
      <c r="E2238" s="118"/>
      <c r="F2238" s="118"/>
      <c r="G2238" s="183"/>
      <c r="J2238" s="131"/>
      <c r="K2238" s="131"/>
      <c r="L2238" s="158"/>
      <c r="M2238" s="158"/>
      <c r="N2238" s="213" t="s">
        <v>6581</v>
      </c>
      <c r="Q2238" s="164"/>
      <c r="R2238" s="291"/>
      <c r="S2238" s="291"/>
      <c r="T2238" s="291"/>
      <c r="Z2238" s="184"/>
      <c r="AA2238" s="141"/>
    </row>
    <row r="2239" spans="1:27" ht="42" customHeight="1" x14ac:dyDescent="0.2">
      <c r="A2239" s="156" t="s">
        <v>6811</v>
      </c>
      <c r="B2239" s="118" t="e">
        <f t="shared" ref="B2239:B2256" si="278">IF(COUNTIF(GIS,A2239),"YES","NO")</f>
        <v>#VALUE!</v>
      </c>
      <c r="C2239" t="s">
        <v>6152</v>
      </c>
      <c r="D2239" s="157">
        <v>43272</v>
      </c>
      <c r="E2239" s="157">
        <v>43313</v>
      </c>
      <c r="F2239" s="84">
        <f t="shared" ref="F2239:F2256" si="279">DATE(YEAR(E2239)+10,MONTH(E2239),DAY(E2239))</f>
        <v>46966</v>
      </c>
      <c r="G2239" s="183">
        <v>205</v>
      </c>
      <c r="H2239" s="118" t="s">
        <v>6066</v>
      </c>
      <c r="I2239" s="118" t="s">
        <v>676</v>
      </c>
      <c r="J2239" s="131"/>
      <c r="K2239" s="55">
        <f t="shared" ref="K2239:K2256" si="280">YEAR(F2239)</f>
        <v>2028</v>
      </c>
      <c r="L2239" s="158" t="s">
        <v>6154</v>
      </c>
      <c r="M2239" s="158" t="s">
        <v>6812</v>
      </c>
      <c r="N2239" s="213" t="s">
        <v>6813</v>
      </c>
      <c r="Q2239" s="159"/>
      <c r="R2239" s="222">
        <v>877.5</v>
      </c>
      <c r="S2239" s="222">
        <v>0</v>
      </c>
      <c r="T2239" s="222">
        <v>877.5</v>
      </c>
      <c r="U2239" s="223">
        <v>307.5</v>
      </c>
      <c r="Z2239" s="184">
        <v>0.1</v>
      </c>
      <c r="AA2239" s="141">
        <v>0.1</v>
      </c>
    </row>
    <row r="2240" spans="1:27" ht="32" x14ac:dyDescent="0.2">
      <c r="A2240" s="156" t="s">
        <v>6814</v>
      </c>
      <c r="B2240" s="118" t="e">
        <f t="shared" si="278"/>
        <v>#VALUE!</v>
      </c>
      <c r="C2240" t="s">
        <v>6152</v>
      </c>
      <c r="D2240" s="157">
        <v>43272</v>
      </c>
      <c r="E2240" s="157">
        <v>43313</v>
      </c>
      <c r="F2240" s="84">
        <f t="shared" si="279"/>
        <v>46966</v>
      </c>
      <c r="G2240" s="183">
        <v>120</v>
      </c>
      <c r="H2240" s="118" t="s">
        <v>6066</v>
      </c>
      <c r="I2240" s="118" t="s">
        <v>676</v>
      </c>
      <c r="J2240" s="131"/>
      <c r="K2240" s="55">
        <f t="shared" si="280"/>
        <v>2028</v>
      </c>
      <c r="L2240" s="158" t="s">
        <v>6154</v>
      </c>
      <c r="M2240" s="158" t="s">
        <v>6812</v>
      </c>
      <c r="N2240" s="213" t="s">
        <v>6815</v>
      </c>
      <c r="Q2240" s="159"/>
      <c r="R2240" s="222">
        <v>580</v>
      </c>
      <c r="S2240" s="222">
        <v>0</v>
      </c>
      <c r="T2240" s="222">
        <v>580</v>
      </c>
      <c r="U2240" s="223">
        <v>180</v>
      </c>
      <c r="Z2240" s="184">
        <v>0.1</v>
      </c>
      <c r="AA2240" s="141">
        <v>0.1</v>
      </c>
    </row>
    <row r="2241" spans="1:27" ht="16" x14ac:dyDescent="0.2">
      <c r="A2241" s="156" t="s">
        <v>6816</v>
      </c>
      <c r="B2241" s="118" t="e">
        <f t="shared" si="278"/>
        <v>#VALUE!</v>
      </c>
      <c r="C2241" t="s">
        <v>6152</v>
      </c>
      <c r="D2241" s="157">
        <v>43272</v>
      </c>
      <c r="E2241" s="157">
        <v>43313</v>
      </c>
      <c r="F2241" s="84">
        <f t="shared" si="279"/>
        <v>46966</v>
      </c>
      <c r="G2241" s="183">
        <v>40</v>
      </c>
      <c r="H2241" s="118" t="s">
        <v>6066</v>
      </c>
      <c r="I2241" s="118" t="s">
        <v>676</v>
      </c>
      <c r="J2241" s="131"/>
      <c r="K2241" s="55">
        <f t="shared" si="280"/>
        <v>2028</v>
      </c>
      <c r="L2241" s="158" t="s">
        <v>6154</v>
      </c>
      <c r="M2241" s="158" t="s">
        <v>6817</v>
      </c>
      <c r="N2241" s="213" t="s">
        <v>6818</v>
      </c>
      <c r="Q2241" s="159"/>
      <c r="R2241" s="222">
        <v>300</v>
      </c>
      <c r="S2241" s="222">
        <v>0</v>
      </c>
      <c r="T2241" s="222">
        <v>300</v>
      </c>
      <c r="U2241" s="223">
        <v>60</v>
      </c>
      <c r="Z2241" s="184">
        <v>0.1</v>
      </c>
      <c r="AA2241" s="141">
        <v>0.1</v>
      </c>
    </row>
    <row r="2242" spans="1:27" ht="28" customHeight="1" x14ac:dyDescent="0.2">
      <c r="A2242" s="156" t="s">
        <v>6819</v>
      </c>
      <c r="B2242" s="118" t="e">
        <f t="shared" si="278"/>
        <v>#VALUE!</v>
      </c>
      <c r="C2242" t="s">
        <v>6152</v>
      </c>
      <c r="D2242" s="157">
        <v>43272</v>
      </c>
      <c r="E2242" s="157">
        <v>43313</v>
      </c>
      <c r="F2242" s="84">
        <f t="shared" si="279"/>
        <v>46966</v>
      </c>
      <c r="G2242" s="183">
        <v>65</v>
      </c>
      <c r="H2242" s="118" t="s">
        <v>1687</v>
      </c>
      <c r="I2242" s="118" t="s">
        <v>676</v>
      </c>
      <c r="J2242" s="131"/>
      <c r="K2242" s="55">
        <f t="shared" si="280"/>
        <v>2028</v>
      </c>
      <c r="L2242" s="158" t="s">
        <v>6510</v>
      </c>
      <c r="M2242" s="158" t="s">
        <v>6817</v>
      </c>
      <c r="N2242" s="213" t="s">
        <v>6820</v>
      </c>
      <c r="Q2242" s="159"/>
      <c r="R2242" s="222">
        <v>387.5</v>
      </c>
      <c r="S2242" s="222">
        <v>0</v>
      </c>
      <c r="T2242" s="222">
        <v>387.5</v>
      </c>
      <c r="U2242" s="223">
        <v>97.5</v>
      </c>
      <c r="Z2242" s="184">
        <v>0.1</v>
      </c>
      <c r="AA2242" s="141">
        <v>0.1</v>
      </c>
    </row>
    <row r="2243" spans="1:27" ht="16" x14ac:dyDescent="0.2">
      <c r="A2243" s="156" t="s">
        <v>6821</v>
      </c>
      <c r="B2243" s="118" t="e">
        <f t="shared" si="278"/>
        <v>#VALUE!</v>
      </c>
      <c r="C2243" t="s">
        <v>6152</v>
      </c>
      <c r="D2243" s="157">
        <v>43272</v>
      </c>
      <c r="E2243" s="157">
        <v>43313</v>
      </c>
      <c r="F2243" s="84">
        <f t="shared" si="279"/>
        <v>46966</v>
      </c>
      <c r="G2243" s="183">
        <v>39.799999999999997</v>
      </c>
      <c r="H2243" s="118" t="s">
        <v>1687</v>
      </c>
      <c r="I2243" s="118" t="s">
        <v>676</v>
      </c>
      <c r="J2243" s="131"/>
      <c r="K2243" s="55">
        <f t="shared" si="280"/>
        <v>2028</v>
      </c>
      <c r="L2243" s="158" t="s">
        <v>6436</v>
      </c>
      <c r="M2243" s="158" t="s">
        <v>6684</v>
      </c>
      <c r="N2243" s="213" t="s">
        <v>6822</v>
      </c>
      <c r="Q2243" s="159"/>
      <c r="R2243" s="222">
        <v>300</v>
      </c>
      <c r="S2243" s="222">
        <v>0</v>
      </c>
      <c r="T2243" s="222">
        <v>300</v>
      </c>
      <c r="U2243" s="223">
        <v>60</v>
      </c>
      <c r="Z2243" s="184">
        <v>0.1</v>
      </c>
      <c r="AA2243" s="141">
        <v>0.1</v>
      </c>
    </row>
    <row r="2244" spans="1:27" ht="16" x14ac:dyDescent="0.2">
      <c r="A2244" s="156" t="s">
        <v>6823</v>
      </c>
      <c r="B2244" s="118" t="e">
        <f t="shared" si="278"/>
        <v>#VALUE!</v>
      </c>
      <c r="C2244" t="s">
        <v>6152</v>
      </c>
      <c r="D2244" s="157">
        <v>43272</v>
      </c>
      <c r="E2244" s="157">
        <v>43313</v>
      </c>
      <c r="F2244" s="84">
        <f t="shared" si="279"/>
        <v>46966</v>
      </c>
      <c r="G2244" s="183">
        <v>80</v>
      </c>
      <c r="H2244" s="118" t="s">
        <v>1687</v>
      </c>
      <c r="I2244" s="118" t="s">
        <v>676</v>
      </c>
      <c r="J2244" s="131"/>
      <c r="K2244" s="55">
        <f t="shared" si="280"/>
        <v>2028</v>
      </c>
      <c r="L2244" s="158" t="s">
        <v>6436</v>
      </c>
      <c r="M2244" s="158" t="s">
        <v>6684</v>
      </c>
      <c r="N2244" s="213" t="s">
        <v>6824</v>
      </c>
      <c r="Q2244" s="159"/>
      <c r="R2244" s="222">
        <v>440</v>
      </c>
      <c r="S2244" s="222">
        <v>0</v>
      </c>
      <c r="T2244" s="222">
        <v>440</v>
      </c>
      <c r="U2244" s="223">
        <v>120</v>
      </c>
      <c r="Z2244" s="184">
        <v>0.1</v>
      </c>
      <c r="AA2244" s="141">
        <v>0.1</v>
      </c>
    </row>
    <row r="2245" spans="1:27" ht="28" customHeight="1" x14ac:dyDescent="0.2">
      <c r="A2245" s="156" t="s">
        <v>6825</v>
      </c>
      <c r="B2245" s="118" t="e">
        <f t="shared" si="278"/>
        <v>#VALUE!</v>
      </c>
      <c r="C2245" t="s">
        <v>6152</v>
      </c>
      <c r="D2245" s="157">
        <v>43272</v>
      </c>
      <c r="E2245" s="157">
        <v>43313</v>
      </c>
      <c r="F2245" s="84">
        <f t="shared" si="279"/>
        <v>46966</v>
      </c>
      <c r="G2245" s="183">
        <v>364.38</v>
      </c>
      <c r="H2245" s="118" t="s">
        <v>1687</v>
      </c>
      <c r="I2245" s="118" t="s">
        <v>676</v>
      </c>
      <c r="J2245" s="131"/>
      <c r="K2245" s="55">
        <f t="shared" si="280"/>
        <v>2028</v>
      </c>
      <c r="L2245" s="158" t="s">
        <v>6436</v>
      </c>
      <c r="M2245" s="158" t="s">
        <v>6684</v>
      </c>
      <c r="N2245" s="213" t="s">
        <v>6826</v>
      </c>
      <c r="Q2245" s="159"/>
      <c r="R2245" s="222">
        <v>3992.5</v>
      </c>
      <c r="S2245" s="222">
        <v>0</v>
      </c>
      <c r="T2245" s="222">
        <v>3992.5</v>
      </c>
      <c r="U2245" s="223">
        <v>547.5</v>
      </c>
      <c r="Z2245" s="184">
        <v>0.1</v>
      </c>
      <c r="AA2245" s="141">
        <v>0.1</v>
      </c>
    </row>
    <row r="2246" spans="1:27" ht="16" x14ac:dyDescent="0.2">
      <c r="A2246" s="156" t="s">
        <v>6827</v>
      </c>
      <c r="B2246" s="118" t="e">
        <f t="shared" si="278"/>
        <v>#VALUE!</v>
      </c>
      <c r="C2246" t="s">
        <v>6152</v>
      </c>
      <c r="D2246" s="157">
        <v>43272</v>
      </c>
      <c r="E2246" s="157">
        <v>43313</v>
      </c>
      <c r="F2246" s="84">
        <f t="shared" si="279"/>
        <v>46966</v>
      </c>
      <c r="G2246" s="183">
        <v>122.38</v>
      </c>
      <c r="H2246" s="118" t="s">
        <v>1687</v>
      </c>
      <c r="I2246" s="118" t="s">
        <v>676</v>
      </c>
      <c r="J2246" s="131"/>
      <c r="K2246" s="55">
        <f t="shared" si="280"/>
        <v>2028</v>
      </c>
      <c r="L2246" s="158" t="s">
        <v>6436</v>
      </c>
      <c r="M2246" s="158" t="s">
        <v>6684</v>
      </c>
      <c r="N2246" s="213" t="s">
        <v>6828</v>
      </c>
      <c r="Q2246" s="159"/>
      <c r="R2246" s="222">
        <v>590.5</v>
      </c>
      <c r="S2246" s="222">
        <v>0</v>
      </c>
      <c r="T2246" s="222">
        <v>590.5</v>
      </c>
      <c r="U2246" s="223">
        <v>184.5</v>
      </c>
      <c r="Z2246" s="184">
        <v>0.1</v>
      </c>
      <c r="AA2246" s="141">
        <v>0.1</v>
      </c>
    </row>
    <row r="2247" spans="1:27" ht="16" x14ac:dyDescent="0.2">
      <c r="A2247" s="156" t="s">
        <v>6829</v>
      </c>
      <c r="B2247" s="118" t="e">
        <f t="shared" si="278"/>
        <v>#VALUE!</v>
      </c>
      <c r="C2247" t="s">
        <v>6152</v>
      </c>
      <c r="D2247" s="157">
        <v>43272</v>
      </c>
      <c r="E2247" s="157">
        <v>43313</v>
      </c>
      <c r="F2247" s="84">
        <f t="shared" si="279"/>
        <v>46966</v>
      </c>
      <c r="G2247" s="183">
        <v>40</v>
      </c>
      <c r="H2247" s="118" t="s">
        <v>1687</v>
      </c>
      <c r="I2247" s="118" t="s">
        <v>676</v>
      </c>
      <c r="J2247" s="131"/>
      <c r="K2247" s="55">
        <f t="shared" si="280"/>
        <v>2028</v>
      </c>
      <c r="L2247" s="158" t="s">
        <v>6436</v>
      </c>
      <c r="M2247" s="158" t="s">
        <v>6224</v>
      </c>
      <c r="N2247" s="213" t="s">
        <v>6830</v>
      </c>
      <c r="Q2247" s="159"/>
      <c r="R2247" s="222">
        <v>300</v>
      </c>
      <c r="S2247" s="222">
        <v>0</v>
      </c>
      <c r="T2247" s="222">
        <v>300</v>
      </c>
      <c r="U2247" s="223">
        <v>60</v>
      </c>
      <c r="Z2247" s="184">
        <v>0.1</v>
      </c>
      <c r="AA2247" s="141">
        <v>0.1</v>
      </c>
    </row>
    <row r="2248" spans="1:27" ht="28" customHeight="1" x14ac:dyDescent="0.2">
      <c r="A2248" s="156" t="s">
        <v>6831</v>
      </c>
      <c r="B2248" s="118" t="e">
        <f t="shared" si="278"/>
        <v>#VALUE!</v>
      </c>
      <c r="C2248" t="s">
        <v>6152</v>
      </c>
      <c r="D2248" s="157">
        <v>43272</v>
      </c>
      <c r="E2248" s="157">
        <v>43313</v>
      </c>
      <c r="F2248" s="84">
        <f t="shared" si="279"/>
        <v>46966</v>
      </c>
      <c r="G2248" s="183">
        <v>67.5</v>
      </c>
      <c r="H2248" s="118" t="s">
        <v>1687</v>
      </c>
      <c r="I2248" s="118" t="s">
        <v>676</v>
      </c>
      <c r="J2248" s="131"/>
      <c r="K2248" s="55">
        <f t="shared" si="280"/>
        <v>2028</v>
      </c>
      <c r="L2248" s="158" t="s">
        <v>6436</v>
      </c>
      <c r="M2248" s="158" t="s">
        <v>6224</v>
      </c>
      <c r="N2248" s="213" t="s">
        <v>6832</v>
      </c>
      <c r="Q2248" s="159"/>
      <c r="R2248" s="222">
        <v>398</v>
      </c>
      <c r="S2248" s="222">
        <v>0</v>
      </c>
      <c r="T2248" s="222">
        <v>398</v>
      </c>
      <c r="U2248" s="223">
        <v>102</v>
      </c>
      <c r="Z2248" s="184">
        <v>0.1</v>
      </c>
      <c r="AA2248" s="141">
        <v>0.1</v>
      </c>
    </row>
    <row r="2249" spans="1:27" ht="16" x14ac:dyDescent="0.2">
      <c r="A2249" s="156" t="s">
        <v>6833</v>
      </c>
      <c r="B2249" s="118" t="e">
        <f t="shared" si="278"/>
        <v>#VALUE!</v>
      </c>
      <c r="C2249" t="s">
        <v>6152</v>
      </c>
      <c r="D2249" s="157">
        <v>43272</v>
      </c>
      <c r="E2249" s="157">
        <v>43313</v>
      </c>
      <c r="F2249" s="84">
        <f t="shared" si="279"/>
        <v>46966</v>
      </c>
      <c r="G2249" s="183">
        <v>40</v>
      </c>
      <c r="H2249" s="118" t="s">
        <v>1687</v>
      </c>
      <c r="I2249" s="118" t="s">
        <v>676</v>
      </c>
      <c r="J2249" s="131"/>
      <c r="K2249" s="55">
        <f t="shared" si="280"/>
        <v>2028</v>
      </c>
      <c r="L2249" s="158" t="s">
        <v>6436</v>
      </c>
      <c r="M2249" s="158" t="s">
        <v>6224</v>
      </c>
      <c r="N2249" s="213" t="s">
        <v>6834</v>
      </c>
      <c r="Q2249" s="159"/>
      <c r="R2249" s="222">
        <v>300</v>
      </c>
      <c r="S2249" s="222">
        <v>0</v>
      </c>
      <c r="T2249" s="222">
        <v>300</v>
      </c>
      <c r="U2249" s="301">
        <v>60</v>
      </c>
      <c r="V2249" s="302"/>
      <c r="W2249" s="302"/>
      <c r="X2249" s="301"/>
      <c r="Z2249" s="184">
        <v>0.1</v>
      </c>
      <c r="AA2249" s="141">
        <v>0.1</v>
      </c>
    </row>
    <row r="2250" spans="1:27" ht="16" x14ac:dyDescent="0.2">
      <c r="A2250" s="156" t="s">
        <v>6835</v>
      </c>
      <c r="B2250" s="118" t="e">
        <f t="shared" si="278"/>
        <v>#VALUE!</v>
      </c>
      <c r="C2250" t="s">
        <v>6152</v>
      </c>
      <c r="D2250" s="157">
        <v>43272</v>
      </c>
      <c r="E2250" s="157">
        <v>43313</v>
      </c>
      <c r="F2250" s="84">
        <f t="shared" si="279"/>
        <v>46966</v>
      </c>
      <c r="G2250" s="183">
        <v>40</v>
      </c>
      <c r="H2250" s="118" t="s">
        <v>1687</v>
      </c>
      <c r="I2250" s="118" t="s">
        <v>676</v>
      </c>
      <c r="J2250" s="131"/>
      <c r="K2250" s="55">
        <f t="shared" si="280"/>
        <v>2028</v>
      </c>
      <c r="L2250" s="158" t="s">
        <v>6436</v>
      </c>
      <c r="M2250" s="158" t="s">
        <v>6224</v>
      </c>
      <c r="N2250" s="213" t="s">
        <v>6836</v>
      </c>
      <c r="Q2250" s="159"/>
      <c r="R2250" s="222">
        <v>300</v>
      </c>
      <c r="S2250" s="222">
        <v>0</v>
      </c>
      <c r="T2250" s="222">
        <v>300</v>
      </c>
      <c r="U2250" s="223">
        <v>60</v>
      </c>
      <c r="Z2250" s="184">
        <v>0.1</v>
      </c>
      <c r="AA2250" s="141">
        <v>0.1</v>
      </c>
    </row>
    <row r="2251" spans="1:27" ht="16" x14ac:dyDescent="0.2">
      <c r="A2251" s="156" t="s">
        <v>6837</v>
      </c>
      <c r="B2251" s="118" t="e">
        <f t="shared" si="278"/>
        <v>#VALUE!</v>
      </c>
      <c r="C2251" t="s">
        <v>6152</v>
      </c>
      <c r="D2251" s="157">
        <v>43272</v>
      </c>
      <c r="E2251" s="157">
        <v>43313</v>
      </c>
      <c r="F2251" s="84">
        <f t="shared" si="279"/>
        <v>46966</v>
      </c>
      <c r="G2251" s="183">
        <v>80</v>
      </c>
      <c r="H2251" s="118" t="s">
        <v>1687</v>
      </c>
      <c r="I2251" s="118" t="s">
        <v>676</v>
      </c>
      <c r="J2251" s="131"/>
      <c r="K2251" s="55">
        <f t="shared" si="280"/>
        <v>2028</v>
      </c>
      <c r="L2251" s="158" t="s">
        <v>6436</v>
      </c>
      <c r="M2251" s="158" t="s">
        <v>6224</v>
      </c>
      <c r="N2251" s="213" t="s">
        <v>6838</v>
      </c>
      <c r="Q2251" s="159"/>
      <c r="R2251" s="222">
        <v>440</v>
      </c>
      <c r="S2251" s="222">
        <v>0</v>
      </c>
      <c r="T2251" s="222">
        <v>440</v>
      </c>
      <c r="U2251" s="223">
        <v>120</v>
      </c>
      <c r="Z2251" s="184">
        <v>0.1</v>
      </c>
      <c r="AA2251" s="141">
        <v>0.1</v>
      </c>
    </row>
    <row r="2252" spans="1:27" ht="16" x14ac:dyDescent="0.2">
      <c r="A2252" s="156" t="s">
        <v>6839</v>
      </c>
      <c r="B2252" s="118" t="e">
        <f t="shared" si="278"/>
        <v>#VALUE!</v>
      </c>
      <c r="C2252" t="s">
        <v>6152</v>
      </c>
      <c r="D2252" s="157">
        <v>43272</v>
      </c>
      <c r="E2252" s="157">
        <v>43313</v>
      </c>
      <c r="F2252" s="84">
        <f t="shared" si="279"/>
        <v>46966</v>
      </c>
      <c r="G2252" s="183">
        <v>120</v>
      </c>
      <c r="H2252" s="118" t="s">
        <v>1687</v>
      </c>
      <c r="I2252" s="118" t="s">
        <v>676</v>
      </c>
      <c r="J2252" s="131"/>
      <c r="K2252" s="55">
        <f t="shared" si="280"/>
        <v>2028</v>
      </c>
      <c r="L2252" s="158" t="s">
        <v>6436</v>
      </c>
      <c r="M2252" s="158" t="s">
        <v>6224</v>
      </c>
      <c r="N2252" s="213" t="s">
        <v>6840</v>
      </c>
      <c r="Q2252" s="159"/>
      <c r="R2252" s="222">
        <v>1300</v>
      </c>
      <c r="S2252" s="222">
        <v>0</v>
      </c>
      <c r="T2252" s="222">
        <v>1300</v>
      </c>
      <c r="U2252" s="223">
        <v>180</v>
      </c>
      <c r="Z2252" s="184">
        <v>0.1</v>
      </c>
      <c r="AA2252" s="141">
        <v>0.1</v>
      </c>
    </row>
    <row r="2253" spans="1:27" ht="16" x14ac:dyDescent="0.2">
      <c r="A2253" s="156" t="s">
        <v>6841</v>
      </c>
      <c r="B2253" s="118" t="e">
        <f t="shared" si="278"/>
        <v>#VALUE!</v>
      </c>
      <c r="C2253" t="s">
        <v>6152</v>
      </c>
      <c r="D2253" s="157">
        <v>43272</v>
      </c>
      <c r="E2253" s="157">
        <v>43313</v>
      </c>
      <c r="F2253" s="84">
        <f t="shared" si="279"/>
        <v>46966</v>
      </c>
      <c r="G2253" s="183">
        <v>80</v>
      </c>
      <c r="H2253" s="118" t="s">
        <v>1687</v>
      </c>
      <c r="I2253" s="118" t="s">
        <v>676</v>
      </c>
      <c r="J2253" s="131"/>
      <c r="K2253" s="55">
        <f t="shared" si="280"/>
        <v>2028</v>
      </c>
      <c r="L2253" s="158" t="s">
        <v>6154</v>
      </c>
      <c r="M2253" s="158" t="s">
        <v>6224</v>
      </c>
      <c r="N2253" s="213" t="s">
        <v>6842</v>
      </c>
      <c r="Q2253" s="159"/>
      <c r="R2253" s="222">
        <v>440</v>
      </c>
      <c r="S2253" s="222">
        <v>0</v>
      </c>
      <c r="T2253" s="222">
        <v>440</v>
      </c>
      <c r="U2253" s="223">
        <v>120</v>
      </c>
      <c r="Z2253" s="184">
        <v>0.1</v>
      </c>
      <c r="AA2253" s="141">
        <v>0.1</v>
      </c>
    </row>
    <row r="2254" spans="1:27" ht="16" x14ac:dyDescent="0.2">
      <c r="A2254" s="156" t="s">
        <v>6843</v>
      </c>
      <c r="B2254" s="118" t="e">
        <f t="shared" si="278"/>
        <v>#VALUE!</v>
      </c>
      <c r="C2254" t="s">
        <v>6152</v>
      </c>
      <c r="D2254" s="157">
        <v>43272</v>
      </c>
      <c r="E2254" s="157">
        <v>43313</v>
      </c>
      <c r="F2254" s="84">
        <f t="shared" si="279"/>
        <v>46966</v>
      </c>
      <c r="G2254" s="183">
        <v>40</v>
      </c>
      <c r="H2254" s="118" t="s">
        <v>1687</v>
      </c>
      <c r="I2254" s="118" t="s">
        <v>676</v>
      </c>
      <c r="J2254" s="131"/>
      <c r="K2254" s="55">
        <f t="shared" si="280"/>
        <v>2028</v>
      </c>
      <c r="L2254" s="158" t="s">
        <v>6154</v>
      </c>
      <c r="M2254" s="158" t="s">
        <v>6224</v>
      </c>
      <c r="N2254" s="213" t="s">
        <v>6844</v>
      </c>
      <c r="Q2254" s="159"/>
      <c r="R2254" s="222">
        <v>300</v>
      </c>
      <c r="S2254" s="222">
        <v>0</v>
      </c>
      <c r="T2254" s="222">
        <v>300</v>
      </c>
      <c r="U2254" s="223">
        <v>60</v>
      </c>
      <c r="Z2254" s="184">
        <v>0.1</v>
      </c>
      <c r="AA2254" s="141">
        <v>0.1</v>
      </c>
    </row>
    <row r="2255" spans="1:27" ht="16" x14ac:dyDescent="0.2">
      <c r="A2255" s="156" t="s">
        <v>6845</v>
      </c>
      <c r="B2255" s="118" t="e">
        <f t="shared" si="278"/>
        <v>#VALUE!</v>
      </c>
      <c r="C2255" t="s">
        <v>6152</v>
      </c>
      <c r="D2255" s="157">
        <v>43272</v>
      </c>
      <c r="E2255" s="157">
        <v>43313</v>
      </c>
      <c r="F2255" s="84">
        <f t="shared" si="279"/>
        <v>46966</v>
      </c>
      <c r="G2255" s="183">
        <v>86.03</v>
      </c>
      <c r="H2255" s="118" t="s">
        <v>6066</v>
      </c>
      <c r="I2255" s="118" t="s">
        <v>676</v>
      </c>
      <c r="J2255" s="131"/>
      <c r="K2255" s="55">
        <f t="shared" si="280"/>
        <v>2028</v>
      </c>
      <c r="L2255" s="158" t="s">
        <v>6510</v>
      </c>
      <c r="M2255" s="158" t="s">
        <v>6437</v>
      </c>
      <c r="N2255" s="213" t="s">
        <v>6846</v>
      </c>
      <c r="Q2255" s="159"/>
      <c r="R2255" s="222">
        <v>464.5</v>
      </c>
      <c r="S2255" s="222">
        <v>0</v>
      </c>
      <c r="T2255" s="222">
        <v>464.5</v>
      </c>
      <c r="U2255" s="223">
        <v>130.5</v>
      </c>
      <c r="Z2255" s="184">
        <v>0.1</v>
      </c>
      <c r="AA2255" s="141">
        <v>0.1</v>
      </c>
    </row>
    <row r="2256" spans="1:27" ht="16" x14ac:dyDescent="0.2">
      <c r="A2256" s="156" t="s">
        <v>6847</v>
      </c>
      <c r="B2256" s="118" t="e">
        <f t="shared" si="278"/>
        <v>#VALUE!</v>
      </c>
      <c r="C2256" t="s">
        <v>6152</v>
      </c>
      <c r="D2256" s="157">
        <v>43272</v>
      </c>
      <c r="E2256" s="157">
        <v>43313</v>
      </c>
      <c r="F2256" s="84">
        <f t="shared" si="279"/>
        <v>46966</v>
      </c>
      <c r="G2256" s="183">
        <v>39.590000000000003</v>
      </c>
      <c r="H2256" s="118" t="s">
        <v>1687</v>
      </c>
      <c r="I2256" s="118" t="s">
        <v>676</v>
      </c>
      <c r="J2256" s="131"/>
      <c r="K2256" s="55">
        <f t="shared" si="280"/>
        <v>2028</v>
      </c>
      <c r="L2256" s="158" t="s">
        <v>6436</v>
      </c>
      <c r="M2256" s="158" t="s">
        <v>6684</v>
      </c>
      <c r="N2256" s="213" t="s">
        <v>6848</v>
      </c>
      <c r="Q2256" s="159"/>
      <c r="R2256" s="299">
        <v>300</v>
      </c>
      <c r="S2256" s="299">
        <v>0</v>
      </c>
      <c r="T2256" s="299">
        <v>300</v>
      </c>
      <c r="U2256" s="223">
        <v>60</v>
      </c>
      <c r="Z2256" s="184">
        <v>0.1</v>
      </c>
      <c r="AA2256" s="141">
        <v>0.1</v>
      </c>
    </row>
    <row r="2257" spans="1:27" ht="16" hidden="1" x14ac:dyDescent="0.2">
      <c r="A2257" s="118"/>
      <c r="E2257" s="118"/>
      <c r="F2257" s="118"/>
      <c r="G2257" s="183"/>
      <c r="J2257" s="131"/>
      <c r="K2257" s="131"/>
      <c r="L2257" s="158"/>
      <c r="M2257" s="158"/>
      <c r="N2257" s="213" t="s">
        <v>6581</v>
      </c>
      <c r="Q2257" s="164"/>
      <c r="R2257" s="283">
        <v>12010.5</v>
      </c>
      <c r="S2257" s="283">
        <v>0</v>
      </c>
      <c r="T2257" s="283">
        <v>12010.5</v>
      </c>
      <c r="Z2257" s="184"/>
      <c r="AA2257" s="141"/>
    </row>
    <row r="2258" spans="1:27" ht="15" hidden="1" customHeight="1" thickTop="1" x14ac:dyDescent="0.2">
      <c r="A2258" s="118"/>
      <c r="E2258" s="118"/>
      <c r="F2258" s="118"/>
      <c r="G2258" s="183"/>
      <c r="J2258" s="131"/>
      <c r="K2258" s="131"/>
      <c r="L2258" s="158"/>
      <c r="M2258" s="158"/>
      <c r="N2258" s="213" t="s">
        <v>6581</v>
      </c>
      <c r="Q2258" s="164"/>
      <c r="R2258" s="291"/>
      <c r="S2258" s="291"/>
      <c r="T2258" s="291"/>
      <c r="Z2258" s="184"/>
      <c r="AA2258" s="141"/>
    </row>
    <row r="2259" spans="1:27" ht="16" x14ac:dyDescent="0.2">
      <c r="A2259" s="156" t="s">
        <v>6849</v>
      </c>
      <c r="B2259" s="118" t="e">
        <f t="shared" ref="B2259:B2265" si="281">IF(COUNTIF(GIS,A2259),"YES","NO")</f>
        <v>#VALUE!</v>
      </c>
      <c r="C2259" t="s">
        <v>6152</v>
      </c>
      <c r="D2259" s="157">
        <v>43348</v>
      </c>
      <c r="E2259" s="157">
        <v>43405</v>
      </c>
      <c r="F2259" s="84">
        <f t="shared" ref="F2259:F2265" si="282">DATE(YEAR(E2259)+10,MONTH(E2259),DAY(E2259))</f>
        <v>47058</v>
      </c>
      <c r="G2259" s="183">
        <v>640</v>
      </c>
      <c r="H2259" s="118" t="s">
        <v>1534</v>
      </c>
      <c r="I2259" s="118" t="s">
        <v>1147</v>
      </c>
      <c r="J2259" s="131"/>
      <c r="K2259" s="55">
        <f t="shared" ref="K2259:K2265" si="283">YEAR(F2259)</f>
        <v>2028</v>
      </c>
      <c r="L2259" s="158" t="s">
        <v>6850</v>
      </c>
      <c r="M2259" s="158" t="s">
        <v>6196</v>
      </c>
      <c r="N2259" s="213" t="s">
        <v>6851</v>
      </c>
      <c r="Q2259" s="159"/>
      <c r="R2259" s="222">
        <v>4480</v>
      </c>
      <c r="S2259" s="222">
        <v>0</v>
      </c>
      <c r="T2259" s="222">
        <v>4480</v>
      </c>
      <c r="U2259" s="223">
        <v>960</v>
      </c>
      <c r="Z2259" s="184">
        <v>0.1</v>
      </c>
      <c r="AA2259" s="141">
        <v>0.1</v>
      </c>
    </row>
    <row r="2260" spans="1:27" ht="16" x14ac:dyDescent="0.2">
      <c r="A2260" s="156" t="s">
        <v>6852</v>
      </c>
      <c r="B2260" s="118" t="e">
        <f t="shared" si="281"/>
        <v>#VALUE!</v>
      </c>
      <c r="C2260" t="s">
        <v>6152</v>
      </c>
      <c r="D2260" s="157">
        <v>43348</v>
      </c>
      <c r="E2260" s="157">
        <v>43405</v>
      </c>
      <c r="F2260" s="84">
        <f t="shared" si="282"/>
        <v>47058</v>
      </c>
      <c r="G2260" s="183">
        <v>40</v>
      </c>
      <c r="H2260" s="118" t="s">
        <v>1146</v>
      </c>
      <c r="I2260" s="118" t="s">
        <v>1147</v>
      </c>
      <c r="J2260" s="131"/>
      <c r="K2260" s="55">
        <f t="shared" si="283"/>
        <v>2028</v>
      </c>
      <c r="L2260" s="158" t="s">
        <v>6853</v>
      </c>
      <c r="M2260" s="158" t="s">
        <v>6761</v>
      </c>
      <c r="N2260" s="213" t="s">
        <v>6854</v>
      </c>
      <c r="Q2260" s="159"/>
      <c r="R2260" s="222">
        <v>2960</v>
      </c>
      <c r="S2260" s="222">
        <v>0</v>
      </c>
      <c r="T2260" s="222">
        <v>2960</v>
      </c>
      <c r="U2260" s="223">
        <v>60</v>
      </c>
      <c r="Z2260" s="184">
        <v>0.1</v>
      </c>
      <c r="AA2260" s="141">
        <v>0.1</v>
      </c>
    </row>
    <row r="2261" spans="1:27" ht="16" x14ac:dyDescent="0.2">
      <c r="A2261" s="156" t="s">
        <v>6855</v>
      </c>
      <c r="B2261" s="118" t="e">
        <f t="shared" si="281"/>
        <v>#VALUE!</v>
      </c>
      <c r="C2261" t="s">
        <v>6152</v>
      </c>
      <c r="D2261" s="157">
        <v>43348</v>
      </c>
      <c r="E2261" s="157">
        <v>43405</v>
      </c>
      <c r="F2261" s="84">
        <f t="shared" si="282"/>
        <v>47058</v>
      </c>
      <c r="G2261" s="183">
        <v>400</v>
      </c>
      <c r="H2261" s="118" t="s">
        <v>1534</v>
      </c>
      <c r="I2261" s="118" t="s">
        <v>1147</v>
      </c>
      <c r="J2261" s="131"/>
      <c r="K2261" s="55">
        <f t="shared" si="283"/>
        <v>2028</v>
      </c>
      <c r="L2261" s="158" t="s">
        <v>6388</v>
      </c>
      <c r="M2261" s="158" t="s">
        <v>6856</v>
      </c>
      <c r="N2261" s="213" t="s">
        <v>6857</v>
      </c>
      <c r="Q2261" s="159"/>
      <c r="R2261" s="222">
        <v>60400</v>
      </c>
      <c r="S2261" s="222">
        <v>0</v>
      </c>
      <c r="T2261" s="222">
        <v>60400</v>
      </c>
      <c r="U2261" s="223">
        <v>600</v>
      </c>
      <c r="Z2261" s="184">
        <v>0.1</v>
      </c>
      <c r="AA2261" s="141">
        <v>0.1</v>
      </c>
    </row>
    <row r="2262" spans="1:27" ht="28" customHeight="1" x14ac:dyDescent="0.2">
      <c r="A2262" s="156" t="s">
        <v>6858</v>
      </c>
      <c r="B2262" s="118" t="e">
        <f t="shared" si="281"/>
        <v>#VALUE!</v>
      </c>
      <c r="C2262" t="s">
        <v>6152</v>
      </c>
      <c r="D2262" s="157">
        <v>43348</v>
      </c>
      <c r="E2262" s="157">
        <v>43405</v>
      </c>
      <c r="F2262" s="84">
        <f t="shared" si="282"/>
        <v>47058</v>
      </c>
      <c r="G2262" s="183">
        <v>408.68</v>
      </c>
      <c r="H2262" s="118" t="s">
        <v>1534</v>
      </c>
      <c r="I2262" s="118" t="s">
        <v>1147</v>
      </c>
      <c r="J2262" s="131"/>
      <c r="K2262" s="55">
        <f t="shared" si="283"/>
        <v>2028</v>
      </c>
      <c r="L2262" s="158" t="s">
        <v>6388</v>
      </c>
      <c r="M2262" s="158" t="s">
        <v>6856</v>
      </c>
      <c r="N2262" s="213" t="s">
        <v>6859</v>
      </c>
      <c r="Q2262" s="159"/>
      <c r="R2262" s="222">
        <v>15951</v>
      </c>
      <c r="S2262" s="222">
        <v>0</v>
      </c>
      <c r="T2262" s="222">
        <v>15951</v>
      </c>
      <c r="U2262" s="223">
        <v>613.5</v>
      </c>
      <c r="Z2262" s="184">
        <v>0.1</v>
      </c>
      <c r="AA2262" s="141">
        <v>0.1</v>
      </c>
    </row>
    <row r="2263" spans="1:27" ht="16" x14ac:dyDescent="0.2">
      <c r="A2263" s="156" t="s">
        <v>6860</v>
      </c>
      <c r="B2263" s="118" t="e">
        <f t="shared" si="281"/>
        <v>#VALUE!</v>
      </c>
      <c r="C2263" t="s">
        <v>6152</v>
      </c>
      <c r="D2263" s="157">
        <v>43348</v>
      </c>
      <c r="E2263" s="157">
        <v>43405</v>
      </c>
      <c r="F2263" s="84">
        <f t="shared" si="282"/>
        <v>47058</v>
      </c>
      <c r="G2263" s="183">
        <v>600</v>
      </c>
      <c r="H2263" s="118" t="s">
        <v>1534</v>
      </c>
      <c r="I2263" s="118" t="s">
        <v>1147</v>
      </c>
      <c r="J2263" s="131"/>
      <c r="K2263" s="55">
        <f t="shared" si="283"/>
        <v>2028</v>
      </c>
      <c r="L2263" s="158" t="s">
        <v>6388</v>
      </c>
      <c r="M2263" s="158" t="s">
        <v>6856</v>
      </c>
      <c r="N2263" s="213" t="s">
        <v>6861</v>
      </c>
      <c r="Q2263" s="159"/>
      <c r="R2263" s="222">
        <v>32400</v>
      </c>
      <c r="S2263" s="222">
        <v>0</v>
      </c>
      <c r="T2263" s="222">
        <v>32400</v>
      </c>
      <c r="U2263" s="223">
        <v>900</v>
      </c>
      <c r="Z2263" s="184">
        <v>0.1</v>
      </c>
      <c r="AA2263" s="141">
        <v>0.1</v>
      </c>
    </row>
    <row r="2264" spans="1:27" ht="16" x14ac:dyDescent="0.2">
      <c r="A2264" s="156" t="s">
        <v>6862</v>
      </c>
      <c r="B2264" s="118" t="e">
        <f t="shared" si="281"/>
        <v>#VALUE!</v>
      </c>
      <c r="C2264" t="s">
        <v>6152</v>
      </c>
      <c r="D2264" s="157">
        <v>43348</v>
      </c>
      <c r="E2264" s="157">
        <v>43405</v>
      </c>
      <c r="F2264" s="84">
        <f t="shared" si="282"/>
        <v>47058</v>
      </c>
      <c r="G2264" s="183">
        <v>240</v>
      </c>
      <c r="H2264" s="118" t="s">
        <v>1534</v>
      </c>
      <c r="I2264" s="118" t="s">
        <v>1147</v>
      </c>
      <c r="J2264" s="131"/>
      <c r="K2264" s="55">
        <f t="shared" si="283"/>
        <v>2028</v>
      </c>
      <c r="L2264" s="158" t="s">
        <v>6388</v>
      </c>
      <c r="M2264" s="158" t="s">
        <v>6856</v>
      </c>
      <c r="N2264" s="213" t="s">
        <v>6863</v>
      </c>
      <c r="Q2264" s="159"/>
      <c r="R2264" s="222">
        <v>23760</v>
      </c>
      <c r="S2264" s="222">
        <v>0</v>
      </c>
      <c r="T2264" s="222">
        <v>23760</v>
      </c>
      <c r="U2264" s="223">
        <v>360</v>
      </c>
      <c r="Z2264" s="184">
        <v>0.1</v>
      </c>
      <c r="AA2264" s="141">
        <v>0.1</v>
      </c>
    </row>
    <row r="2265" spans="1:27" ht="28" customHeight="1" x14ac:dyDescent="0.2">
      <c r="A2265" s="156" t="s">
        <v>6864</v>
      </c>
      <c r="B2265" s="118" t="e">
        <f t="shared" si="281"/>
        <v>#VALUE!</v>
      </c>
      <c r="C2265" t="s">
        <v>6152</v>
      </c>
      <c r="D2265" s="157">
        <v>43348</v>
      </c>
      <c r="E2265" s="157">
        <v>43405</v>
      </c>
      <c r="F2265" s="84">
        <f t="shared" si="282"/>
        <v>47058</v>
      </c>
      <c r="G2265" s="183">
        <v>480</v>
      </c>
      <c r="H2265" s="118" t="s">
        <v>1146</v>
      </c>
      <c r="I2265" s="118" t="s">
        <v>1147</v>
      </c>
      <c r="J2265" s="131"/>
      <c r="K2265" s="55">
        <f t="shared" si="283"/>
        <v>2028</v>
      </c>
      <c r="L2265" s="158" t="s">
        <v>6865</v>
      </c>
      <c r="M2265" s="158" t="s">
        <v>6856</v>
      </c>
      <c r="N2265" s="213" t="s">
        <v>6866</v>
      </c>
      <c r="Q2265" s="159"/>
      <c r="R2265" s="299">
        <v>73920</v>
      </c>
      <c r="S2265" s="299">
        <v>0</v>
      </c>
      <c r="T2265" s="299">
        <v>73920</v>
      </c>
      <c r="U2265" s="223">
        <v>720</v>
      </c>
      <c r="Z2265" s="184">
        <v>0.1</v>
      </c>
      <c r="AA2265" s="141">
        <v>0.1</v>
      </c>
    </row>
    <row r="2266" spans="1:27" ht="15" hidden="1" customHeight="1" thickBot="1" x14ac:dyDescent="0.25">
      <c r="A2266" s="118"/>
      <c r="E2266" s="118"/>
      <c r="F2266" s="118"/>
      <c r="G2266" s="183"/>
      <c r="J2266" s="131"/>
      <c r="K2266" s="131"/>
      <c r="L2266" s="158"/>
      <c r="M2266" s="158"/>
      <c r="N2266" s="213"/>
      <c r="Q2266" s="164"/>
      <c r="R2266" s="303">
        <v>213871</v>
      </c>
      <c r="S2266" s="303">
        <v>0</v>
      </c>
      <c r="T2266" s="303">
        <v>213871</v>
      </c>
      <c r="Z2266" s="184"/>
      <c r="AA2266" s="141"/>
    </row>
    <row r="2267" spans="1:27" hidden="1" x14ac:dyDescent="0.2">
      <c r="G2267" s="229"/>
      <c r="J2267" s="129"/>
      <c r="K2267" s="129"/>
      <c r="U2267" s="231"/>
      <c r="V2267" s="230"/>
      <c r="W2267" s="230"/>
      <c r="X2267" s="231"/>
    </row>
    <row r="2268" spans="1:27" hidden="1" x14ac:dyDescent="0.2">
      <c r="G2268" s="229"/>
      <c r="J2268" s="129"/>
      <c r="K2268" s="129"/>
      <c r="U2268" s="231"/>
      <c r="V2268" s="230"/>
      <c r="W2268" s="230"/>
      <c r="X2268" s="231"/>
    </row>
    <row r="2269" spans="1:27" hidden="1" x14ac:dyDescent="0.2">
      <c r="G2269" s="229"/>
      <c r="J2269" s="129"/>
      <c r="K2269" s="129"/>
      <c r="U2269" s="231"/>
      <c r="V2269" s="230"/>
      <c r="W2269" s="230"/>
      <c r="X2269" s="231"/>
    </row>
    <row r="2270" spans="1:27" hidden="1" x14ac:dyDescent="0.2">
      <c r="G2270" s="229"/>
      <c r="J2270" s="129"/>
      <c r="K2270" s="129"/>
      <c r="U2270" s="231"/>
      <c r="V2270" s="230"/>
      <c r="W2270" s="230"/>
      <c r="X2270" s="231"/>
    </row>
    <row r="2271" spans="1:27" hidden="1" x14ac:dyDescent="0.2">
      <c r="G2271" s="229"/>
      <c r="J2271" s="129"/>
      <c r="K2271" s="129"/>
      <c r="U2271" s="231"/>
      <c r="V2271" s="230"/>
      <c r="W2271" s="230"/>
      <c r="X2271" s="231"/>
    </row>
    <row r="2272" spans="1:27" hidden="1" x14ac:dyDescent="0.2">
      <c r="G2272" s="229"/>
      <c r="J2272" s="129"/>
      <c r="K2272" s="129"/>
      <c r="U2272" s="231"/>
      <c r="V2272" s="230"/>
      <c r="W2272" s="230"/>
      <c r="X2272" s="231"/>
    </row>
    <row r="2273" spans="7:24" hidden="1" x14ac:dyDescent="0.2">
      <c r="G2273" s="229"/>
      <c r="J2273" s="129"/>
      <c r="K2273" s="129"/>
      <c r="U2273" s="231"/>
      <c r="V2273" s="230"/>
      <c r="W2273" s="230"/>
      <c r="X2273" s="231"/>
    </row>
    <row r="2274" spans="7:24" hidden="1" x14ac:dyDescent="0.2">
      <c r="G2274" s="229"/>
      <c r="J2274" s="129"/>
      <c r="K2274" s="129"/>
      <c r="U2274" s="231"/>
      <c r="V2274" s="230"/>
      <c r="W2274" s="230"/>
      <c r="X2274" s="231"/>
    </row>
    <row r="2275" spans="7:24" hidden="1" x14ac:dyDescent="0.2">
      <c r="G2275" s="229"/>
      <c r="J2275" s="129"/>
      <c r="K2275" s="129"/>
      <c r="U2275" s="231"/>
      <c r="V2275" s="230"/>
      <c r="W2275" s="230"/>
      <c r="X2275" s="231"/>
    </row>
    <row r="2276" spans="7:24" hidden="1" x14ac:dyDescent="0.2">
      <c r="G2276" s="229"/>
      <c r="J2276" s="129"/>
      <c r="K2276" s="129"/>
      <c r="U2276" s="231"/>
      <c r="V2276" s="230"/>
      <c r="W2276" s="230"/>
      <c r="X2276" s="231"/>
    </row>
    <row r="2277" spans="7:24" hidden="1" x14ac:dyDescent="0.2">
      <c r="G2277" s="229"/>
      <c r="J2277" s="129"/>
      <c r="K2277" s="129"/>
      <c r="U2277" s="231"/>
      <c r="V2277" s="230"/>
      <c r="W2277" s="230"/>
      <c r="X2277" s="231"/>
    </row>
    <row r="2278" spans="7:24" hidden="1" x14ac:dyDescent="0.2">
      <c r="G2278" s="229"/>
      <c r="J2278" s="129"/>
      <c r="K2278" s="129"/>
      <c r="U2278" s="231"/>
      <c r="V2278" s="230"/>
      <c r="W2278" s="230"/>
      <c r="X2278" s="231"/>
    </row>
    <row r="2279" spans="7:24" hidden="1" x14ac:dyDescent="0.2">
      <c r="G2279" s="229"/>
      <c r="J2279" s="129"/>
      <c r="K2279" s="129"/>
      <c r="U2279" s="231"/>
      <c r="V2279" s="230"/>
      <c r="W2279" s="230"/>
      <c r="X2279" s="231"/>
    </row>
    <row r="2280" spans="7:24" hidden="1" x14ac:dyDescent="0.2">
      <c r="G2280" s="229"/>
      <c r="J2280" s="129"/>
      <c r="K2280" s="129"/>
      <c r="U2280" s="231"/>
      <c r="V2280" s="230"/>
      <c r="W2280" s="230"/>
      <c r="X2280" s="231"/>
    </row>
    <row r="2281" spans="7:24" hidden="1" x14ac:dyDescent="0.2">
      <c r="G2281" s="229"/>
      <c r="J2281" s="129"/>
      <c r="K2281" s="129"/>
      <c r="U2281" s="231"/>
      <c r="V2281" s="230"/>
      <c r="W2281" s="230"/>
      <c r="X2281" s="231"/>
    </row>
    <row r="2282" spans="7:24" hidden="1" x14ac:dyDescent="0.2">
      <c r="G2282" s="229"/>
      <c r="J2282" s="129"/>
      <c r="K2282" s="129"/>
      <c r="U2282" s="231"/>
      <c r="V2282" s="230"/>
      <c r="W2282" s="230"/>
      <c r="X2282" s="231"/>
    </row>
    <row r="2283" spans="7:24" hidden="1" x14ac:dyDescent="0.2">
      <c r="G2283" s="229"/>
      <c r="J2283" s="129"/>
      <c r="K2283" s="129"/>
      <c r="U2283" s="231"/>
      <c r="V2283" s="230"/>
      <c r="W2283" s="230"/>
      <c r="X2283" s="231"/>
    </row>
    <row r="2284" spans="7:24" hidden="1" x14ac:dyDescent="0.2">
      <c r="G2284" s="229"/>
      <c r="J2284" s="129"/>
      <c r="K2284" s="129"/>
      <c r="U2284" s="231"/>
      <c r="V2284" s="230"/>
      <c r="W2284" s="230"/>
      <c r="X2284" s="231"/>
    </row>
    <row r="2285" spans="7:24" hidden="1" x14ac:dyDescent="0.2">
      <c r="G2285" s="229"/>
      <c r="J2285" s="129"/>
      <c r="K2285" s="129"/>
      <c r="U2285" s="231"/>
      <c r="V2285" s="230"/>
      <c r="W2285" s="230"/>
      <c r="X2285" s="231"/>
    </row>
    <row r="2286" spans="7:24" hidden="1" x14ac:dyDescent="0.2">
      <c r="G2286" s="229"/>
      <c r="J2286" s="129"/>
      <c r="K2286" s="129"/>
      <c r="U2286" s="231"/>
      <c r="V2286" s="230"/>
      <c r="W2286" s="230"/>
      <c r="X2286" s="231"/>
    </row>
    <row r="2287" spans="7:24" hidden="1" x14ac:dyDescent="0.2">
      <c r="G2287" s="229"/>
      <c r="J2287" s="129"/>
      <c r="K2287" s="129"/>
      <c r="U2287" s="231"/>
      <c r="V2287" s="230"/>
      <c r="W2287" s="230"/>
      <c r="X2287" s="231"/>
    </row>
    <row r="2288" spans="7:24" hidden="1" x14ac:dyDescent="0.2">
      <c r="G2288" s="229"/>
      <c r="J2288" s="129"/>
      <c r="K2288" s="129"/>
      <c r="U2288" s="231"/>
      <c r="V2288" s="230"/>
      <c r="W2288" s="230"/>
      <c r="X2288" s="231"/>
    </row>
    <row r="2289" spans="7:24" hidden="1" x14ac:dyDescent="0.2">
      <c r="G2289" s="229"/>
      <c r="J2289" s="129"/>
      <c r="K2289" s="129"/>
      <c r="U2289" s="231"/>
      <c r="V2289" s="230"/>
      <c r="W2289" s="230"/>
      <c r="X2289" s="231"/>
    </row>
    <row r="2290" spans="7:24" hidden="1" x14ac:dyDescent="0.2">
      <c r="G2290" s="229"/>
      <c r="J2290" s="129"/>
      <c r="K2290" s="129"/>
      <c r="U2290" s="231"/>
      <c r="V2290" s="230"/>
      <c r="W2290" s="230"/>
      <c r="X2290" s="231"/>
    </row>
    <row r="2291" spans="7:24" hidden="1" x14ac:dyDescent="0.2">
      <c r="G2291" s="229"/>
      <c r="J2291" s="129"/>
      <c r="K2291" s="129"/>
      <c r="U2291" s="231"/>
      <c r="V2291" s="230"/>
      <c r="W2291" s="230"/>
      <c r="X2291" s="231"/>
    </row>
    <row r="2292" spans="7:24" hidden="1" x14ac:dyDescent="0.2">
      <c r="G2292" s="229"/>
      <c r="J2292" s="129"/>
      <c r="K2292" s="129"/>
      <c r="U2292" s="231"/>
      <c r="V2292" s="230"/>
      <c r="W2292" s="230"/>
      <c r="X2292" s="231"/>
    </row>
    <row r="2293" spans="7:24" hidden="1" x14ac:dyDescent="0.2">
      <c r="G2293" s="229"/>
      <c r="J2293" s="129"/>
      <c r="K2293" s="129"/>
      <c r="U2293" s="231"/>
      <c r="V2293" s="230"/>
      <c r="W2293" s="230"/>
      <c r="X2293" s="231"/>
    </row>
    <row r="2294" spans="7:24" hidden="1" x14ac:dyDescent="0.2">
      <c r="G2294" s="229"/>
      <c r="J2294" s="129"/>
      <c r="K2294" s="129"/>
      <c r="U2294" s="231"/>
      <c r="V2294" s="230"/>
      <c r="W2294" s="230"/>
      <c r="X2294" s="231"/>
    </row>
    <row r="2295" spans="7:24" hidden="1" x14ac:dyDescent="0.2">
      <c r="G2295" s="229"/>
      <c r="J2295" s="129"/>
      <c r="K2295" s="129"/>
      <c r="U2295" s="231"/>
      <c r="V2295" s="230"/>
      <c r="W2295" s="230"/>
      <c r="X2295" s="231"/>
    </row>
    <row r="2296" spans="7:24" hidden="1" x14ac:dyDescent="0.2">
      <c r="G2296" s="229"/>
      <c r="J2296" s="129"/>
      <c r="K2296" s="129"/>
      <c r="U2296" s="231"/>
      <c r="V2296" s="230"/>
      <c r="W2296" s="230"/>
      <c r="X2296" s="231"/>
    </row>
    <row r="2297" spans="7:24" hidden="1" x14ac:dyDescent="0.2">
      <c r="G2297" s="229"/>
      <c r="J2297" s="129"/>
      <c r="K2297" s="129"/>
      <c r="U2297" s="231"/>
      <c r="V2297" s="230"/>
      <c r="W2297" s="230"/>
      <c r="X2297" s="231"/>
    </row>
    <row r="2298" spans="7:24" hidden="1" x14ac:dyDescent="0.2">
      <c r="G2298" s="229"/>
      <c r="J2298" s="129"/>
      <c r="K2298" s="129"/>
      <c r="U2298" s="231"/>
      <c r="V2298" s="230"/>
      <c r="W2298" s="230"/>
      <c r="X2298" s="231"/>
    </row>
    <row r="2299" spans="7:24" hidden="1" x14ac:dyDescent="0.2">
      <c r="G2299" s="229"/>
      <c r="J2299" s="129"/>
      <c r="K2299" s="129"/>
      <c r="U2299" s="231"/>
      <c r="V2299" s="230"/>
      <c r="W2299" s="230"/>
      <c r="X2299" s="231"/>
    </row>
    <row r="2300" spans="7:24" hidden="1" x14ac:dyDescent="0.2">
      <c r="G2300" s="229"/>
      <c r="J2300" s="129"/>
      <c r="K2300" s="129"/>
      <c r="U2300" s="231"/>
      <c r="V2300" s="230"/>
      <c r="W2300" s="230"/>
      <c r="X2300" s="231"/>
    </row>
    <row r="2301" spans="7:24" hidden="1" x14ac:dyDescent="0.2">
      <c r="G2301" s="229"/>
      <c r="J2301" s="129"/>
      <c r="K2301" s="129"/>
      <c r="U2301" s="231"/>
      <c r="V2301" s="230"/>
      <c r="W2301" s="230"/>
      <c r="X2301" s="231"/>
    </row>
    <row r="2302" spans="7:24" hidden="1" x14ac:dyDescent="0.2">
      <c r="G2302" s="229"/>
      <c r="J2302" s="129"/>
      <c r="K2302" s="129"/>
      <c r="U2302" s="231"/>
      <c r="V2302" s="230"/>
      <c r="W2302" s="230"/>
      <c r="X2302" s="231"/>
    </row>
    <row r="2303" spans="7:24" hidden="1" x14ac:dyDescent="0.2">
      <c r="G2303" s="229"/>
      <c r="J2303" s="129"/>
      <c r="K2303" s="129"/>
      <c r="U2303" s="231"/>
      <c r="V2303" s="230"/>
      <c r="W2303" s="230"/>
      <c r="X2303" s="231"/>
    </row>
    <row r="2304" spans="7:24" hidden="1" x14ac:dyDescent="0.2">
      <c r="G2304" s="229"/>
      <c r="J2304" s="129"/>
      <c r="K2304" s="129"/>
      <c r="U2304" s="231"/>
      <c r="V2304" s="230"/>
      <c r="W2304" s="230"/>
      <c r="X2304" s="231"/>
    </row>
    <row r="2305" spans="7:24" hidden="1" x14ac:dyDescent="0.2">
      <c r="G2305" s="229"/>
      <c r="J2305" s="129"/>
      <c r="K2305" s="129"/>
      <c r="U2305" s="231"/>
      <c r="V2305" s="230"/>
      <c r="W2305" s="230"/>
      <c r="X2305" s="231"/>
    </row>
    <row r="2306" spans="7:24" hidden="1" x14ac:dyDescent="0.2">
      <c r="G2306" s="229"/>
      <c r="J2306" s="129"/>
      <c r="K2306" s="129"/>
      <c r="U2306" s="231"/>
      <c r="V2306" s="230"/>
      <c r="W2306" s="230"/>
      <c r="X2306" s="231"/>
    </row>
    <row r="2307" spans="7:24" hidden="1" x14ac:dyDescent="0.2">
      <c r="G2307" s="229"/>
      <c r="J2307" s="129"/>
      <c r="K2307" s="129"/>
      <c r="U2307" s="231"/>
      <c r="V2307" s="230"/>
      <c r="W2307" s="230"/>
      <c r="X2307" s="231"/>
    </row>
    <row r="2308" spans="7:24" hidden="1" x14ac:dyDescent="0.2">
      <c r="G2308" s="229"/>
      <c r="J2308" s="129"/>
      <c r="K2308" s="129"/>
      <c r="U2308" s="231"/>
      <c r="V2308" s="230"/>
      <c r="W2308" s="230"/>
      <c r="X2308" s="231"/>
    </row>
    <row r="2309" spans="7:24" hidden="1" x14ac:dyDescent="0.2">
      <c r="G2309" s="229"/>
      <c r="J2309" s="129"/>
      <c r="K2309" s="129"/>
      <c r="U2309" s="231"/>
      <c r="V2309" s="230"/>
      <c r="W2309" s="230"/>
      <c r="X2309" s="231"/>
    </row>
    <row r="2310" spans="7:24" hidden="1" x14ac:dyDescent="0.2">
      <c r="G2310" s="229"/>
      <c r="J2310" s="129"/>
      <c r="K2310" s="129"/>
      <c r="U2310" s="231"/>
      <c r="V2310" s="230"/>
      <c r="W2310" s="230"/>
      <c r="X2310" s="231"/>
    </row>
    <row r="2311" spans="7:24" hidden="1" x14ac:dyDescent="0.2">
      <c r="G2311" s="229"/>
      <c r="J2311" s="129"/>
      <c r="K2311" s="129"/>
      <c r="U2311" s="231"/>
      <c r="V2311" s="230"/>
      <c r="W2311" s="230"/>
      <c r="X2311" s="231"/>
    </row>
    <row r="2312" spans="7:24" hidden="1" x14ac:dyDescent="0.2">
      <c r="G2312" s="229"/>
      <c r="J2312" s="129"/>
      <c r="K2312" s="129"/>
      <c r="U2312" s="231"/>
      <c r="V2312" s="230"/>
      <c r="W2312" s="230"/>
      <c r="X2312" s="231"/>
    </row>
    <row r="2313" spans="7:24" hidden="1" x14ac:dyDescent="0.2">
      <c r="G2313" s="229"/>
      <c r="J2313" s="129"/>
      <c r="K2313" s="129"/>
      <c r="U2313" s="231"/>
      <c r="V2313" s="230"/>
      <c r="W2313" s="230"/>
      <c r="X2313" s="231"/>
    </row>
    <row r="2314" spans="7:24" x14ac:dyDescent="0.2">
      <c r="G2314" s="229"/>
      <c r="U2314" s="231"/>
      <c r="V2314" s="230"/>
      <c r="W2314" s="230"/>
      <c r="X2314" s="231"/>
    </row>
    <row r="2315" spans="7:24" x14ac:dyDescent="0.2">
      <c r="G2315" s="229"/>
      <c r="U2315" s="231"/>
      <c r="V2315" s="230"/>
      <c r="W2315" s="230"/>
      <c r="X2315" s="231"/>
    </row>
    <row r="2316" spans="7:24" x14ac:dyDescent="0.2">
      <c r="G2316" s="229"/>
      <c r="U2316" s="231"/>
      <c r="V2316" s="230"/>
      <c r="W2316" s="230"/>
      <c r="X2316" s="231"/>
    </row>
    <row r="2317" spans="7:24" x14ac:dyDescent="0.2">
      <c r="G2317" s="229"/>
      <c r="U2317" s="231"/>
      <c r="V2317" s="230"/>
      <c r="W2317" s="230"/>
      <c r="X2317" s="231"/>
    </row>
    <row r="2318" spans="7:24" x14ac:dyDescent="0.2">
      <c r="G2318" s="229"/>
      <c r="U2318" s="231"/>
      <c r="V2318" s="230"/>
      <c r="W2318" s="230"/>
      <c r="X2318" s="231"/>
    </row>
    <row r="2319" spans="7:24" x14ac:dyDescent="0.2">
      <c r="G2319" s="229"/>
      <c r="U2319" s="231"/>
      <c r="V2319" s="230"/>
      <c r="W2319" s="230"/>
      <c r="X2319" s="231"/>
    </row>
    <row r="2320" spans="7:24" x14ac:dyDescent="0.2">
      <c r="G2320" s="229"/>
      <c r="U2320" s="231"/>
      <c r="V2320" s="230"/>
      <c r="W2320" s="230"/>
      <c r="X2320" s="231"/>
    </row>
    <row r="2321" spans="7:24" x14ac:dyDescent="0.2">
      <c r="G2321" s="229"/>
      <c r="U2321" s="231"/>
      <c r="V2321" s="230"/>
      <c r="W2321" s="230"/>
      <c r="X2321" s="231"/>
    </row>
    <row r="2322" spans="7:24" x14ac:dyDescent="0.2">
      <c r="G2322" s="229"/>
      <c r="U2322" s="231"/>
      <c r="V2322" s="230"/>
      <c r="W2322" s="230"/>
      <c r="X2322" s="231"/>
    </row>
    <row r="2323" spans="7:24" x14ac:dyDescent="0.2">
      <c r="G2323" s="229"/>
      <c r="U2323" s="231"/>
      <c r="V2323" s="230"/>
      <c r="W2323" s="230"/>
      <c r="X2323" s="231"/>
    </row>
    <row r="2324" spans="7:24" x14ac:dyDescent="0.2">
      <c r="G2324" s="229"/>
      <c r="U2324" s="231"/>
      <c r="V2324" s="230"/>
      <c r="W2324" s="230"/>
      <c r="X2324" s="231"/>
    </row>
    <row r="2325" spans="7:24" x14ac:dyDescent="0.2">
      <c r="G2325" s="229"/>
      <c r="U2325" s="231"/>
      <c r="V2325" s="230"/>
      <c r="W2325" s="230"/>
      <c r="X2325" s="231"/>
    </row>
    <row r="2326" spans="7:24" x14ac:dyDescent="0.2">
      <c r="G2326" s="229"/>
      <c r="U2326" s="231"/>
      <c r="V2326" s="230"/>
      <c r="W2326" s="230"/>
      <c r="X2326" s="231"/>
    </row>
    <row r="2327" spans="7:24" x14ac:dyDescent="0.2">
      <c r="G2327" s="229"/>
      <c r="U2327" s="231"/>
      <c r="V2327" s="230"/>
      <c r="W2327" s="230"/>
      <c r="X2327" s="231"/>
    </row>
    <row r="2328" spans="7:24" x14ac:dyDescent="0.2">
      <c r="G2328" s="229"/>
      <c r="U2328" s="231"/>
      <c r="V2328" s="230"/>
      <c r="W2328" s="230"/>
      <c r="X2328" s="231"/>
    </row>
    <row r="2329" spans="7:24" x14ac:dyDescent="0.2">
      <c r="G2329" s="229"/>
      <c r="U2329" s="231"/>
      <c r="V2329" s="230"/>
      <c r="W2329" s="230"/>
      <c r="X2329" s="231"/>
    </row>
    <row r="2330" spans="7:24" x14ac:dyDescent="0.2">
      <c r="G2330" s="229"/>
      <c r="U2330" s="231"/>
      <c r="V2330" s="230"/>
      <c r="W2330" s="230"/>
      <c r="X2330" s="231"/>
    </row>
    <row r="2331" spans="7:24" x14ac:dyDescent="0.2">
      <c r="G2331" s="229"/>
      <c r="U2331" s="231"/>
      <c r="V2331" s="230"/>
      <c r="W2331" s="230"/>
      <c r="X2331" s="231"/>
    </row>
    <row r="2332" spans="7:24" x14ac:dyDescent="0.2">
      <c r="G2332" s="229"/>
      <c r="U2332" s="231"/>
      <c r="V2332" s="230"/>
      <c r="W2332" s="230"/>
      <c r="X2332" s="231"/>
    </row>
    <row r="2333" spans="7:24" x14ac:dyDescent="0.2">
      <c r="G2333" s="229"/>
      <c r="U2333" s="231"/>
      <c r="V2333" s="230"/>
      <c r="W2333" s="230"/>
      <c r="X2333" s="231"/>
    </row>
    <row r="2334" spans="7:24" x14ac:dyDescent="0.2">
      <c r="G2334" s="229"/>
      <c r="U2334" s="231"/>
      <c r="V2334" s="230"/>
      <c r="W2334" s="230"/>
      <c r="X2334" s="231"/>
    </row>
    <row r="2335" spans="7:24" x14ac:dyDescent="0.2">
      <c r="G2335" s="229"/>
      <c r="U2335" s="231"/>
      <c r="V2335" s="230"/>
      <c r="W2335" s="230"/>
      <c r="X2335" s="231"/>
    </row>
    <row r="2336" spans="7:24" x14ac:dyDescent="0.2">
      <c r="G2336" s="229"/>
      <c r="U2336" s="231"/>
      <c r="V2336" s="230"/>
      <c r="W2336" s="230"/>
      <c r="X2336" s="231"/>
    </row>
    <row r="2337" spans="7:24" x14ac:dyDescent="0.2">
      <c r="G2337" s="229"/>
      <c r="U2337" s="231"/>
      <c r="V2337" s="230"/>
      <c r="W2337" s="230"/>
      <c r="X2337" s="231"/>
    </row>
    <row r="2338" spans="7:24" x14ac:dyDescent="0.2">
      <c r="G2338" s="229"/>
      <c r="U2338" s="231"/>
      <c r="V2338" s="230"/>
      <c r="W2338" s="230"/>
      <c r="X2338" s="231"/>
    </row>
    <row r="2339" spans="7:24" x14ac:dyDescent="0.2">
      <c r="G2339" s="229"/>
      <c r="U2339" s="231"/>
      <c r="V2339" s="230"/>
      <c r="W2339" s="230"/>
      <c r="X2339" s="231"/>
    </row>
    <row r="2340" spans="7:24" x14ac:dyDescent="0.2">
      <c r="G2340" s="229"/>
      <c r="U2340" s="231"/>
      <c r="V2340" s="230"/>
      <c r="W2340" s="230"/>
      <c r="X2340" s="231"/>
    </row>
    <row r="2341" spans="7:24" x14ac:dyDescent="0.2">
      <c r="G2341" s="229"/>
      <c r="U2341" s="231"/>
      <c r="V2341" s="230"/>
      <c r="W2341" s="230"/>
      <c r="X2341" s="231"/>
    </row>
    <row r="2342" spans="7:24" x14ac:dyDescent="0.2">
      <c r="G2342" s="229"/>
      <c r="U2342" s="231"/>
      <c r="V2342" s="230"/>
      <c r="W2342" s="230"/>
      <c r="X2342" s="231"/>
    </row>
    <row r="2343" spans="7:24" x14ac:dyDescent="0.2">
      <c r="G2343" s="229"/>
      <c r="U2343" s="231"/>
      <c r="V2343" s="230"/>
      <c r="W2343" s="230"/>
      <c r="X2343" s="231"/>
    </row>
    <row r="2344" spans="7:24" x14ac:dyDescent="0.2">
      <c r="G2344" s="229"/>
      <c r="U2344" s="231"/>
      <c r="V2344" s="230"/>
      <c r="W2344" s="230"/>
      <c r="X2344" s="231"/>
    </row>
    <row r="2345" spans="7:24" x14ac:dyDescent="0.2">
      <c r="G2345" s="229"/>
      <c r="U2345" s="231"/>
      <c r="V2345" s="230"/>
      <c r="W2345" s="230"/>
      <c r="X2345" s="231"/>
    </row>
    <row r="2346" spans="7:24" x14ac:dyDescent="0.2">
      <c r="G2346" s="229"/>
      <c r="U2346" s="231"/>
      <c r="V2346" s="230"/>
      <c r="W2346" s="230"/>
      <c r="X2346" s="231"/>
    </row>
    <row r="2347" spans="7:24" x14ac:dyDescent="0.2">
      <c r="G2347" s="229"/>
      <c r="U2347" s="231"/>
      <c r="V2347" s="230"/>
      <c r="W2347" s="230"/>
      <c r="X2347" s="231"/>
    </row>
    <row r="2348" spans="7:24" x14ac:dyDescent="0.2">
      <c r="G2348" s="229"/>
      <c r="U2348" s="231"/>
      <c r="V2348" s="230"/>
      <c r="W2348" s="230"/>
      <c r="X2348" s="231"/>
    </row>
    <row r="2349" spans="7:24" x14ac:dyDescent="0.2">
      <c r="G2349" s="229"/>
      <c r="U2349" s="231"/>
      <c r="V2349" s="230"/>
      <c r="W2349" s="230"/>
      <c r="X2349" s="231"/>
    </row>
    <row r="2350" spans="7:24" x14ac:dyDescent="0.2">
      <c r="G2350" s="229"/>
      <c r="U2350" s="231"/>
      <c r="V2350" s="230"/>
      <c r="W2350" s="230"/>
      <c r="X2350" s="231"/>
    </row>
    <row r="2351" spans="7:24" x14ac:dyDescent="0.2">
      <c r="G2351" s="229"/>
      <c r="U2351" s="231"/>
      <c r="V2351" s="230"/>
      <c r="W2351" s="230"/>
      <c r="X2351" s="231"/>
    </row>
    <row r="2352" spans="7:24" x14ac:dyDescent="0.2">
      <c r="G2352" s="229"/>
      <c r="U2352" s="231"/>
      <c r="V2352" s="230"/>
      <c r="W2352" s="230"/>
      <c r="X2352" s="231"/>
    </row>
    <row r="2353" spans="7:24" x14ac:dyDescent="0.2">
      <c r="G2353" s="229"/>
      <c r="U2353" s="231"/>
      <c r="V2353" s="230"/>
      <c r="W2353" s="230"/>
      <c r="X2353" s="231"/>
    </row>
    <row r="2354" spans="7:24" x14ac:dyDescent="0.2">
      <c r="G2354" s="229"/>
      <c r="U2354" s="231"/>
      <c r="V2354" s="230"/>
      <c r="W2354" s="230"/>
      <c r="X2354" s="231"/>
    </row>
    <row r="2355" spans="7:24" x14ac:dyDescent="0.2">
      <c r="G2355" s="229"/>
      <c r="U2355" s="231"/>
      <c r="V2355" s="230"/>
      <c r="W2355" s="230"/>
      <c r="X2355" s="231"/>
    </row>
    <row r="2356" spans="7:24" x14ac:dyDescent="0.2">
      <c r="G2356" s="229"/>
      <c r="U2356" s="231"/>
      <c r="V2356" s="230"/>
      <c r="W2356" s="230"/>
      <c r="X2356" s="231"/>
    </row>
    <row r="2357" spans="7:24" x14ac:dyDescent="0.2">
      <c r="G2357" s="229"/>
      <c r="U2357" s="231"/>
      <c r="V2357" s="230"/>
      <c r="W2357" s="230"/>
      <c r="X2357" s="231"/>
    </row>
    <row r="2358" spans="7:24" x14ac:dyDescent="0.2">
      <c r="G2358" s="229"/>
      <c r="U2358" s="231"/>
      <c r="V2358" s="230"/>
      <c r="W2358" s="230"/>
      <c r="X2358" s="231"/>
    </row>
    <row r="2359" spans="7:24" x14ac:dyDescent="0.2">
      <c r="G2359" s="229"/>
      <c r="U2359" s="231"/>
      <c r="V2359" s="230"/>
      <c r="W2359" s="230"/>
      <c r="X2359" s="231"/>
    </row>
    <row r="2360" spans="7:24" x14ac:dyDescent="0.2">
      <c r="G2360" s="229"/>
      <c r="U2360" s="231"/>
      <c r="V2360" s="230"/>
      <c r="W2360" s="230"/>
      <c r="X2360" s="231"/>
    </row>
    <row r="2361" spans="7:24" x14ac:dyDescent="0.2">
      <c r="G2361" s="229"/>
      <c r="U2361" s="231"/>
      <c r="V2361" s="230"/>
      <c r="W2361" s="230"/>
      <c r="X2361" s="231"/>
    </row>
    <row r="2362" spans="7:24" x14ac:dyDescent="0.2">
      <c r="G2362" s="229"/>
      <c r="U2362" s="231"/>
      <c r="V2362" s="230"/>
      <c r="W2362" s="230"/>
      <c r="X2362" s="231"/>
    </row>
    <row r="2363" spans="7:24" x14ac:dyDescent="0.2">
      <c r="G2363" s="229"/>
      <c r="U2363" s="231"/>
      <c r="V2363" s="230"/>
      <c r="W2363" s="230"/>
      <c r="X2363" s="231"/>
    </row>
    <row r="2364" spans="7:24" x14ac:dyDescent="0.2">
      <c r="G2364" s="229"/>
      <c r="U2364" s="231"/>
      <c r="V2364" s="230"/>
      <c r="W2364" s="230"/>
      <c r="X2364" s="231"/>
    </row>
    <row r="2365" spans="7:24" x14ac:dyDescent="0.2">
      <c r="G2365" s="229"/>
      <c r="U2365" s="231"/>
      <c r="V2365" s="230"/>
      <c r="W2365" s="230"/>
      <c r="X2365" s="231"/>
    </row>
    <row r="2366" spans="7:24" x14ac:dyDescent="0.2">
      <c r="G2366" s="229"/>
      <c r="U2366" s="231"/>
      <c r="V2366" s="230"/>
      <c r="W2366" s="230"/>
      <c r="X2366" s="231"/>
    </row>
    <row r="2367" spans="7:24" x14ac:dyDescent="0.2">
      <c r="G2367" s="229"/>
      <c r="U2367" s="231"/>
      <c r="V2367" s="230"/>
      <c r="W2367" s="230"/>
      <c r="X2367" s="231"/>
    </row>
    <row r="2368" spans="7:24" x14ac:dyDescent="0.2">
      <c r="G2368" s="229"/>
      <c r="U2368" s="231"/>
      <c r="V2368" s="230"/>
      <c r="W2368" s="230"/>
      <c r="X2368" s="231"/>
    </row>
    <row r="2369" spans="7:24" x14ac:dyDescent="0.2">
      <c r="G2369" s="229"/>
      <c r="U2369" s="231"/>
      <c r="V2369" s="230"/>
      <c r="W2369" s="230"/>
      <c r="X2369" s="231"/>
    </row>
    <row r="2370" spans="7:24" x14ac:dyDescent="0.2">
      <c r="G2370" s="229"/>
      <c r="U2370" s="231"/>
      <c r="V2370" s="230"/>
      <c r="W2370" s="230"/>
      <c r="X2370" s="231"/>
    </row>
    <row r="2371" spans="7:24" x14ac:dyDescent="0.2">
      <c r="G2371" s="229"/>
      <c r="U2371" s="231"/>
      <c r="V2371" s="230"/>
      <c r="W2371" s="230"/>
      <c r="X2371" s="231"/>
    </row>
    <row r="2372" spans="7:24" x14ac:dyDescent="0.2">
      <c r="G2372" s="229"/>
      <c r="U2372" s="231"/>
      <c r="V2372" s="230"/>
      <c r="W2372" s="230"/>
      <c r="X2372" s="231"/>
    </row>
    <row r="2373" spans="7:24" x14ac:dyDescent="0.2">
      <c r="G2373" s="229"/>
      <c r="U2373" s="231"/>
      <c r="V2373" s="230"/>
      <c r="W2373" s="230"/>
      <c r="X2373" s="231"/>
    </row>
    <row r="2374" spans="7:24" x14ac:dyDescent="0.2">
      <c r="G2374" s="229"/>
      <c r="U2374" s="231"/>
      <c r="V2374" s="230"/>
      <c r="W2374" s="230"/>
      <c r="X2374" s="231"/>
    </row>
    <row r="2375" spans="7:24" x14ac:dyDescent="0.2">
      <c r="G2375" s="229"/>
      <c r="U2375" s="231"/>
      <c r="V2375" s="230"/>
      <c r="W2375" s="230"/>
      <c r="X2375" s="231"/>
    </row>
    <row r="2376" spans="7:24" x14ac:dyDescent="0.2">
      <c r="G2376" s="229"/>
      <c r="U2376" s="231"/>
      <c r="V2376" s="230"/>
      <c r="W2376" s="230"/>
      <c r="X2376" s="231"/>
    </row>
    <row r="2377" spans="7:24" x14ac:dyDescent="0.2">
      <c r="G2377" s="229"/>
      <c r="U2377" s="231"/>
      <c r="V2377" s="230"/>
      <c r="W2377" s="230"/>
      <c r="X2377" s="231"/>
    </row>
    <row r="2378" spans="7:24" x14ac:dyDescent="0.2">
      <c r="G2378" s="229"/>
      <c r="U2378" s="231"/>
      <c r="V2378" s="230"/>
      <c r="W2378" s="230"/>
      <c r="X2378" s="231"/>
    </row>
    <row r="2379" spans="7:24" x14ac:dyDescent="0.2">
      <c r="G2379" s="229"/>
      <c r="U2379" s="231"/>
      <c r="V2379" s="230"/>
      <c r="W2379" s="230"/>
      <c r="X2379" s="231"/>
    </row>
    <row r="2380" spans="7:24" x14ac:dyDescent="0.2">
      <c r="G2380" s="229"/>
      <c r="U2380" s="231"/>
      <c r="V2380" s="230"/>
      <c r="W2380" s="230"/>
      <c r="X2380" s="231"/>
    </row>
    <row r="2381" spans="7:24" x14ac:dyDescent="0.2">
      <c r="G2381" s="229"/>
      <c r="U2381" s="231"/>
      <c r="V2381" s="230"/>
      <c r="W2381" s="230"/>
      <c r="X2381" s="231"/>
    </row>
    <row r="2382" spans="7:24" x14ac:dyDescent="0.2">
      <c r="G2382" s="229"/>
      <c r="U2382" s="231"/>
      <c r="V2382" s="230"/>
      <c r="W2382" s="230"/>
      <c r="X2382" s="231"/>
    </row>
    <row r="2383" spans="7:24" x14ac:dyDescent="0.2">
      <c r="G2383" s="229"/>
      <c r="U2383" s="231"/>
      <c r="V2383" s="230"/>
      <c r="W2383" s="230"/>
      <c r="X2383" s="231"/>
    </row>
    <row r="2384" spans="7:24" x14ac:dyDescent="0.2">
      <c r="G2384" s="229"/>
      <c r="U2384" s="231"/>
      <c r="V2384" s="230"/>
      <c r="W2384" s="230"/>
      <c r="X2384" s="231"/>
    </row>
    <row r="2385" spans="7:24" x14ac:dyDescent="0.2">
      <c r="G2385" s="229"/>
      <c r="U2385" s="231"/>
      <c r="V2385" s="230"/>
      <c r="W2385" s="230"/>
      <c r="X2385" s="231"/>
    </row>
    <row r="2386" spans="7:24" x14ac:dyDescent="0.2">
      <c r="G2386" s="229"/>
      <c r="U2386" s="231"/>
      <c r="V2386" s="230"/>
      <c r="W2386" s="230"/>
      <c r="X2386" s="231"/>
    </row>
    <row r="2387" spans="7:24" x14ac:dyDescent="0.2">
      <c r="G2387" s="229"/>
      <c r="U2387" s="231"/>
      <c r="V2387" s="230"/>
      <c r="W2387" s="230"/>
      <c r="X2387" s="231"/>
    </row>
    <row r="2388" spans="7:24" x14ac:dyDescent="0.2">
      <c r="G2388" s="229"/>
      <c r="U2388" s="231"/>
      <c r="V2388" s="230"/>
      <c r="W2388" s="230"/>
      <c r="X2388" s="231"/>
    </row>
    <row r="2389" spans="7:24" x14ac:dyDescent="0.2">
      <c r="G2389" s="229"/>
      <c r="U2389" s="231"/>
      <c r="V2389" s="230"/>
      <c r="W2389" s="230"/>
      <c r="X2389" s="231"/>
    </row>
    <row r="2390" spans="7:24" x14ac:dyDescent="0.2">
      <c r="G2390" s="229"/>
      <c r="U2390" s="231"/>
      <c r="V2390" s="230"/>
      <c r="W2390" s="230"/>
      <c r="X2390" s="231"/>
    </row>
    <row r="2391" spans="7:24" x14ac:dyDescent="0.2">
      <c r="G2391" s="229"/>
      <c r="U2391" s="231"/>
      <c r="V2391" s="230"/>
      <c r="W2391" s="230"/>
      <c r="X2391" s="231"/>
    </row>
    <row r="2392" spans="7:24" x14ac:dyDescent="0.2">
      <c r="G2392" s="229"/>
      <c r="U2392" s="231"/>
      <c r="V2392" s="230"/>
      <c r="W2392" s="230"/>
      <c r="X2392" s="231"/>
    </row>
    <row r="2393" spans="7:24" x14ac:dyDescent="0.2">
      <c r="G2393" s="229"/>
      <c r="U2393" s="231"/>
      <c r="V2393" s="230"/>
      <c r="W2393" s="230"/>
      <c r="X2393" s="231"/>
    </row>
    <row r="2394" spans="7:24" x14ac:dyDescent="0.2">
      <c r="G2394" s="229"/>
      <c r="U2394" s="231"/>
      <c r="V2394" s="230"/>
      <c r="W2394" s="230"/>
      <c r="X2394" s="231"/>
    </row>
    <row r="2395" spans="7:24" x14ac:dyDescent="0.2">
      <c r="G2395" s="229"/>
      <c r="U2395" s="231"/>
      <c r="V2395" s="230"/>
      <c r="W2395" s="230"/>
      <c r="X2395" s="231"/>
    </row>
    <row r="2396" spans="7:24" x14ac:dyDescent="0.2">
      <c r="G2396" s="229"/>
      <c r="U2396" s="231"/>
      <c r="V2396" s="230"/>
      <c r="W2396" s="230"/>
      <c r="X2396" s="231"/>
    </row>
    <row r="2397" spans="7:24" x14ac:dyDescent="0.2">
      <c r="G2397" s="229"/>
      <c r="U2397" s="231"/>
      <c r="V2397" s="230"/>
      <c r="W2397" s="230"/>
      <c r="X2397" s="231"/>
    </row>
    <row r="2398" spans="7:24" x14ac:dyDescent="0.2">
      <c r="G2398" s="229"/>
      <c r="U2398" s="231"/>
      <c r="V2398" s="230"/>
      <c r="W2398" s="230"/>
      <c r="X2398" s="231"/>
    </row>
    <row r="2399" spans="7:24" x14ac:dyDescent="0.2">
      <c r="G2399" s="229"/>
      <c r="U2399" s="231"/>
      <c r="V2399" s="230"/>
      <c r="W2399" s="230"/>
      <c r="X2399" s="231"/>
    </row>
    <row r="2400" spans="7:24" x14ac:dyDescent="0.2">
      <c r="G2400" s="229"/>
      <c r="U2400" s="231"/>
      <c r="V2400" s="230"/>
      <c r="W2400" s="230"/>
      <c r="X2400" s="231"/>
    </row>
    <row r="2401" spans="7:24" x14ac:dyDescent="0.2">
      <c r="G2401" s="229"/>
      <c r="U2401" s="231"/>
      <c r="V2401" s="230"/>
      <c r="W2401" s="230"/>
      <c r="X2401" s="231"/>
    </row>
    <row r="2402" spans="7:24" x14ac:dyDescent="0.2">
      <c r="G2402" s="229"/>
      <c r="U2402" s="231"/>
      <c r="V2402" s="230"/>
      <c r="W2402" s="230"/>
      <c r="X2402" s="231"/>
    </row>
    <row r="2403" spans="7:24" x14ac:dyDescent="0.2">
      <c r="G2403" s="229"/>
      <c r="U2403" s="231"/>
      <c r="V2403" s="230"/>
      <c r="W2403" s="230"/>
      <c r="X2403" s="231"/>
    </row>
    <row r="2404" spans="7:24" x14ac:dyDescent="0.2">
      <c r="G2404" s="229"/>
      <c r="U2404" s="231"/>
      <c r="V2404" s="230"/>
      <c r="W2404" s="230"/>
      <c r="X2404" s="231"/>
    </row>
    <row r="2405" spans="7:24" x14ac:dyDescent="0.2">
      <c r="G2405" s="229"/>
      <c r="U2405" s="231"/>
      <c r="V2405" s="230"/>
      <c r="W2405" s="230"/>
      <c r="X2405" s="231"/>
    </row>
    <row r="2406" spans="7:24" x14ac:dyDescent="0.2">
      <c r="G2406" s="229"/>
      <c r="U2406" s="231"/>
      <c r="V2406" s="230"/>
      <c r="W2406" s="230"/>
      <c r="X2406" s="231"/>
    </row>
    <row r="2407" spans="7:24" x14ac:dyDescent="0.2">
      <c r="G2407" s="229"/>
      <c r="U2407" s="231"/>
      <c r="V2407" s="230"/>
      <c r="W2407" s="230"/>
      <c r="X2407" s="231"/>
    </row>
    <row r="2408" spans="7:24" x14ac:dyDescent="0.2">
      <c r="G2408" s="229"/>
      <c r="U2408" s="231"/>
      <c r="V2408" s="230"/>
      <c r="W2408" s="230"/>
      <c r="X2408" s="231"/>
    </row>
    <row r="2409" spans="7:24" x14ac:dyDescent="0.2">
      <c r="G2409" s="229"/>
      <c r="U2409" s="231"/>
      <c r="V2409" s="230"/>
      <c r="W2409" s="230"/>
      <c r="X2409" s="231"/>
    </row>
    <row r="2410" spans="7:24" x14ac:dyDescent="0.2">
      <c r="G2410" s="229"/>
      <c r="U2410" s="231"/>
      <c r="V2410" s="230"/>
      <c r="W2410" s="230"/>
      <c r="X2410" s="231"/>
    </row>
    <row r="2411" spans="7:24" x14ac:dyDescent="0.2">
      <c r="G2411" s="229"/>
      <c r="U2411" s="231"/>
      <c r="V2411" s="230"/>
      <c r="W2411" s="230"/>
      <c r="X2411" s="231"/>
    </row>
    <row r="2412" spans="7:24" x14ac:dyDescent="0.2">
      <c r="G2412" s="229"/>
      <c r="U2412" s="231"/>
      <c r="V2412" s="230"/>
      <c r="W2412" s="230"/>
      <c r="X2412" s="231"/>
    </row>
    <row r="2413" spans="7:24" x14ac:dyDescent="0.2">
      <c r="G2413" s="229"/>
    </row>
    <row r="2414" spans="7:24" x14ac:dyDescent="0.2">
      <c r="G2414" s="229"/>
    </row>
    <row r="2415" spans="7:24" x14ac:dyDescent="0.2">
      <c r="G2415" s="229"/>
    </row>
    <row r="2416" spans="7:24" x14ac:dyDescent="0.2">
      <c r="G2416" s="229"/>
    </row>
    <row r="2417" spans="7:7" x14ac:dyDescent="0.2">
      <c r="G2417" s="229"/>
    </row>
    <row r="2418" spans="7:7" x14ac:dyDescent="0.2">
      <c r="G2418" s="229"/>
    </row>
    <row r="2419" spans="7:7" x14ac:dyDescent="0.2">
      <c r="G2419" s="229"/>
    </row>
    <row r="2420" spans="7:7" x14ac:dyDescent="0.2">
      <c r="G2420" s="229"/>
    </row>
    <row r="2421" spans="7:7" x14ac:dyDescent="0.2">
      <c r="G2421" s="229"/>
    </row>
    <row r="2422" spans="7:7" x14ac:dyDescent="0.2">
      <c r="G2422" s="229"/>
    </row>
    <row r="2423" spans="7:7" x14ac:dyDescent="0.2">
      <c r="G2423" s="229"/>
    </row>
    <row r="2424" spans="7:7" x14ac:dyDescent="0.2">
      <c r="G2424" s="229"/>
    </row>
    <row r="2425" spans="7:7" x14ac:dyDescent="0.2">
      <c r="G2425" s="229"/>
    </row>
    <row r="2426" spans="7:7" x14ac:dyDescent="0.2">
      <c r="G2426" s="229"/>
    </row>
    <row r="2427" spans="7:7" x14ac:dyDescent="0.2">
      <c r="G2427" s="229"/>
    </row>
    <row r="2428" spans="7:7" x14ac:dyDescent="0.2">
      <c r="G2428" s="229"/>
    </row>
    <row r="2429" spans="7:7" x14ac:dyDescent="0.2">
      <c r="G2429" s="229"/>
    </row>
    <row r="2430" spans="7:7" x14ac:dyDescent="0.2">
      <c r="G2430" s="229"/>
    </row>
    <row r="2431" spans="7:7" x14ac:dyDescent="0.2">
      <c r="G2431" s="229"/>
    </row>
    <row r="2432" spans="7:7" x14ac:dyDescent="0.2">
      <c r="G2432" s="229"/>
    </row>
    <row r="2433" spans="7:7" x14ac:dyDescent="0.2">
      <c r="G2433" s="229"/>
    </row>
    <row r="2434" spans="7:7" x14ac:dyDescent="0.2">
      <c r="G2434" s="229"/>
    </row>
    <row r="2435" spans="7:7" x14ac:dyDescent="0.2">
      <c r="G2435" s="229"/>
    </row>
    <row r="2436" spans="7:7" x14ac:dyDescent="0.2">
      <c r="G2436" s="229"/>
    </row>
    <row r="2437" spans="7:7" x14ac:dyDescent="0.2">
      <c r="G2437" s="229"/>
    </row>
    <row r="2438" spans="7:7" x14ac:dyDescent="0.2">
      <c r="G2438" s="229"/>
    </row>
    <row r="2439" spans="7:7" x14ac:dyDescent="0.2">
      <c r="G2439" s="229"/>
    </row>
    <row r="2440" spans="7:7" x14ac:dyDescent="0.2">
      <c r="G2440" s="229"/>
    </row>
    <row r="2441" spans="7:7" x14ac:dyDescent="0.2">
      <c r="G2441" s="229"/>
    </row>
    <row r="2442" spans="7:7" x14ac:dyDescent="0.2">
      <c r="G2442" s="229"/>
    </row>
    <row r="2443" spans="7:7" x14ac:dyDescent="0.2">
      <c r="G2443" s="229"/>
    </row>
    <row r="2444" spans="7:7" x14ac:dyDescent="0.2">
      <c r="G2444" s="229"/>
    </row>
    <row r="2445" spans="7:7" x14ac:dyDescent="0.2">
      <c r="G2445" s="229"/>
    </row>
    <row r="2446" spans="7:7" x14ac:dyDescent="0.2">
      <c r="G2446" s="229"/>
    </row>
    <row r="2447" spans="7:7" x14ac:dyDescent="0.2">
      <c r="G2447" s="229"/>
    </row>
    <row r="2448" spans="7:7" x14ac:dyDescent="0.2">
      <c r="G2448" s="229"/>
    </row>
    <row r="2449" spans="7:7" x14ac:dyDescent="0.2">
      <c r="G2449" s="229"/>
    </row>
    <row r="2450" spans="7:7" x14ac:dyDescent="0.2">
      <c r="G2450" s="229"/>
    </row>
    <row r="2451" spans="7:7" x14ac:dyDescent="0.2">
      <c r="G2451" s="229"/>
    </row>
    <row r="2452" spans="7:7" x14ac:dyDescent="0.2">
      <c r="G2452" s="229"/>
    </row>
    <row r="2453" spans="7:7" x14ac:dyDescent="0.2">
      <c r="G2453" s="229"/>
    </row>
    <row r="2454" spans="7:7" x14ac:dyDescent="0.2">
      <c r="G2454" s="229"/>
    </row>
    <row r="2455" spans="7:7" x14ac:dyDescent="0.2">
      <c r="G2455" s="229"/>
    </row>
    <row r="2456" spans="7:7" x14ac:dyDescent="0.2">
      <c r="G2456" s="229"/>
    </row>
    <row r="2457" spans="7:7" x14ac:dyDescent="0.2">
      <c r="G2457" s="229"/>
    </row>
    <row r="2458" spans="7:7" x14ac:dyDescent="0.2">
      <c r="G2458" s="229"/>
    </row>
    <row r="2459" spans="7:7" x14ac:dyDescent="0.2">
      <c r="G2459" s="229"/>
    </row>
    <row r="2460" spans="7:7" x14ac:dyDescent="0.2">
      <c r="G2460" s="229"/>
    </row>
    <row r="2461" spans="7:7" x14ac:dyDescent="0.2">
      <c r="G2461" s="229"/>
    </row>
    <row r="2462" spans="7:7" x14ac:dyDescent="0.2">
      <c r="G2462" s="229"/>
    </row>
    <row r="2463" spans="7:7" x14ac:dyDescent="0.2">
      <c r="G2463" s="229"/>
    </row>
    <row r="2464" spans="7:7" x14ac:dyDescent="0.2">
      <c r="G2464" s="229"/>
    </row>
    <row r="2465" spans="7:7" x14ac:dyDescent="0.2">
      <c r="G2465" s="229"/>
    </row>
    <row r="2466" spans="7:7" x14ac:dyDescent="0.2">
      <c r="G2466" s="229"/>
    </row>
    <row r="2467" spans="7:7" x14ac:dyDescent="0.2">
      <c r="G2467" s="229"/>
    </row>
    <row r="2468" spans="7:7" x14ac:dyDescent="0.2">
      <c r="G2468" s="229"/>
    </row>
    <row r="2469" spans="7:7" x14ac:dyDescent="0.2">
      <c r="G2469" s="229"/>
    </row>
    <row r="2470" spans="7:7" x14ac:dyDescent="0.2">
      <c r="G2470" s="229"/>
    </row>
    <row r="2471" spans="7:7" x14ac:dyDescent="0.2">
      <c r="G2471" s="229"/>
    </row>
    <row r="2472" spans="7:7" x14ac:dyDescent="0.2">
      <c r="G2472" s="229"/>
    </row>
    <row r="2473" spans="7:7" x14ac:dyDescent="0.2">
      <c r="G2473" s="229"/>
    </row>
    <row r="2474" spans="7:7" x14ac:dyDescent="0.2">
      <c r="G2474" s="229"/>
    </row>
    <row r="2475" spans="7:7" x14ac:dyDescent="0.2">
      <c r="G2475" s="229"/>
    </row>
  </sheetData>
  <autoFilter ref="A7:AC2313" xr:uid="{00000000-0009-0000-0000-000004000000}">
    <filterColumn colId="5">
      <customFilters>
        <customFilter operator="greaterThan" val="43435"/>
      </customFilters>
    </filterColumn>
  </autoFilter>
  <mergeCells count="5">
    <mergeCell ref="A6:I6"/>
    <mergeCell ref="Q6:U6"/>
    <mergeCell ref="V6:X6"/>
    <mergeCell ref="Y6:AA6"/>
    <mergeCell ref="AB6:AC6"/>
  </mergeCells>
  <conditionalFormatting sqref="B1:B5 B7:B1048576">
    <cfRule type="containsText" dxfId="21" priority="1" operator="containsText" text="YES">
      <formula>NOT(ISERROR(SEARCH("YES",B1)))</formula>
    </cfRule>
    <cfRule type="containsText" dxfId="20" priority="2" operator="containsText" text="No">
      <formula>NOT(ISERROR(SEARCH("No",B1)))</formula>
    </cfRule>
  </conditionalFormatting>
  <pageMargins left="0.7" right="0.7" top="0.75" bottom="0.75" header="0.3" footer="0.3"/>
  <pageSetup paperSize="17" scale="36" fitToHeight="0"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D2:D5"/>
  <sheetViews>
    <sheetView workbookViewId="0">
      <selection activeCell="E6" sqref="E6"/>
    </sheetView>
  </sheetViews>
  <sheetFormatPr baseColWidth="10" defaultColWidth="8.83203125" defaultRowHeight="15" x14ac:dyDescent="0.2"/>
  <cols>
    <col min="4" max="4" width="19.33203125" style="216" customWidth="1"/>
  </cols>
  <sheetData>
    <row r="2" spans="4:4" ht="16" x14ac:dyDescent="0.2">
      <c r="D2" s="213" t="s">
        <v>6867</v>
      </c>
    </row>
    <row r="3" spans="4:4" ht="16" x14ac:dyDescent="0.2">
      <c r="D3" s="213" t="s">
        <v>1</v>
      </c>
    </row>
    <row r="4" spans="4:4" ht="16" x14ac:dyDescent="0.2">
      <c r="D4" s="213" t="s">
        <v>3</v>
      </c>
    </row>
    <row r="5" spans="4:4" ht="16" x14ac:dyDescent="0.2">
      <c r="D5" s="213" t="s">
        <v>5</v>
      </c>
    </row>
  </sheetData>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D136"/>
  <sheetViews>
    <sheetView workbookViewId="0">
      <selection activeCell="G19" sqref="G19"/>
    </sheetView>
  </sheetViews>
  <sheetFormatPr baseColWidth="10" defaultRowHeight="15" x14ac:dyDescent="0.2"/>
  <sheetData>
    <row r="1" spans="1:4" x14ac:dyDescent="0.2">
      <c r="A1" s="216" t="s">
        <v>6870</v>
      </c>
      <c r="B1" s="216" t="s">
        <v>6871</v>
      </c>
      <c r="C1" s="216" t="s">
        <v>6872</v>
      </c>
      <c r="D1" s="216" t="s">
        <v>6873</v>
      </c>
    </row>
    <row r="2" spans="1:4" x14ac:dyDescent="0.2">
      <c r="A2" s="216" t="s">
        <v>28</v>
      </c>
      <c r="B2" s="216">
        <v>68583</v>
      </c>
      <c r="C2" s="216" t="s">
        <v>6874</v>
      </c>
      <c r="D2" s="216">
        <v>2</v>
      </c>
    </row>
    <row r="3" spans="1:4" x14ac:dyDescent="0.2">
      <c r="A3" s="216" t="s">
        <v>34</v>
      </c>
      <c r="B3" s="216">
        <v>68584</v>
      </c>
      <c r="C3" s="216" t="s">
        <v>6874</v>
      </c>
      <c r="D3" s="216">
        <v>3</v>
      </c>
    </row>
    <row r="4" spans="1:4" x14ac:dyDescent="0.2">
      <c r="A4" s="216" t="s">
        <v>39</v>
      </c>
      <c r="B4" s="216">
        <v>68585</v>
      </c>
      <c r="C4" s="216" t="s">
        <v>6874</v>
      </c>
      <c r="D4" s="216">
        <v>4</v>
      </c>
    </row>
    <row r="5" spans="1:4" x14ac:dyDescent="0.2">
      <c r="A5" s="216" t="s">
        <v>43</v>
      </c>
      <c r="B5" s="216">
        <v>68586</v>
      </c>
      <c r="C5" s="216" t="s">
        <v>6874</v>
      </c>
      <c r="D5" s="216">
        <v>1</v>
      </c>
    </row>
    <row r="6" spans="1:4" x14ac:dyDescent="0.2">
      <c r="A6" s="216" t="s">
        <v>47</v>
      </c>
      <c r="B6" s="216">
        <v>68587</v>
      </c>
      <c r="C6" s="216" t="s">
        <v>6874</v>
      </c>
      <c r="D6" s="216">
        <v>6</v>
      </c>
    </row>
    <row r="7" spans="1:4" x14ac:dyDescent="0.2">
      <c r="A7" s="216" t="s">
        <v>51</v>
      </c>
      <c r="B7" s="216">
        <v>68588</v>
      </c>
      <c r="C7" s="216" t="s">
        <v>6874</v>
      </c>
      <c r="D7" s="216">
        <v>14</v>
      </c>
    </row>
    <row r="8" spans="1:4" x14ac:dyDescent="0.2">
      <c r="A8" s="216" t="s">
        <v>55</v>
      </c>
      <c r="B8" s="216">
        <v>68589</v>
      </c>
      <c r="C8" s="216" t="s">
        <v>6874</v>
      </c>
      <c r="D8" s="216">
        <v>28</v>
      </c>
    </row>
    <row r="9" spans="1:4" x14ac:dyDescent="0.2">
      <c r="A9" s="216" t="s">
        <v>59</v>
      </c>
      <c r="B9" s="216">
        <v>68590</v>
      </c>
      <c r="C9" s="216" t="s">
        <v>6874</v>
      </c>
      <c r="D9" s="216">
        <v>5</v>
      </c>
    </row>
    <row r="10" spans="1:4" x14ac:dyDescent="0.2">
      <c r="A10" s="216" t="s">
        <v>61</v>
      </c>
      <c r="B10" s="216">
        <v>68591</v>
      </c>
      <c r="C10" s="216" t="s">
        <v>6874</v>
      </c>
      <c r="D10" s="216">
        <v>34</v>
      </c>
    </row>
    <row r="11" spans="1:4" x14ac:dyDescent="0.2">
      <c r="A11" s="216" t="s">
        <v>63</v>
      </c>
      <c r="B11" s="216">
        <v>68592</v>
      </c>
      <c r="C11" s="216" t="s">
        <v>6874</v>
      </c>
      <c r="D11" s="216">
        <v>41</v>
      </c>
    </row>
    <row r="12" spans="1:4" x14ac:dyDescent="0.2">
      <c r="A12" s="216" t="s">
        <v>65</v>
      </c>
      <c r="B12" s="216">
        <v>68593</v>
      </c>
      <c r="C12" s="216" t="s">
        <v>6874</v>
      </c>
      <c r="D12" s="216">
        <v>45</v>
      </c>
    </row>
    <row r="13" spans="1:4" x14ac:dyDescent="0.2">
      <c r="A13" s="216" t="s">
        <v>67</v>
      </c>
      <c r="B13" s="216">
        <v>68594</v>
      </c>
      <c r="C13" s="216" t="s">
        <v>6874</v>
      </c>
      <c r="D13" s="216">
        <v>48</v>
      </c>
    </row>
    <row r="14" spans="1:4" x14ac:dyDescent="0.2">
      <c r="A14" s="216" t="s">
        <v>70</v>
      </c>
      <c r="B14" s="216">
        <v>68595</v>
      </c>
      <c r="C14" s="216" t="s">
        <v>6874</v>
      </c>
      <c r="D14" s="216">
        <v>17</v>
      </c>
    </row>
    <row r="15" spans="1:4" x14ac:dyDescent="0.2">
      <c r="A15" s="216" t="s">
        <v>73</v>
      </c>
      <c r="B15" s="216">
        <v>68596</v>
      </c>
      <c r="C15" s="216" t="s">
        <v>6874</v>
      </c>
      <c r="D15" s="216">
        <v>119</v>
      </c>
    </row>
    <row r="16" spans="1:4" x14ac:dyDescent="0.2">
      <c r="A16" s="216" t="s">
        <v>75</v>
      </c>
      <c r="B16" s="216">
        <v>68597</v>
      </c>
      <c r="C16" s="216" t="s">
        <v>6874</v>
      </c>
      <c r="D16" s="216">
        <v>26</v>
      </c>
    </row>
    <row r="17" spans="1:4" x14ac:dyDescent="0.2">
      <c r="A17" s="216" t="s">
        <v>77</v>
      </c>
      <c r="B17" s="216">
        <v>68598</v>
      </c>
      <c r="C17" s="216" t="s">
        <v>6874</v>
      </c>
      <c r="D17" s="216">
        <v>29</v>
      </c>
    </row>
    <row r="18" spans="1:4" x14ac:dyDescent="0.2">
      <c r="A18" s="216" t="s">
        <v>79</v>
      </c>
      <c r="B18" s="216">
        <v>68599</v>
      </c>
      <c r="C18" s="216" t="s">
        <v>6874</v>
      </c>
      <c r="D18" s="216">
        <v>35</v>
      </c>
    </row>
    <row r="19" spans="1:4" x14ac:dyDescent="0.2">
      <c r="A19" s="216" t="s">
        <v>81</v>
      </c>
      <c r="B19" s="216">
        <v>68600</v>
      </c>
      <c r="C19" s="216" t="s">
        <v>6874</v>
      </c>
      <c r="D19" s="216">
        <v>120</v>
      </c>
    </row>
    <row r="20" spans="1:4" x14ac:dyDescent="0.2">
      <c r="A20" s="216" t="s">
        <v>83</v>
      </c>
      <c r="B20" s="216">
        <v>68601</v>
      </c>
      <c r="C20" s="216" t="s">
        <v>6874</v>
      </c>
      <c r="D20" s="216">
        <v>121</v>
      </c>
    </row>
    <row r="21" spans="1:4" x14ac:dyDescent="0.2">
      <c r="A21" s="216" t="s">
        <v>85</v>
      </c>
      <c r="B21" s="216">
        <v>68602</v>
      </c>
      <c r="C21" s="216" t="s">
        <v>6874</v>
      </c>
      <c r="D21" s="216">
        <v>42</v>
      </c>
    </row>
    <row r="22" spans="1:4" x14ac:dyDescent="0.2">
      <c r="A22" s="216" t="s">
        <v>87</v>
      </c>
      <c r="B22" s="216">
        <v>68603</v>
      </c>
      <c r="C22" s="216" t="s">
        <v>6874</v>
      </c>
      <c r="D22" s="216">
        <v>122</v>
      </c>
    </row>
    <row r="23" spans="1:4" x14ac:dyDescent="0.2">
      <c r="A23" s="216" t="s">
        <v>89</v>
      </c>
      <c r="B23" s="216">
        <v>68604</v>
      </c>
      <c r="C23" s="216" t="s">
        <v>6874</v>
      </c>
      <c r="D23" s="216">
        <v>43</v>
      </c>
    </row>
    <row r="24" spans="1:4" x14ac:dyDescent="0.2">
      <c r="A24" s="216" t="s">
        <v>92</v>
      </c>
      <c r="B24" s="216">
        <v>68605</v>
      </c>
      <c r="C24" s="216" t="s">
        <v>6874</v>
      </c>
      <c r="D24" s="216">
        <v>46</v>
      </c>
    </row>
    <row r="25" spans="1:4" x14ac:dyDescent="0.2">
      <c r="A25" s="216" t="s">
        <v>94</v>
      </c>
      <c r="B25" s="216">
        <v>68606</v>
      </c>
      <c r="C25" s="216" t="s">
        <v>6874</v>
      </c>
      <c r="D25" s="216">
        <v>47</v>
      </c>
    </row>
    <row r="26" spans="1:4" x14ac:dyDescent="0.2">
      <c r="A26" s="216" t="s">
        <v>96</v>
      </c>
      <c r="B26" s="216">
        <v>68607</v>
      </c>
      <c r="C26" s="216" t="s">
        <v>6874</v>
      </c>
      <c r="D26" s="216">
        <v>49</v>
      </c>
    </row>
    <row r="27" spans="1:4" x14ac:dyDescent="0.2">
      <c r="A27" s="216" t="s">
        <v>98</v>
      </c>
      <c r="B27" s="216">
        <v>68608</v>
      </c>
      <c r="C27" s="216" t="s">
        <v>6874</v>
      </c>
      <c r="D27" s="216">
        <v>50</v>
      </c>
    </row>
    <row r="28" spans="1:4" x14ac:dyDescent="0.2">
      <c r="A28" s="216" t="s">
        <v>100</v>
      </c>
      <c r="B28" s="216">
        <v>68609</v>
      </c>
      <c r="C28" s="216" t="s">
        <v>6874</v>
      </c>
      <c r="D28" s="216">
        <v>52</v>
      </c>
    </row>
    <row r="29" spans="1:4" x14ac:dyDescent="0.2">
      <c r="A29" s="216" t="s">
        <v>102</v>
      </c>
      <c r="B29" s="216">
        <v>68610</v>
      </c>
      <c r="C29" s="216" t="s">
        <v>6874</v>
      </c>
      <c r="D29" s="216">
        <v>7</v>
      </c>
    </row>
    <row r="30" spans="1:4" x14ac:dyDescent="0.2">
      <c r="A30" s="216" t="s">
        <v>104</v>
      </c>
      <c r="B30" s="216">
        <v>68611</v>
      </c>
      <c r="C30" s="216" t="s">
        <v>6874</v>
      </c>
      <c r="D30" s="216">
        <v>8</v>
      </c>
    </row>
    <row r="31" spans="1:4" x14ac:dyDescent="0.2">
      <c r="A31" s="216" t="s">
        <v>106</v>
      </c>
      <c r="B31" s="216">
        <v>68612</v>
      </c>
      <c r="C31" s="216" t="s">
        <v>6874</v>
      </c>
      <c r="D31" s="216">
        <v>123</v>
      </c>
    </row>
    <row r="32" spans="1:4" x14ac:dyDescent="0.2">
      <c r="A32" s="216" t="s">
        <v>108</v>
      </c>
      <c r="B32" s="216">
        <v>68613</v>
      </c>
      <c r="C32" s="216" t="s">
        <v>6874</v>
      </c>
      <c r="D32" s="216">
        <v>9</v>
      </c>
    </row>
    <row r="33" spans="1:4" x14ac:dyDescent="0.2">
      <c r="A33" s="216" t="s">
        <v>110</v>
      </c>
      <c r="B33" s="216">
        <v>68614</v>
      </c>
      <c r="C33" s="216" t="s">
        <v>6874</v>
      </c>
      <c r="D33" s="216">
        <v>10</v>
      </c>
    </row>
    <row r="34" spans="1:4" x14ac:dyDescent="0.2">
      <c r="A34" s="216" t="s">
        <v>112</v>
      </c>
      <c r="B34" s="216">
        <v>68615</v>
      </c>
      <c r="C34" s="216" t="s">
        <v>6874</v>
      </c>
      <c r="D34" s="216">
        <v>11</v>
      </c>
    </row>
    <row r="35" spans="1:4" x14ac:dyDescent="0.2">
      <c r="A35" s="216" t="s">
        <v>114</v>
      </c>
      <c r="B35" s="216">
        <v>68616</v>
      </c>
      <c r="C35" s="216" t="s">
        <v>6874</v>
      </c>
      <c r="D35" s="216">
        <v>124</v>
      </c>
    </row>
    <row r="36" spans="1:4" x14ac:dyDescent="0.2">
      <c r="A36" s="216" t="s">
        <v>116</v>
      </c>
      <c r="B36" s="216">
        <v>68617</v>
      </c>
      <c r="C36" s="216" t="s">
        <v>6874</v>
      </c>
      <c r="D36" s="216">
        <v>12</v>
      </c>
    </row>
    <row r="37" spans="1:4" x14ac:dyDescent="0.2">
      <c r="A37" s="216" t="s">
        <v>118</v>
      </c>
      <c r="B37" s="216">
        <v>68618</v>
      </c>
      <c r="C37" s="216" t="s">
        <v>6874</v>
      </c>
      <c r="D37" s="216">
        <v>125</v>
      </c>
    </row>
    <row r="38" spans="1:4" x14ac:dyDescent="0.2">
      <c r="A38" s="216" t="s">
        <v>120</v>
      </c>
      <c r="B38" s="216">
        <v>68619</v>
      </c>
      <c r="C38" s="216" t="s">
        <v>6874</v>
      </c>
      <c r="D38" s="216">
        <v>13</v>
      </c>
    </row>
    <row r="39" spans="1:4" x14ac:dyDescent="0.2">
      <c r="A39" s="216" t="s">
        <v>122</v>
      </c>
      <c r="B39" s="216">
        <v>68620</v>
      </c>
      <c r="C39" s="216" t="s">
        <v>6874</v>
      </c>
      <c r="D39" s="216">
        <v>126</v>
      </c>
    </row>
    <row r="40" spans="1:4" x14ac:dyDescent="0.2">
      <c r="A40" s="216" t="s">
        <v>124</v>
      </c>
      <c r="B40" s="216">
        <v>68621</v>
      </c>
      <c r="C40" s="216" t="s">
        <v>6874</v>
      </c>
      <c r="D40" s="216">
        <v>91</v>
      </c>
    </row>
    <row r="41" spans="1:4" x14ac:dyDescent="0.2">
      <c r="A41" s="216" t="s">
        <v>126</v>
      </c>
      <c r="B41" s="216">
        <v>68622</v>
      </c>
      <c r="C41" s="216" t="s">
        <v>6874</v>
      </c>
      <c r="D41" s="216">
        <v>127</v>
      </c>
    </row>
    <row r="42" spans="1:4" x14ac:dyDescent="0.2">
      <c r="A42" s="216" t="s">
        <v>128</v>
      </c>
      <c r="B42" s="216">
        <v>68623</v>
      </c>
      <c r="C42" s="216" t="s">
        <v>6874</v>
      </c>
      <c r="D42" s="216">
        <v>128</v>
      </c>
    </row>
    <row r="43" spans="1:4" x14ac:dyDescent="0.2">
      <c r="A43" s="216" t="s">
        <v>130</v>
      </c>
      <c r="B43" s="216">
        <v>68624</v>
      </c>
      <c r="C43" s="216" t="s">
        <v>6874</v>
      </c>
      <c r="D43" s="216">
        <v>15</v>
      </c>
    </row>
    <row r="44" spans="1:4" x14ac:dyDescent="0.2">
      <c r="A44" s="216" t="s">
        <v>132</v>
      </c>
      <c r="B44" s="216">
        <v>68625</v>
      </c>
      <c r="C44" s="216" t="s">
        <v>6874</v>
      </c>
      <c r="D44" s="216">
        <v>16</v>
      </c>
    </row>
    <row r="45" spans="1:4" x14ac:dyDescent="0.2">
      <c r="A45" s="216" t="s">
        <v>134</v>
      </c>
      <c r="B45" s="216">
        <v>68626</v>
      </c>
      <c r="C45" s="216" t="s">
        <v>6874</v>
      </c>
      <c r="D45" s="216">
        <v>18</v>
      </c>
    </row>
    <row r="46" spans="1:4" x14ac:dyDescent="0.2">
      <c r="A46" s="216" t="s">
        <v>136</v>
      </c>
      <c r="B46" s="216">
        <v>68627</v>
      </c>
      <c r="C46" s="216" t="s">
        <v>6874</v>
      </c>
      <c r="D46" s="216">
        <v>19</v>
      </c>
    </row>
    <row r="47" spans="1:4" x14ac:dyDescent="0.2">
      <c r="A47" s="216" t="s">
        <v>138</v>
      </c>
      <c r="B47" s="216">
        <v>68628</v>
      </c>
      <c r="C47" s="216" t="s">
        <v>6874</v>
      </c>
      <c r="D47" s="216">
        <v>20</v>
      </c>
    </row>
    <row r="48" spans="1:4" x14ac:dyDescent="0.2">
      <c r="A48" s="216" t="s">
        <v>140</v>
      </c>
      <c r="B48" s="216">
        <v>68629</v>
      </c>
      <c r="C48" s="216" t="s">
        <v>6874</v>
      </c>
      <c r="D48" s="216">
        <v>21</v>
      </c>
    </row>
    <row r="49" spans="1:4" x14ac:dyDescent="0.2">
      <c r="A49" s="216" t="s">
        <v>142</v>
      </c>
      <c r="B49" s="216">
        <v>68630</v>
      </c>
      <c r="C49" s="216" t="s">
        <v>6874</v>
      </c>
      <c r="D49" s="216">
        <v>92</v>
      </c>
    </row>
    <row r="50" spans="1:4" x14ac:dyDescent="0.2">
      <c r="A50" s="216" t="s">
        <v>144</v>
      </c>
      <c r="B50" s="216">
        <v>68631</v>
      </c>
      <c r="C50" s="216" t="s">
        <v>6874</v>
      </c>
      <c r="D50" s="216">
        <v>22</v>
      </c>
    </row>
    <row r="51" spans="1:4" x14ac:dyDescent="0.2">
      <c r="A51" s="216" t="s">
        <v>146</v>
      </c>
      <c r="B51" s="216">
        <v>68632</v>
      </c>
      <c r="C51" s="216" t="s">
        <v>6874</v>
      </c>
      <c r="D51" s="216">
        <v>23</v>
      </c>
    </row>
    <row r="52" spans="1:4" x14ac:dyDescent="0.2">
      <c r="A52" s="216" t="s">
        <v>148</v>
      </c>
      <c r="B52" s="216">
        <v>68633</v>
      </c>
      <c r="C52" s="216" t="s">
        <v>6874</v>
      </c>
      <c r="D52" s="216">
        <v>24</v>
      </c>
    </row>
    <row r="53" spans="1:4" x14ac:dyDescent="0.2">
      <c r="A53" s="216" t="s">
        <v>151</v>
      </c>
      <c r="B53" s="216">
        <v>68634</v>
      </c>
      <c r="C53" s="216" t="s">
        <v>6874</v>
      </c>
      <c r="D53" s="216">
        <v>25</v>
      </c>
    </row>
    <row r="54" spans="1:4" x14ac:dyDescent="0.2">
      <c r="A54" s="216" t="s">
        <v>154</v>
      </c>
      <c r="B54" s="216">
        <v>68635</v>
      </c>
      <c r="C54" s="216" t="s">
        <v>6874</v>
      </c>
      <c r="D54" s="216">
        <v>93</v>
      </c>
    </row>
    <row r="55" spans="1:4" x14ac:dyDescent="0.2">
      <c r="A55" s="216" t="s">
        <v>156</v>
      </c>
      <c r="B55" s="216">
        <v>68636</v>
      </c>
      <c r="C55" s="216" t="s">
        <v>6874</v>
      </c>
      <c r="D55" s="216">
        <v>27</v>
      </c>
    </row>
    <row r="56" spans="1:4" x14ac:dyDescent="0.2">
      <c r="A56" s="216" t="s">
        <v>159</v>
      </c>
      <c r="B56" s="216">
        <v>68637</v>
      </c>
      <c r="C56" s="216" t="s">
        <v>6874</v>
      </c>
      <c r="D56" s="216">
        <v>94</v>
      </c>
    </row>
    <row r="57" spans="1:4" x14ac:dyDescent="0.2">
      <c r="A57" s="216" t="s">
        <v>161</v>
      </c>
      <c r="B57" s="216">
        <v>68638</v>
      </c>
      <c r="C57" s="216" t="s">
        <v>6874</v>
      </c>
      <c r="D57" s="216">
        <v>30</v>
      </c>
    </row>
    <row r="58" spans="1:4" x14ac:dyDescent="0.2">
      <c r="A58" s="216" t="s">
        <v>163</v>
      </c>
      <c r="B58" s="216">
        <v>68639</v>
      </c>
      <c r="C58" s="216" t="s">
        <v>6874</v>
      </c>
      <c r="D58" s="216">
        <v>31</v>
      </c>
    </row>
    <row r="59" spans="1:4" x14ac:dyDescent="0.2">
      <c r="A59" s="216" t="s">
        <v>166</v>
      </c>
      <c r="B59" s="216">
        <v>68640</v>
      </c>
      <c r="C59" s="216" t="s">
        <v>6874</v>
      </c>
      <c r="D59" s="216">
        <v>32</v>
      </c>
    </row>
    <row r="60" spans="1:4" x14ac:dyDescent="0.2">
      <c r="A60" s="216" t="s">
        <v>168</v>
      </c>
      <c r="B60" s="216">
        <v>68641</v>
      </c>
      <c r="C60" s="216" t="s">
        <v>6874</v>
      </c>
      <c r="D60" s="216">
        <v>33</v>
      </c>
    </row>
    <row r="61" spans="1:4" x14ac:dyDescent="0.2">
      <c r="A61" s="216" t="s">
        <v>170</v>
      </c>
      <c r="B61" s="216">
        <v>68642</v>
      </c>
      <c r="C61" s="216" t="s">
        <v>6874</v>
      </c>
      <c r="D61" s="216">
        <v>95</v>
      </c>
    </row>
    <row r="62" spans="1:4" x14ac:dyDescent="0.2">
      <c r="A62" s="216" t="s">
        <v>173</v>
      </c>
      <c r="B62" s="216">
        <v>68643</v>
      </c>
      <c r="C62" s="216" t="s">
        <v>6874</v>
      </c>
      <c r="D62" s="216">
        <v>36</v>
      </c>
    </row>
    <row r="63" spans="1:4" x14ac:dyDescent="0.2">
      <c r="A63" s="216" t="s">
        <v>175</v>
      </c>
      <c r="B63" s="216">
        <v>68644</v>
      </c>
      <c r="C63" s="216" t="s">
        <v>6874</v>
      </c>
      <c r="D63" s="216">
        <v>96</v>
      </c>
    </row>
    <row r="64" spans="1:4" x14ac:dyDescent="0.2">
      <c r="A64" s="216" t="s">
        <v>177</v>
      </c>
      <c r="B64" s="216">
        <v>68645</v>
      </c>
      <c r="C64" s="216" t="s">
        <v>6874</v>
      </c>
      <c r="D64" s="216">
        <v>97</v>
      </c>
    </row>
    <row r="65" spans="1:4" x14ac:dyDescent="0.2">
      <c r="A65" s="216" t="s">
        <v>179</v>
      </c>
      <c r="B65" s="216">
        <v>68646</v>
      </c>
      <c r="C65" s="216" t="s">
        <v>6874</v>
      </c>
      <c r="D65" s="216">
        <v>131</v>
      </c>
    </row>
    <row r="66" spans="1:4" x14ac:dyDescent="0.2">
      <c r="A66" s="216" t="s">
        <v>182</v>
      </c>
      <c r="B66" s="216">
        <v>68647</v>
      </c>
      <c r="C66" s="216" t="s">
        <v>6874</v>
      </c>
      <c r="D66" s="216">
        <v>132</v>
      </c>
    </row>
    <row r="67" spans="1:4" x14ac:dyDescent="0.2">
      <c r="A67" s="216" t="s">
        <v>184</v>
      </c>
      <c r="B67" s="216">
        <v>68648</v>
      </c>
      <c r="C67" s="216" t="s">
        <v>6874</v>
      </c>
      <c r="D67" s="216">
        <v>89</v>
      </c>
    </row>
    <row r="68" spans="1:4" x14ac:dyDescent="0.2">
      <c r="A68" s="216" t="s">
        <v>186</v>
      </c>
      <c r="B68" s="216">
        <v>68649</v>
      </c>
      <c r="C68" s="216" t="s">
        <v>6874</v>
      </c>
      <c r="D68" s="216">
        <v>98</v>
      </c>
    </row>
    <row r="69" spans="1:4" x14ac:dyDescent="0.2">
      <c r="A69" s="216" t="s">
        <v>188</v>
      </c>
      <c r="B69" s="216">
        <v>68650</v>
      </c>
      <c r="C69" s="216" t="s">
        <v>6874</v>
      </c>
      <c r="D69" s="216">
        <v>99</v>
      </c>
    </row>
    <row r="70" spans="1:4" x14ac:dyDescent="0.2">
      <c r="A70" s="216" t="s">
        <v>190</v>
      </c>
      <c r="B70" s="216">
        <v>68651</v>
      </c>
      <c r="C70" s="216" t="s">
        <v>6874</v>
      </c>
      <c r="D70" s="216">
        <v>100</v>
      </c>
    </row>
    <row r="71" spans="1:4" x14ac:dyDescent="0.2">
      <c r="A71" s="216" t="s">
        <v>192</v>
      </c>
      <c r="B71" s="216">
        <v>68652</v>
      </c>
      <c r="C71" s="216" t="s">
        <v>6874</v>
      </c>
      <c r="D71" s="216">
        <v>101</v>
      </c>
    </row>
    <row r="72" spans="1:4" x14ac:dyDescent="0.2">
      <c r="A72" s="216" t="s">
        <v>194</v>
      </c>
      <c r="B72" s="216">
        <v>68653</v>
      </c>
      <c r="C72" s="216" t="s">
        <v>6874</v>
      </c>
      <c r="D72" s="216">
        <v>102</v>
      </c>
    </row>
    <row r="73" spans="1:4" x14ac:dyDescent="0.2">
      <c r="A73" s="216" t="s">
        <v>196</v>
      </c>
      <c r="B73" s="216">
        <v>68654</v>
      </c>
      <c r="C73" s="216" t="s">
        <v>6874</v>
      </c>
      <c r="D73" s="216">
        <v>37</v>
      </c>
    </row>
    <row r="74" spans="1:4" x14ac:dyDescent="0.2">
      <c r="A74" s="216" t="s">
        <v>198</v>
      </c>
      <c r="B74" s="216">
        <v>68655</v>
      </c>
      <c r="C74" s="216" t="s">
        <v>6874</v>
      </c>
      <c r="D74" s="216">
        <v>38</v>
      </c>
    </row>
    <row r="75" spans="1:4" x14ac:dyDescent="0.2">
      <c r="A75" s="216" t="s">
        <v>200</v>
      </c>
      <c r="B75" s="216">
        <v>68656</v>
      </c>
      <c r="C75" s="216" t="s">
        <v>6874</v>
      </c>
      <c r="D75" s="216">
        <v>39</v>
      </c>
    </row>
    <row r="76" spans="1:4" x14ac:dyDescent="0.2">
      <c r="A76" s="216" t="s">
        <v>202</v>
      </c>
      <c r="B76" s="216">
        <v>68657</v>
      </c>
      <c r="C76" s="216" t="s">
        <v>6874</v>
      </c>
      <c r="D76" s="216">
        <v>103</v>
      </c>
    </row>
    <row r="77" spans="1:4" x14ac:dyDescent="0.2">
      <c r="A77" s="216" t="s">
        <v>204</v>
      </c>
      <c r="B77" s="216">
        <v>68658</v>
      </c>
      <c r="C77" s="216" t="s">
        <v>6874</v>
      </c>
      <c r="D77" s="216">
        <v>104</v>
      </c>
    </row>
    <row r="78" spans="1:4" x14ac:dyDescent="0.2">
      <c r="A78" s="216" t="s">
        <v>206</v>
      </c>
      <c r="B78" s="216">
        <v>68659</v>
      </c>
      <c r="C78" s="216" t="s">
        <v>6874</v>
      </c>
      <c r="D78" s="216">
        <v>105</v>
      </c>
    </row>
    <row r="79" spans="1:4" x14ac:dyDescent="0.2">
      <c r="A79" s="216" t="s">
        <v>208</v>
      </c>
      <c r="B79" s="216">
        <v>68660</v>
      </c>
      <c r="C79" s="216" t="s">
        <v>6874</v>
      </c>
      <c r="D79" s="216">
        <v>106</v>
      </c>
    </row>
    <row r="80" spans="1:4" x14ac:dyDescent="0.2">
      <c r="A80" s="216" t="s">
        <v>210</v>
      </c>
      <c r="B80" s="216">
        <v>68661</v>
      </c>
      <c r="C80" s="216" t="s">
        <v>6874</v>
      </c>
      <c r="D80" s="216">
        <v>44</v>
      </c>
    </row>
    <row r="81" spans="1:4" x14ac:dyDescent="0.2">
      <c r="A81" s="216" t="s">
        <v>212</v>
      </c>
      <c r="B81" s="216">
        <v>68662</v>
      </c>
      <c r="C81" s="216" t="s">
        <v>6874</v>
      </c>
      <c r="D81" s="216">
        <v>107</v>
      </c>
    </row>
    <row r="82" spans="1:4" x14ac:dyDescent="0.2">
      <c r="A82" s="216" t="s">
        <v>214</v>
      </c>
      <c r="B82" s="216">
        <v>68663</v>
      </c>
      <c r="C82" s="216" t="s">
        <v>6874</v>
      </c>
      <c r="D82" s="216">
        <v>108</v>
      </c>
    </row>
    <row r="83" spans="1:4" x14ac:dyDescent="0.2">
      <c r="A83" s="216" t="s">
        <v>216</v>
      </c>
      <c r="B83" s="216">
        <v>68664</v>
      </c>
      <c r="C83" s="216" t="s">
        <v>6874</v>
      </c>
      <c r="D83" s="216">
        <v>130</v>
      </c>
    </row>
    <row r="84" spans="1:4" x14ac:dyDescent="0.2">
      <c r="A84" s="216" t="s">
        <v>218</v>
      </c>
      <c r="B84" s="216">
        <v>68665</v>
      </c>
      <c r="C84" s="216" t="s">
        <v>6874</v>
      </c>
      <c r="D84" s="216">
        <v>133</v>
      </c>
    </row>
    <row r="85" spans="1:4" x14ac:dyDescent="0.2">
      <c r="A85" s="216" t="s">
        <v>220</v>
      </c>
      <c r="B85" s="216">
        <v>68666</v>
      </c>
      <c r="C85" s="216" t="s">
        <v>6874</v>
      </c>
      <c r="D85" s="216">
        <v>109</v>
      </c>
    </row>
    <row r="86" spans="1:4" x14ac:dyDescent="0.2">
      <c r="A86" s="216" t="s">
        <v>222</v>
      </c>
      <c r="B86" s="216">
        <v>68667</v>
      </c>
      <c r="C86" s="216" t="s">
        <v>6874</v>
      </c>
      <c r="D86" s="216">
        <v>110</v>
      </c>
    </row>
    <row r="87" spans="1:4" x14ac:dyDescent="0.2">
      <c r="A87" s="216" t="s">
        <v>224</v>
      </c>
      <c r="B87" s="216">
        <v>68668</v>
      </c>
      <c r="C87" s="216" t="s">
        <v>6874</v>
      </c>
      <c r="D87" s="216">
        <v>51</v>
      </c>
    </row>
    <row r="88" spans="1:4" x14ac:dyDescent="0.2">
      <c r="A88" s="216" t="s">
        <v>226</v>
      </c>
      <c r="B88" s="216">
        <v>68669</v>
      </c>
      <c r="C88" s="216" t="s">
        <v>6874</v>
      </c>
      <c r="D88" s="216">
        <v>40</v>
      </c>
    </row>
    <row r="89" spans="1:4" x14ac:dyDescent="0.2">
      <c r="A89" s="216" t="s">
        <v>228</v>
      </c>
      <c r="B89" s="216">
        <v>68670</v>
      </c>
      <c r="C89" s="216" t="s">
        <v>6874</v>
      </c>
      <c r="D89" s="216">
        <v>111</v>
      </c>
    </row>
    <row r="90" spans="1:4" x14ac:dyDescent="0.2">
      <c r="A90" s="216" t="s">
        <v>230</v>
      </c>
      <c r="B90" s="216">
        <v>68671</v>
      </c>
      <c r="C90" s="216" t="s">
        <v>6874</v>
      </c>
      <c r="D90" s="216">
        <v>112</v>
      </c>
    </row>
    <row r="91" spans="1:4" x14ac:dyDescent="0.2">
      <c r="A91" s="216" t="s">
        <v>232</v>
      </c>
      <c r="B91" s="216">
        <v>68672</v>
      </c>
      <c r="C91" s="216" t="s">
        <v>6874</v>
      </c>
      <c r="D91" s="216">
        <v>129</v>
      </c>
    </row>
    <row r="92" spans="1:4" x14ac:dyDescent="0.2">
      <c r="A92" s="216" t="s">
        <v>234</v>
      </c>
      <c r="B92" s="216">
        <v>68673</v>
      </c>
      <c r="C92" s="216" t="s">
        <v>6874</v>
      </c>
      <c r="D92" s="216">
        <v>53</v>
      </c>
    </row>
    <row r="93" spans="1:4" x14ac:dyDescent="0.2">
      <c r="A93" s="216" t="s">
        <v>236</v>
      </c>
      <c r="B93" s="216">
        <v>68674</v>
      </c>
      <c r="C93" s="216" t="s">
        <v>6874</v>
      </c>
      <c r="D93" s="216">
        <v>54</v>
      </c>
    </row>
    <row r="94" spans="1:4" x14ac:dyDescent="0.2">
      <c r="A94" s="216" t="s">
        <v>238</v>
      </c>
      <c r="B94" s="216">
        <v>68675</v>
      </c>
      <c r="C94" s="216" t="s">
        <v>6874</v>
      </c>
      <c r="D94" s="216">
        <v>55</v>
      </c>
    </row>
    <row r="95" spans="1:4" x14ac:dyDescent="0.2">
      <c r="A95" s="216" t="s">
        <v>240</v>
      </c>
      <c r="B95" s="216">
        <v>68676</v>
      </c>
      <c r="C95" s="216" t="s">
        <v>6874</v>
      </c>
      <c r="D95" s="216">
        <v>56</v>
      </c>
    </row>
    <row r="96" spans="1:4" x14ac:dyDescent="0.2">
      <c r="A96" s="216" t="s">
        <v>242</v>
      </c>
      <c r="B96" s="216">
        <v>68677</v>
      </c>
      <c r="C96" s="216" t="s">
        <v>6874</v>
      </c>
      <c r="D96" s="216">
        <v>57</v>
      </c>
    </row>
    <row r="97" spans="1:4" x14ac:dyDescent="0.2">
      <c r="A97" s="216" t="s">
        <v>244</v>
      </c>
      <c r="B97" s="216">
        <v>68678</v>
      </c>
      <c r="C97" s="216" t="s">
        <v>6874</v>
      </c>
      <c r="D97" s="216">
        <v>58</v>
      </c>
    </row>
    <row r="98" spans="1:4" x14ac:dyDescent="0.2">
      <c r="A98" s="216" t="s">
        <v>246</v>
      </c>
      <c r="B98" s="216">
        <v>68679</v>
      </c>
      <c r="C98" s="216" t="s">
        <v>6874</v>
      </c>
      <c r="D98" s="216">
        <v>59</v>
      </c>
    </row>
    <row r="99" spans="1:4" x14ac:dyDescent="0.2">
      <c r="A99" s="216" t="s">
        <v>248</v>
      </c>
      <c r="B99" s="216">
        <v>68680</v>
      </c>
      <c r="C99" s="216" t="s">
        <v>6874</v>
      </c>
      <c r="D99" s="216">
        <v>134</v>
      </c>
    </row>
    <row r="100" spans="1:4" x14ac:dyDescent="0.2">
      <c r="A100" s="216" t="s">
        <v>250</v>
      </c>
      <c r="B100" s="216">
        <v>68681</v>
      </c>
      <c r="C100" s="216" t="s">
        <v>6874</v>
      </c>
      <c r="D100" s="216">
        <v>60</v>
      </c>
    </row>
    <row r="101" spans="1:4" x14ac:dyDescent="0.2">
      <c r="A101" s="216" t="s">
        <v>252</v>
      </c>
      <c r="B101" s="216">
        <v>68682</v>
      </c>
      <c r="C101" s="216" t="s">
        <v>6874</v>
      </c>
      <c r="D101" s="216">
        <v>61</v>
      </c>
    </row>
    <row r="102" spans="1:4" x14ac:dyDescent="0.2">
      <c r="A102" s="216" t="s">
        <v>254</v>
      </c>
      <c r="B102" s="216">
        <v>68683</v>
      </c>
      <c r="C102" s="216" t="s">
        <v>6874</v>
      </c>
      <c r="D102" s="216">
        <v>62</v>
      </c>
    </row>
    <row r="103" spans="1:4" x14ac:dyDescent="0.2">
      <c r="A103" s="216" t="s">
        <v>256</v>
      </c>
      <c r="B103" s="216">
        <v>68684</v>
      </c>
      <c r="C103" s="216" t="s">
        <v>6874</v>
      </c>
      <c r="D103" s="216">
        <v>135</v>
      </c>
    </row>
    <row r="104" spans="1:4" x14ac:dyDescent="0.2">
      <c r="A104" s="216" t="s">
        <v>258</v>
      </c>
      <c r="B104" s="216">
        <v>68685</v>
      </c>
      <c r="C104" s="216" t="s">
        <v>6874</v>
      </c>
      <c r="D104" s="216">
        <v>90</v>
      </c>
    </row>
    <row r="105" spans="1:4" x14ac:dyDescent="0.2">
      <c r="A105" s="216" t="s">
        <v>260</v>
      </c>
      <c r="B105" s="216">
        <v>68686</v>
      </c>
      <c r="C105" s="216" t="s">
        <v>6874</v>
      </c>
      <c r="D105" s="216">
        <v>63</v>
      </c>
    </row>
    <row r="106" spans="1:4" x14ac:dyDescent="0.2">
      <c r="A106" s="216" t="s">
        <v>262</v>
      </c>
      <c r="B106" s="216">
        <v>68687</v>
      </c>
      <c r="C106" s="216" t="s">
        <v>6874</v>
      </c>
      <c r="D106" s="216">
        <v>64</v>
      </c>
    </row>
    <row r="107" spans="1:4" x14ac:dyDescent="0.2">
      <c r="A107" s="216" t="s">
        <v>264</v>
      </c>
      <c r="B107" s="216">
        <v>68688</v>
      </c>
      <c r="C107" s="216" t="s">
        <v>6874</v>
      </c>
      <c r="D107" s="216">
        <v>65</v>
      </c>
    </row>
    <row r="108" spans="1:4" x14ac:dyDescent="0.2">
      <c r="A108" s="216" t="s">
        <v>266</v>
      </c>
      <c r="B108" s="216">
        <v>68689</v>
      </c>
      <c r="C108" s="216" t="s">
        <v>6874</v>
      </c>
      <c r="D108" s="216">
        <v>66</v>
      </c>
    </row>
    <row r="109" spans="1:4" x14ac:dyDescent="0.2">
      <c r="A109" s="216" t="s">
        <v>268</v>
      </c>
      <c r="B109" s="216">
        <v>68690</v>
      </c>
      <c r="C109" s="216" t="s">
        <v>6874</v>
      </c>
      <c r="D109" s="216">
        <v>67</v>
      </c>
    </row>
    <row r="110" spans="1:4" x14ac:dyDescent="0.2">
      <c r="A110" s="216" t="s">
        <v>270</v>
      </c>
      <c r="B110" s="216">
        <v>68691</v>
      </c>
      <c r="C110" s="216" t="s">
        <v>6874</v>
      </c>
      <c r="D110" s="216">
        <v>68</v>
      </c>
    </row>
    <row r="111" spans="1:4" x14ac:dyDescent="0.2">
      <c r="A111" s="216" t="s">
        <v>272</v>
      </c>
      <c r="B111" s="216">
        <v>68692</v>
      </c>
      <c r="C111" s="216" t="s">
        <v>6874</v>
      </c>
      <c r="D111" s="216">
        <v>69</v>
      </c>
    </row>
    <row r="112" spans="1:4" x14ac:dyDescent="0.2">
      <c r="A112" s="216" t="s">
        <v>274</v>
      </c>
      <c r="B112" s="216">
        <v>68693</v>
      </c>
      <c r="C112" s="216" t="s">
        <v>6874</v>
      </c>
      <c r="D112" s="216">
        <v>113</v>
      </c>
    </row>
    <row r="113" spans="1:4" x14ac:dyDescent="0.2">
      <c r="A113" s="216" t="s">
        <v>276</v>
      </c>
      <c r="B113" s="216">
        <v>68694</v>
      </c>
      <c r="C113" s="216" t="s">
        <v>6874</v>
      </c>
      <c r="D113" s="216">
        <v>71</v>
      </c>
    </row>
    <row r="114" spans="1:4" x14ac:dyDescent="0.2">
      <c r="A114" s="216" t="s">
        <v>279</v>
      </c>
      <c r="B114" s="216">
        <v>68695</v>
      </c>
      <c r="C114" s="216" t="s">
        <v>6874</v>
      </c>
      <c r="D114" s="216">
        <v>70</v>
      </c>
    </row>
    <row r="115" spans="1:4" x14ac:dyDescent="0.2">
      <c r="A115" s="216" t="s">
        <v>281</v>
      </c>
      <c r="B115" s="216">
        <v>68696</v>
      </c>
      <c r="C115" s="216" t="s">
        <v>6874</v>
      </c>
      <c r="D115" s="216">
        <v>72</v>
      </c>
    </row>
    <row r="116" spans="1:4" x14ac:dyDescent="0.2">
      <c r="A116" s="216" t="s">
        <v>283</v>
      </c>
      <c r="B116" s="216">
        <v>68697</v>
      </c>
      <c r="C116" s="216" t="s">
        <v>6874</v>
      </c>
      <c r="D116" s="216">
        <v>73</v>
      </c>
    </row>
    <row r="117" spans="1:4" x14ac:dyDescent="0.2">
      <c r="A117" s="216" t="s">
        <v>285</v>
      </c>
      <c r="B117" s="216">
        <v>68698</v>
      </c>
      <c r="C117" s="216" t="s">
        <v>6874</v>
      </c>
      <c r="D117" s="216">
        <v>74</v>
      </c>
    </row>
    <row r="118" spans="1:4" x14ac:dyDescent="0.2">
      <c r="A118" s="216" t="s">
        <v>287</v>
      </c>
      <c r="B118" s="216">
        <v>68699</v>
      </c>
      <c r="C118" s="216" t="s">
        <v>6874</v>
      </c>
      <c r="D118" s="216">
        <v>75</v>
      </c>
    </row>
    <row r="119" spans="1:4" x14ac:dyDescent="0.2">
      <c r="A119" s="216" t="s">
        <v>290</v>
      </c>
      <c r="B119" s="216">
        <v>68700</v>
      </c>
      <c r="C119" s="216" t="s">
        <v>6874</v>
      </c>
      <c r="D119" s="216">
        <v>76</v>
      </c>
    </row>
    <row r="120" spans="1:4" x14ac:dyDescent="0.2">
      <c r="A120" s="216" t="s">
        <v>292</v>
      </c>
      <c r="B120" s="216">
        <v>68701</v>
      </c>
      <c r="C120" s="216" t="s">
        <v>6874</v>
      </c>
      <c r="D120" s="216">
        <v>77</v>
      </c>
    </row>
    <row r="121" spans="1:4" x14ac:dyDescent="0.2">
      <c r="A121" s="216" t="s">
        <v>294</v>
      </c>
      <c r="B121" s="216">
        <v>68702</v>
      </c>
      <c r="C121" s="216" t="s">
        <v>6874</v>
      </c>
      <c r="D121" s="216">
        <v>114</v>
      </c>
    </row>
    <row r="122" spans="1:4" x14ac:dyDescent="0.2">
      <c r="A122" s="216" t="s">
        <v>296</v>
      </c>
      <c r="B122" s="216">
        <v>68703</v>
      </c>
      <c r="C122" s="216" t="s">
        <v>6874</v>
      </c>
      <c r="D122" s="216">
        <v>78</v>
      </c>
    </row>
    <row r="123" spans="1:4" x14ac:dyDescent="0.2">
      <c r="A123" s="216" t="s">
        <v>298</v>
      </c>
      <c r="B123" s="216">
        <v>68704</v>
      </c>
      <c r="C123" s="216" t="s">
        <v>6874</v>
      </c>
      <c r="D123" s="216">
        <v>79</v>
      </c>
    </row>
    <row r="124" spans="1:4" x14ac:dyDescent="0.2">
      <c r="A124" s="216" t="s">
        <v>300</v>
      </c>
      <c r="B124" s="216">
        <v>68705</v>
      </c>
      <c r="C124" s="216" t="s">
        <v>6874</v>
      </c>
      <c r="D124" s="216">
        <v>81</v>
      </c>
    </row>
    <row r="125" spans="1:4" x14ac:dyDescent="0.2">
      <c r="A125" s="216" t="s">
        <v>302</v>
      </c>
      <c r="B125" s="216">
        <v>68706</v>
      </c>
      <c r="C125" s="216" t="s">
        <v>6874</v>
      </c>
      <c r="D125" s="216">
        <v>80</v>
      </c>
    </row>
    <row r="126" spans="1:4" x14ac:dyDescent="0.2">
      <c r="A126" s="216" t="s">
        <v>304</v>
      </c>
      <c r="B126" s="216">
        <v>68707</v>
      </c>
      <c r="C126" s="216" t="s">
        <v>6874</v>
      </c>
      <c r="D126" s="216">
        <v>85</v>
      </c>
    </row>
    <row r="127" spans="1:4" x14ac:dyDescent="0.2">
      <c r="A127" s="216" t="s">
        <v>306</v>
      </c>
      <c r="B127" s="216">
        <v>68708</v>
      </c>
      <c r="C127" s="216" t="s">
        <v>6874</v>
      </c>
      <c r="D127" s="216">
        <v>115</v>
      </c>
    </row>
    <row r="128" spans="1:4" x14ac:dyDescent="0.2">
      <c r="A128" s="216" t="s">
        <v>309</v>
      </c>
      <c r="B128" s="216">
        <v>68709</v>
      </c>
      <c r="C128" s="216" t="s">
        <v>6874</v>
      </c>
      <c r="D128" s="216">
        <v>116</v>
      </c>
    </row>
    <row r="129" spans="1:4" x14ac:dyDescent="0.2">
      <c r="A129" s="216" t="s">
        <v>311</v>
      </c>
      <c r="B129" s="216">
        <v>68710</v>
      </c>
      <c r="C129" s="216" t="s">
        <v>6874</v>
      </c>
      <c r="D129" s="216">
        <v>82</v>
      </c>
    </row>
    <row r="130" spans="1:4" x14ac:dyDescent="0.2">
      <c r="A130" s="216" t="s">
        <v>314</v>
      </c>
      <c r="B130" s="216">
        <v>68711</v>
      </c>
      <c r="C130" s="216" t="s">
        <v>6874</v>
      </c>
      <c r="D130" s="216">
        <v>117</v>
      </c>
    </row>
    <row r="131" spans="1:4" x14ac:dyDescent="0.2">
      <c r="A131" s="216" t="s">
        <v>317</v>
      </c>
      <c r="B131" s="216">
        <v>68712</v>
      </c>
      <c r="C131" s="216" t="s">
        <v>6874</v>
      </c>
      <c r="D131" s="216">
        <v>83</v>
      </c>
    </row>
    <row r="132" spans="1:4" x14ac:dyDescent="0.2">
      <c r="A132" s="216" t="s">
        <v>319</v>
      </c>
      <c r="B132" s="216">
        <v>68713</v>
      </c>
      <c r="C132" s="216" t="s">
        <v>6874</v>
      </c>
      <c r="D132" s="216">
        <v>86</v>
      </c>
    </row>
    <row r="133" spans="1:4" x14ac:dyDescent="0.2">
      <c r="A133" s="216" t="s">
        <v>321</v>
      </c>
      <c r="B133" s="216">
        <v>68714</v>
      </c>
      <c r="C133" s="216" t="s">
        <v>6874</v>
      </c>
      <c r="D133" s="216">
        <v>84</v>
      </c>
    </row>
    <row r="134" spans="1:4" x14ac:dyDescent="0.2">
      <c r="A134" s="216" t="s">
        <v>323</v>
      </c>
      <c r="B134" s="216">
        <v>68715</v>
      </c>
      <c r="C134" s="216" t="s">
        <v>6874</v>
      </c>
      <c r="D134" s="216">
        <v>118</v>
      </c>
    </row>
    <row r="135" spans="1:4" x14ac:dyDescent="0.2">
      <c r="A135" s="216" t="s">
        <v>325</v>
      </c>
      <c r="B135" s="216">
        <v>68716</v>
      </c>
      <c r="C135" s="216" t="s">
        <v>6874</v>
      </c>
      <c r="D135" s="216">
        <v>88</v>
      </c>
    </row>
    <row r="136" spans="1:4" x14ac:dyDescent="0.2">
      <c r="A136" s="216" t="s">
        <v>327</v>
      </c>
      <c r="B136" s="216">
        <v>68717</v>
      </c>
      <c r="C136" s="216" t="s">
        <v>6874</v>
      </c>
      <c r="D136" s="216">
        <v>87</v>
      </c>
    </row>
  </sheetData>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3</vt:i4>
      </vt:variant>
    </vt:vector>
  </HeadingPairs>
  <TitlesOfParts>
    <vt:vector size="10" baseType="lpstr">
      <vt:lpstr>Sale Notes</vt:lpstr>
      <vt:lpstr>Summary Tables</vt:lpstr>
      <vt:lpstr>DataCleaning1</vt:lpstr>
      <vt:lpstr>Downloadable Tract List</vt:lpstr>
      <vt:lpstr>R&amp;R &amp; Magnum Master BLM</vt:lpstr>
      <vt:lpstr>Dropdown Controller</vt:lpstr>
      <vt:lpstr>Shapefile Export</vt:lpstr>
      <vt:lpstr>'Downloadable Tract List'!Print_Titles</vt:lpstr>
      <vt:lpstr>'R&amp;R &amp; Magnum Master BLM'!Print_Titles</vt:lpstr>
      <vt:lpstr>'Sale Notes'!Print_Titles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Mishaun Bhakta</dc:creator>
  <cp:lastModifiedBy>Mishaun Bhakta</cp:lastModifiedBy>
  <cp:lastPrinted>2018-09-18T16:29:22Z</cp:lastPrinted>
  <dcterms:created xsi:type="dcterms:W3CDTF">2017-10-30T21:23:49Z</dcterms:created>
  <dcterms:modified xsi:type="dcterms:W3CDTF">2021-12-16T02:44:07Z</dcterms:modified>
</cp:coreProperties>
</file>